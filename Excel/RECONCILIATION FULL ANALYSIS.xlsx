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DAKAR AGSM 2025\"/>
    </mc:Choice>
  </mc:AlternateContent>
  <xr:revisionPtr revIDLastSave="0" documentId="8_{D81510AD-D4FD-4BBE-B553-3CFE0F8F22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kar Registration List(Source)" sheetId="14" r:id="rId1"/>
    <sheet name="Master Summary " sheetId="25" r:id="rId2"/>
    <sheet name="Transaction Reconciliation" sheetId="23" r:id="rId3"/>
    <sheet name="Dokilink List &amp; Account" sheetId="24" r:id="rId4"/>
    <sheet name="ECO Bank &amp; Dokilink List-Report" sheetId="22" r:id="rId5"/>
    <sheet name="Income &amp; Expenditure" sheetId="19" r:id="rId6"/>
    <sheet name="Bank Statatements" sheetId="20" r:id="rId7"/>
  </sheets>
  <definedNames>
    <definedName name="_xlnm._FilterDatabase" localSheetId="0" hidden="1">'Dakar Registration List(Source)'!$A$2:$I$999</definedName>
    <definedName name="_xlnm._FilterDatabase" localSheetId="5" hidden="1">'Income &amp; Expenditure'!$B$18:$H$1038</definedName>
    <definedName name="_xlnm._FilterDatabase" localSheetId="2" hidden="1">'Transaction Reconciliation'!$A$20:$G$1034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5" l="1"/>
  <c r="I6" i="25"/>
  <c r="H12" i="25"/>
  <c r="H9" i="25"/>
  <c r="H11" i="25" s="1"/>
  <c r="G8" i="25"/>
  <c r="C8" i="25" l="1"/>
  <c r="C10" i="25" s="1"/>
  <c r="C6" i="25"/>
  <c r="M6" i="25" s="1"/>
  <c r="M11" i="25" s="1"/>
  <c r="C5" i="25"/>
  <c r="D13" i="19"/>
  <c r="D15" i="19" s="1"/>
  <c r="G852" i="23"/>
  <c r="G848" i="23"/>
  <c r="G844" i="23"/>
  <c r="G843" i="23"/>
  <c r="G842" i="23"/>
  <c r="G841" i="23"/>
  <c r="G840" i="23"/>
  <c r="G839" i="23"/>
  <c r="G831" i="23"/>
  <c r="G830" i="23"/>
  <c r="G829" i="23"/>
  <c r="G828" i="23"/>
  <c r="G823" i="23"/>
  <c r="G822" i="23"/>
  <c r="G821" i="23"/>
  <c r="G820" i="23"/>
  <c r="G819" i="23"/>
  <c r="G818" i="23"/>
  <c r="G817" i="23"/>
  <c r="G816" i="23"/>
  <c r="G815" i="23"/>
  <c r="G814" i="23"/>
  <c r="G813" i="23"/>
  <c r="G812" i="23"/>
  <c r="G811" i="23"/>
  <c r="G810" i="23"/>
  <c r="G809" i="23"/>
  <c r="G808" i="23"/>
  <c r="G807" i="23"/>
  <c r="G806" i="23"/>
  <c r="G805" i="23"/>
  <c r="G803" i="23"/>
  <c r="G802" i="23"/>
  <c r="G801" i="23"/>
  <c r="G800" i="23"/>
  <c r="G799" i="23"/>
  <c r="G798" i="23"/>
  <c r="G797" i="23"/>
  <c r="G796" i="23"/>
  <c r="G795" i="23"/>
  <c r="G794" i="23"/>
  <c r="G793" i="23"/>
  <c r="G792" i="23"/>
  <c r="G791" i="23"/>
  <c r="G790" i="23"/>
  <c r="G786" i="23"/>
  <c r="G785" i="23"/>
  <c r="G784" i="23"/>
  <c r="G783" i="23"/>
  <c r="G782" i="23"/>
  <c r="G781" i="23"/>
  <c r="G780" i="23"/>
  <c r="G779" i="23"/>
  <c r="G778" i="23"/>
  <c r="G777" i="23"/>
  <c r="G776" i="23"/>
  <c r="G775" i="23"/>
  <c r="G774" i="23"/>
  <c r="G773" i="23"/>
  <c r="G772" i="23"/>
  <c r="G771" i="23"/>
  <c r="G770" i="23"/>
  <c r="G769" i="23"/>
  <c r="G768" i="23"/>
  <c r="G767" i="23"/>
  <c r="G766" i="23"/>
  <c r="G765" i="23"/>
  <c r="G764" i="23"/>
  <c r="G763" i="23"/>
  <c r="G762" i="23"/>
  <c r="G761" i="23"/>
  <c r="G760" i="23"/>
  <c r="G759" i="23"/>
  <c r="G758" i="23"/>
  <c r="G757" i="23"/>
  <c r="G756" i="23"/>
  <c r="G755" i="23"/>
  <c r="G754" i="23"/>
  <c r="G753" i="23"/>
  <c r="G752" i="23"/>
  <c r="G751" i="23"/>
  <c r="G750" i="23"/>
  <c r="G749" i="23"/>
  <c r="G748" i="23"/>
  <c r="G747" i="23"/>
  <c r="G746" i="23"/>
  <c r="G745" i="23"/>
  <c r="G743" i="23"/>
  <c r="G742" i="23"/>
  <c r="G741" i="23"/>
  <c r="G740" i="23"/>
  <c r="G739" i="23"/>
  <c r="G738" i="23"/>
  <c r="G695" i="23"/>
  <c r="G694" i="23"/>
  <c r="G693" i="23"/>
  <c r="G692" i="23"/>
  <c r="G691" i="23"/>
  <c r="G690" i="23"/>
  <c r="G689" i="23"/>
  <c r="G688" i="23"/>
  <c r="G687" i="23"/>
  <c r="G686" i="23"/>
  <c r="G685" i="23"/>
  <c r="G684" i="23"/>
  <c r="G683" i="23"/>
  <c r="G682" i="23"/>
  <c r="G681" i="23"/>
  <c r="G680" i="23"/>
  <c r="G679" i="23"/>
  <c r="G678" i="23"/>
  <c r="G677" i="23"/>
  <c r="G676" i="23"/>
  <c r="G675" i="23"/>
  <c r="G674" i="23"/>
  <c r="G673" i="23"/>
  <c r="G672" i="23"/>
  <c r="G671" i="23"/>
  <c r="G670" i="23"/>
  <c r="G669" i="23"/>
  <c r="G668" i="23"/>
  <c r="G667" i="23"/>
  <c r="G666" i="23"/>
  <c r="G665" i="23"/>
  <c r="G664" i="23"/>
  <c r="G663" i="23"/>
  <c r="G662" i="23"/>
  <c r="G661" i="23"/>
  <c r="G641" i="23"/>
  <c r="G640" i="23"/>
  <c r="G639" i="23"/>
  <c r="G638" i="23"/>
  <c r="G637" i="23"/>
  <c r="G636" i="23"/>
  <c r="G635" i="23"/>
  <c r="G634" i="23"/>
  <c r="G633" i="23"/>
  <c r="G632" i="23"/>
  <c r="G631" i="23"/>
  <c r="G630" i="23"/>
  <c r="G629" i="23"/>
  <c r="G628" i="23"/>
  <c r="G627" i="23"/>
  <c r="G626" i="23"/>
  <c r="G625" i="23"/>
  <c r="G624" i="23"/>
  <c r="G623" i="23"/>
  <c r="G622" i="23"/>
  <c r="G621" i="23"/>
  <c r="G620" i="23"/>
  <c r="G619" i="23"/>
  <c r="G618" i="23"/>
  <c r="G617" i="23"/>
  <c r="G616" i="23"/>
  <c r="G615" i="23"/>
  <c r="G614" i="23"/>
  <c r="G613" i="23"/>
  <c r="G612" i="23"/>
  <c r="G611" i="23"/>
  <c r="G610" i="23"/>
  <c r="G608" i="23"/>
  <c r="G601" i="23"/>
  <c r="G600" i="23"/>
  <c r="G599" i="23"/>
  <c r="G598" i="23"/>
  <c r="G597" i="23"/>
  <c r="G596" i="23"/>
  <c r="G595" i="23"/>
  <c r="G594" i="23"/>
  <c r="G593" i="23"/>
  <c r="G592" i="23"/>
  <c r="G591" i="23"/>
  <c r="G590" i="23"/>
  <c r="G589" i="23"/>
  <c r="G588" i="23"/>
  <c r="G587" i="23"/>
  <c r="G586" i="23"/>
  <c r="G585" i="23"/>
  <c r="G584" i="23"/>
  <c r="G564" i="23"/>
  <c r="G563" i="23"/>
  <c r="G562" i="23"/>
  <c r="G561" i="23"/>
  <c r="G560" i="23"/>
  <c r="G559" i="23"/>
  <c r="G558" i="23"/>
  <c r="G557" i="23"/>
  <c r="G556" i="23"/>
  <c r="G555" i="23"/>
  <c r="G554" i="23"/>
  <c r="G553" i="23"/>
  <c r="G552" i="23"/>
  <c r="G551" i="23"/>
  <c r="G550" i="23"/>
  <c r="G549" i="23"/>
  <c r="G548" i="23"/>
  <c r="G547" i="23"/>
  <c r="G546" i="23"/>
  <c r="G545" i="23"/>
  <c r="G544" i="23"/>
  <c r="G543" i="23"/>
  <c r="G542" i="23"/>
  <c r="G541" i="23"/>
  <c r="G540" i="23"/>
  <c r="G539" i="23"/>
  <c r="G538" i="23"/>
  <c r="G537" i="23"/>
  <c r="G536" i="23"/>
  <c r="G535" i="23"/>
  <c r="G534" i="23"/>
  <c r="G533" i="23"/>
  <c r="G532" i="23"/>
  <c r="G531" i="23"/>
  <c r="G530" i="23"/>
  <c r="G529" i="23"/>
  <c r="G528" i="23"/>
  <c r="G524" i="23"/>
  <c r="G523" i="23"/>
  <c r="G522" i="23"/>
  <c r="G521" i="23"/>
  <c r="G520" i="23"/>
  <c r="G519" i="23"/>
  <c r="G518" i="23"/>
  <c r="G517" i="23"/>
  <c r="G516" i="23"/>
  <c r="G515" i="23"/>
  <c r="G514" i="23"/>
  <c r="G492" i="23"/>
  <c r="G481" i="23"/>
  <c r="G480" i="23"/>
  <c r="G479" i="23"/>
  <c r="G478" i="23"/>
  <c r="G477" i="23"/>
  <c r="G476" i="23"/>
  <c r="G475" i="23"/>
  <c r="G474" i="23"/>
  <c r="G473" i="23"/>
  <c r="G472" i="23"/>
  <c r="G471" i="23"/>
  <c r="G470" i="23"/>
  <c r="G469" i="23"/>
  <c r="G468" i="23"/>
  <c r="G467" i="23"/>
  <c r="G466" i="23"/>
  <c r="G465" i="23"/>
  <c r="G464" i="23"/>
  <c r="G462" i="23"/>
  <c r="G461" i="23"/>
  <c r="G460" i="23"/>
  <c r="G459" i="23"/>
  <c r="G458" i="23"/>
  <c r="G457" i="23"/>
  <c r="G456" i="23"/>
  <c r="G455" i="23"/>
  <c r="G454" i="23"/>
  <c r="G453" i="23"/>
  <c r="G451" i="23"/>
  <c r="G450" i="23"/>
  <c r="G449" i="23"/>
  <c r="G448" i="23"/>
  <c r="G447" i="23"/>
  <c r="G446" i="23"/>
  <c r="G445" i="23"/>
  <c r="G444" i="23"/>
  <c r="G443" i="23"/>
  <c r="G442" i="23"/>
  <c r="G441" i="23"/>
  <c r="G440" i="23"/>
  <c r="G438" i="23"/>
  <c r="G437" i="23"/>
  <c r="G436" i="23"/>
  <c r="G435" i="23"/>
  <c r="G434" i="23"/>
  <c r="G433" i="23"/>
  <c r="G432" i="23"/>
  <c r="G431" i="23"/>
  <c r="G430" i="23"/>
  <c r="G429" i="23"/>
  <c r="G428" i="23"/>
  <c r="G427" i="23"/>
  <c r="G426" i="23"/>
  <c r="G425" i="23"/>
  <c r="G424" i="23"/>
  <c r="G423" i="23"/>
  <c r="G422" i="23"/>
  <c r="G421" i="23"/>
  <c r="G420" i="23"/>
  <c r="G419" i="23"/>
  <c r="G418" i="23"/>
  <c r="G417" i="23"/>
  <c r="G416" i="23"/>
  <c r="G415" i="23"/>
  <c r="G414" i="23"/>
  <c r="G413" i="23"/>
  <c r="G412" i="23"/>
  <c r="G411" i="23"/>
  <c r="G410" i="23"/>
  <c r="G409" i="23"/>
  <c r="G408" i="23"/>
  <c r="G399" i="23"/>
  <c r="G398" i="23"/>
  <c r="G397" i="23"/>
  <c r="G333" i="23"/>
  <c r="G332" i="23"/>
  <c r="G331" i="23"/>
  <c r="G330" i="23"/>
  <c r="G329" i="23"/>
  <c r="G328" i="23"/>
  <c r="G327" i="23"/>
  <c r="G326" i="23"/>
  <c r="G325" i="23"/>
  <c r="G324" i="23"/>
  <c r="G323" i="23"/>
  <c r="G322" i="23"/>
  <c r="G321" i="23"/>
  <c r="G320" i="23"/>
  <c r="G319" i="23"/>
  <c r="G318" i="23"/>
  <c r="G317" i="23"/>
  <c r="G316" i="23"/>
  <c r="G315" i="23"/>
  <c r="G314" i="23"/>
  <c r="G313" i="23"/>
  <c r="G312" i="23"/>
  <c r="G311" i="23"/>
  <c r="G310" i="23"/>
  <c r="G309" i="23"/>
  <c r="G308" i="23"/>
  <c r="G307" i="23"/>
  <c r="G306" i="23"/>
  <c r="G305" i="23"/>
  <c r="G304" i="23"/>
  <c r="G303" i="23"/>
  <c r="G302" i="23"/>
  <c r="G301" i="23"/>
  <c r="G300" i="23"/>
  <c r="G299" i="23"/>
  <c r="G298" i="23"/>
  <c r="G297" i="23"/>
  <c r="G296" i="23"/>
  <c r="G295" i="23"/>
  <c r="G294" i="23"/>
  <c r="G293" i="23"/>
  <c r="G292" i="23"/>
  <c r="G291" i="23"/>
  <c r="G290" i="23"/>
  <c r="G289" i="23"/>
  <c r="G288" i="23"/>
  <c r="G287" i="23"/>
  <c r="G286" i="23"/>
  <c r="G285" i="23"/>
  <c r="G284" i="23"/>
  <c r="G283" i="23"/>
  <c r="G282" i="23"/>
  <c r="G281" i="23"/>
  <c r="G280" i="23"/>
  <c r="G279" i="23"/>
  <c r="G278" i="23"/>
  <c r="G277" i="23"/>
  <c r="G276" i="23"/>
  <c r="G275" i="23"/>
  <c r="G274" i="23"/>
  <c r="G273" i="23"/>
  <c r="G272" i="23"/>
  <c r="G271" i="23"/>
  <c r="G270" i="23"/>
  <c r="G269" i="23"/>
  <c r="G268" i="23"/>
  <c r="G267" i="23"/>
  <c r="G266" i="23"/>
  <c r="G265" i="23"/>
  <c r="G264" i="23"/>
  <c r="G263" i="23"/>
  <c r="G262" i="23"/>
  <c r="G261" i="23"/>
  <c r="G260" i="23"/>
  <c r="G259" i="23"/>
  <c r="G258" i="23"/>
  <c r="G257" i="23"/>
  <c r="G256" i="23"/>
  <c r="G255" i="23"/>
  <c r="G254" i="23"/>
  <c r="G253" i="23"/>
  <c r="G252" i="23"/>
  <c r="G251" i="23"/>
  <c r="G250" i="23"/>
  <c r="G249" i="23"/>
  <c r="G248" i="23"/>
  <c r="G247" i="23"/>
  <c r="G246" i="23"/>
  <c r="G245" i="23"/>
  <c r="G244" i="23"/>
  <c r="G243" i="23"/>
  <c r="G242" i="23"/>
  <c r="G241" i="23"/>
  <c r="G240" i="23"/>
  <c r="G239" i="23"/>
  <c r="G238" i="23"/>
  <c r="G237" i="23"/>
  <c r="G236" i="23"/>
  <c r="G235" i="23"/>
  <c r="G234" i="23"/>
  <c r="G233" i="23"/>
  <c r="G232" i="23"/>
  <c r="G231" i="23"/>
  <c r="G230" i="23"/>
  <c r="G229" i="23"/>
  <c r="G228" i="23"/>
  <c r="G227" i="23"/>
  <c r="G226" i="23"/>
  <c r="G225" i="23"/>
  <c r="G224" i="23"/>
  <c r="G223" i="23"/>
  <c r="G222" i="23"/>
  <c r="G221" i="23"/>
  <c r="G220" i="23"/>
  <c r="G219" i="23"/>
  <c r="G218" i="23"/>
  <c r="G217" i="23"/>
  <c r="G216" i="23"/>
  <c r="G215" i="23"/>
  <c r="G214" i="23"/>
  <c r="G213" i="23"/>
  <c r="G212" i="23"/>
  <c r="G211" i="23"/>
  <c r="G210" i="23"/>
  <c r="G209" i="23"/>
  <c r="G208" i="23"/>
  <c r="G207" i="23"/>
  <c r="G206" i="23"/>
  <c r="G205" i="23"/>
  <c r="G204" i="23"/>
  <c r="G203" i="23"/>
  <c r="G202" i="23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49" i="23"/>
  <c r="G26" i="23"/>
  <c r="G25" i="23"/>
  <c r="G24" i="23"/>
  <c r="G23" i="23"/>
  <c r="G22" i="23"/>
  <c r="G21" i="23"/>
  <c r="D323" i="24"/>
  <c r="H6" i="24" s="1"/>
  <c r="I9" i="24" s="1"/>
  <c r="C323" i="24"/>
  <c r="H5" i="24" s="1"/>
  <c r="I7" i="24" s="1"/>
  <c r="E322" i="24"/>
  <c r="E321" i="24"/>
  <c r="E320" i="24"/>
  <c r="E319" i="24"/>
  <c r="E318" i="24"/>
  <c r="E317" i="24"/>
  <c r="E316" i="24"/>
  <c r="E315" i="24"/>
  <c r="E314" i="24"/>
  <c r="E313" i="24"/>
  <c r="E312" i="24"/>
  <c r="E311" i="24"/>
  <c r="E310" i="24"/>
  <c r="E309" i="24"/>
  <c r="E308" i="24"/>
  <c r="E307" i="24"/>
  <c r="E306" i="24"/>
  <c r="E305" i="24"/>
  <c r="E304" i="24"/>
  <c r="E303" i="24"/>
  <c r="E302" i="24"/>
  <c r="E301" i="24"/>
  <c r="E300" i="24"/>
  <c r="E299" i="24"/>
  <c r="E298" i="24"/>
  <c r="E297" i="24"/>
  <c r="E296" i="24"/>
  <c r="E295" i="24"/>
  <c r="E294" i="24"/>
  <c r="E293" i="24"/>
  <c r="E292" i="24"/>
  <c r="E291" i="24"/>
  <c r="E290" i="24"/>
  <c r="E289" i="24"/>
  <c r="E288" i="24"/>
  <c r="E287" i="24"/>
  <c r="E286" i="24"/>
  <c r="E285" i="24"/>
  <c r="E284" i="24"/>
  <c r="E283" i="24"/>
  <c r="E282" i="24"/>
  <c r="E281" i="24"/>
  <c r="E280" i="24"/>
  <c r="E279" i="24"/>
  <c r="E278" i="24"/>
  <c r="E277" i="24"/>
  <c r="E276" i="24"/>
  <c r="E275" i="24"/>
  <c r="E274" i="24"/>
  <c r="E273" i="24"/>
  <c r="E272" i="24"/>
  <c r="E271" i="24"/>
  <c r="E270" i="24"/>
  <c r="E269" i="24"/>
  <c r="E268" i="24"/>
  <c r="E267" i="24"/>
  <c r="E266" i="24"/>
  <c r="E265" i="24"/>
  <c r="E264" i="24"/>
  <c r="E263" i="24"/>
  <c r="E262" i="24"/>
  <c r="E261" i="24"/>
  <c r="E260" i="24"/>
  <c r="E259" i="24"/>
  <c r="E258" i="24"/>
  <c r="E257" i="24"/>
  <c r="E256" i="24"/>
  <c r="E255" i="24"/>
  <c r="E254" i="24"/>
  <c r="E253" i="24"/>
  <c r="E252" i="24"/>
  <c r="E251" i="24"/>
  <c r="E250" i="24"/>
  <c r="E249" i="24"/>
  <c r="E248" i="24"/>
  <c r="E247" i="24"/>
  <c r="E246" i="24"/>
  <c r="E245" i="24"/>
  <c r="E244" i="24"/>
  <c r="E243" i="24"/>
  <c r="E242" i="24"/>
  <c r="E241" i="24"/>
  <c r="E240" i="24"/>
  <c r="E239" i="24"/>
  <c r="E238" i="24"/>
  <c r="E237" i="24"/>
  <c r="E236" i="24"/>
  <c r="E235" i="24"/>
  <c r="E234" i="24"/>
  <c r="E233" i="24"/>
  <c r="E232" i="24"/>
  <c r="E231" i="24"/>
  <c r="E230" i="24"/>
  <c r="E229" i="24"/>
  <c r="E228" i="24"/>
  <c r="E227" i="24"/>
  <c r="E226" i="24"/>
  <c r="E225" i="24"/>
  <c r="E224" i="24"/>
  <c r="E223" i="24"/>
  <c r="E222" i="24"/>
  <c r="E221" i="24"/>
  <c r="E220" i="24"/>
  <c r="E219" i="24"/>
  <c r="E218" i="24"/>
  <c r="E217" i="24"/>
  <c r="E216" i="24"/>
  <c r="E215" i="24"/>
  <c r="E214" i="24"/>
  <c r="E213" i="24"/>
  <c r="E212" i="24"/>
  <c r="E211" i="24"/>
  <c r="E210" i="24"/>
  <c r="E209" i="24"/>
  <c r="E208" i="24"/>
  <c r="E207" i="24"/>
  <c r="E206" i="24"/>
  <c r="E205" i="24"/>
  <c r="E204" i="24"/>
  <c r="E203" i="24"/>
  <c r="E202" i="24"/>
  <c r="E201" i="24"/>
  <c r="E200" i="24"/>
  <c r="E199" i="24"/>
  <c r="E198" i="24"/>
  <c r="E197" i="24"/>
  <c r="E196" i="24"/>
  <c r="E195" i="24"/>
  <c r="E194" i="24"/>
  <c r="E193" i="24"/>
  <c r="E192" i="24"/>
  <c r="E191" i="24"/>
  <c r="E190" i="24"/>
  <c r="E189" i="24"/>
  <c r="E188" i="24"/>
  <c r="E187" i="24"/>
  <c r="E186" i="24"/>
  <c r="E185" i="24"/>
  <c r="E184" i="24"/>
  <c r="E183" i="24"/>
  <c r="E182" i="24"/>
  <c r="E181" i="24"/>
  <c r="E180" i="24"/>
  <c r="E179" i="24"/>
  <c r="E178" i="24"/>
  <c r="E177" i="24"/>
  <c r="E176" i="24"/>
  <c r="E175" i="24"/>
  <c r="E174" i="24"/>
  <c r="E173" i="24"/>
  <c r="E172" i="24"/>
  <c r="E171" i="24"/>
  <c r="E170" i="24"/>
  <c r="E169" i="24"/>
  <c r="E168" i="24"/>
  <c r="E167" i="24"/>
  <c r="E166" i="24"/>
  <c r="E165" i="24"/>
  <c r="E164" i="24"/>
  <c r="E163" i="24"/>
  <c r="E162" i="24"/>
  <c r="E161" i="24"/>
  <c r="E160" i="24"/>
  <c r="E159" i="24"/>
  <c r="E158" i="24"/>
  <c r="E157" i="24"/>
  <c r="E156" i="24"/>
  <c r="E155" i="24"/>
  <c r="E154" i="24"/>
  <c r="E153" i="24"/>
  <c r="E152" i="24"/>
  <c r="E151" i="24"/>
  <c r="E150" i="24"/>
  <c r="E149" i="24"/>
  <c r="E148" i="24"/>
  <c r="E147" i="24"/>
  <c r="E146" i="24"/>
  <c r="E145" i="24"/>
  <c r="E144" i="24"/>
  <c r="E143" i="24"/>
  <c r="E142" i="24"/>
  <c r="E141" i="24"/>
  <c r="E140" i="24"/>
  <c r="E139" i="24"/>
  <c r="E138" i="24"/>
  <c r="E137" i="24"/>
  <c r="E136" i="24"/>
  <c r="E135" i="24"/>
  <c r="E134" i="24"/>
  <c r="E133" i="24"/>
  <c r="E132" i="24"/>
  <c r="E131" i="24"/>
  <c r="E130" i="24"/>
  <c r="E129" i="24"/>
  <c r="E128" i="24"/>
  <c r="E127" i="24"/>
  <c r="E126" i="24"/>
  <c r="E125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111" i="24"/>
  <c r="E110" i="24"/>
  <c r="E109" i="24"/>
  <c r="E108" i="24"/>
  <c r="E107" i="24"/>
  <c r="E106" i="24"/>
  <c r="E105" i="24"/>
  <c r="E104" i="24"/>
  <c r="E103" i="24"/>
  <c r="E102" i="24"/>
  <c r="E101" i="24"/>
  <c r="E100" i="24"/>
  <c r="E99" i="24"/>
  <c r="E98" i="24"/>
  <c r="E97" i="24"/>
  <c r="E96" i="24"/>
  <c r="E95" i="24"/>
  <c r="E94" i="24"/>
  <c r="E93" i="24"/>
  <c r="E92" i="24"/>
  <c r="E91" i="24"/>
  <c r="E90" i="24"/>
  <c r="E89" i="24"/>
  <c r="E88" i="24"/>
  <c r="E87" i="24"/>
  <c r="E86" i="24"/>
  <c r="E85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G1026" i="23"/>
  <c r="G1018" i="23"/>
  <c r="G1017" i="23"/>
  <c r="G1016" i="23"/>
  <c r="G1014" i="23"/>
  <c r="G1013" i="23"/>
  <c r="G1012" i="23"/>
  <c r="G1011" i="23"/>
  <c r="G964" i="23"/>
  <c r="G963" i="23"/>
  <c r="G962" i="23"/>
  <c r="G961" i="23"/>
  <c r="G960" i="23"/>
  <c r="G959" i="23"/>
  <c r="G958" i="23"/>
  <c r="G957" i="23"/>
  <c r="G956" i="23"/>
  <c r="G955" i="23"/>
  <c r="G954" i="23"/>
  <c r="G953" i="23"/>
  <c r="G952" i="23"/>
  <c r="G951" i="23"/>
  <c r="G950" i="23"/>
  <c r="G949" i="23"/>
  <c r="G948" i="23"/>
  <c r="G947" i="23"/>
  <c r="G946" i="23"/>
  <c r="G945" i="23"/>
  <c r="G944" i="23"/>
  <c r="G943" i="23"/>
  <c r="G942" i="23"/>
  <c r="G941" i="23"/>
  <c r="G940" i="23"/>
  <c r="G939" i="23"/>
  <c r="G938" i="23"/>
  <c r="G937" i="23"/>
  <c r="G936" i="23"/>
  <c r="G935" i="23"/>
  <c r="G934" i="23"/>
  <c r="G933" i="23"/>
  <c r="G932" i="23"/>
  <c r="G931" i="23"/>
  <c r="G930" i="23"/>
  <c r="G929" i="23"/>
  <c r="G928" i="23"/>
  <c r="G927" i="23"/>
  <c r="G926" i="23"/>
  <c r="G925" i="23"/>
  <c r="G924" i="23"/>
  <c r="G923" i="23"/>
  <c r="G922" i="23"/>
  <c r="G920" i="23"/>
  <c r="G919" i="23"/>
  <c r="G918" i="23"/>
  <c r="G917" i="23"/>
  <c r="G916" i="23"/>
  <c r="G915" i="23"/>
  <c r="G914" i="23"/>
  <c r="G910" i="23"/>
  <c r="G909" i="23"/>
  <c r="G908" i="23"/>
  <c r="G907" i="23"/>
  <c r="G906" i="23"/>
  <c r="G905" i="23"/>
  <c r="G904" i="23"/>
  <c r="G903" i="23"/>
  <c r="G902" i="23"/>
  <c r="G901" i="23"/>
  <c r="G900" i="23"/>
  <c r="G899" i="23"/>
  <c r="G898" i="23"/>
  <c r="G984" i="23"/>
  <c r="G983" i="23"/>
  <c r="G982" i="23"/>
  <c r="G981" i="23"/>
  <c r="G893" i="23"/>
  <c r="G884" i="23"/>
  <c r="G883" i="23"/>
  <c r="G882" i="23"/>
  <c r="G881" i="23"/>
  <c r="G880" i="23"/>
  <c r="G879" i="23"/>
  <c r="G878" i="23"/>
  <c r="G877" i="23"/>
  <c r="G876" i="23"/>
  <c r="G875" i="23"/>
  <c r="G874" i="23"/>
  <c r="G873" i="23"/>
  <c r="G872" i="23"/>
  <c r="G871" i="23"/>
  <c r="G870" i="23"/>
  <c r="G979" i="23"/>
  <c r="G978" i="23"/>
  <c r="G977" i="23"/>
  <c r="G892" i="23"/>
  <c r="G891" i="23"/>
  <c r="G890" i="23"/>
  <c r="G889" i="23"/>
  <c r="G888" i="23"/>
  <c r="G887" i="23"/>
  <c r="G886" i="23"/>
  <c r="G885" i="23"/>
  <c r="G976" i="23"/>
  <c r="G975" i="23"/>
  <c r="G974" i="23"/>
  <c r="G973" i="23"/>
  <c r="G972" i="23"/>
  <c r="G971" i="23"/>
  <c r="G970" i="23"/>
  <c r="G969" i="23"/>
  <c r="G968" i="23"/>
  <c r="G967" i="23"/>
  <c r="G966" i="23"/>
  <c r="G869" i="23"/>
  <c r="G868" i="23"/>
  <c r="G867" i="23"/>
  <c r="G866" i="23"/>
  <c r="G865" i="23"/>
  <c r="G864" i="23"/>
  <c r="G863" i="23"/>
  <c r="G862" i="23"/>
  <c r="G861" i="23"/>
  <c r="G860" i="23"/>
  <c r="G859" i="23"/>
  <c r="G858" i="23"/>
  <c r="G857" i="23"/>
  <c r="G913" i="23"/>
  <c r="G912" i="23"/>
  <c r="G911" i="23"/>
  <c r="C594" i="22"/>
  <c r="I8" i="22" s="1"/>
  <c r="C27" i="22"/>
  <c r="J5" i="22" s="1"/>
  <c r="C922" i="22"/>
  <c r="I14" i="22" s="1"/>
  <c r="C767" i="22"/>
  <c r="C903" i="22" s="1"/>
  <c r="C515" i="22"/>
  <c r="C401" i="22"/>
  <c r="C305" i="22"/>
  <c r="C304" i="22"/>
  <c r="C33" i="22"/>
  <c r="E323" i="24" l="1"/>
  <c r="C12" i="25"/>
  <c r="C7" i="25"/>
  <c r="G895" i="23"/>
  <c r="C923" i="22"/>
  <c r="C558" i="22"/>
  <c r="C595" i="22" s="1"/>
  <c r="C926" i="22" s="1"/>
  <c r="G985" i="23"/>
  <c r="D5" i="23" s="1"/>
  <c r="G1027" i="23"/>
  <c r="I13" i="22"/>
  <c r="J15" i="22" s="1"/>
  <c r="K16" i="22" s="1"/>
  <c r="D4" i="23" l="1"/>
  <c r="G1029" i="23"/>
  <c r="I7" i="22"/>
  <c r="J9" i="22" s="1"/>
  <c r="K18" i="22" s="1"/>
  <c r="K10" i="22" l="1"/>
  <c r="E744" i="20"/>
  <c r="E7" i="20" s="1"/>
  <c r="D744" i="20"/>
  <c r="E8" i="20" s="1"/>
  <c r="L37" i="20"/>
  <c r="K37" i="20"/>
  <c r="L8" i="20" s="1"/>
  <c r="F13" i="20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F37" i="20" s="1"/>
  <c r="F38" i="20" s="1"/>
  <c r="F39" i="20" s="1"/>
  <c r="F40" i="20" s="1"/>
  <c r="F41" i="20" s="1"/>
  <c r="F42" i="20" s="1"/>
  <c r="F43" i="20" s="1"/>
  <c r="F44" i="20" s="1"/>
  <c r="F45" i="20" s="1"/>
  <c r="F46" i="20" s="1"/>
  <c r="F47" i="20" s="1"/>
  <c r="F48" i="20" s="1"/>
  <c r="F49" i="20" s="1"/>
  <c r="F50" i="20" s="1"/>
  <c r="F51" i="20" s="1"/>
  <c r="F52" i="20" s="1"/>
  <c r="F53" i="20" s="1"/>
  <c r="F54" i="20" s="1"/>
  <c r="F55" i="20" s="1"/>
  <c r="F56" i="20" s="1"/>
  <c r="F57" i="20" s="1"/>
  <c r="F58" i="20" s="1"/>
  <c r="F59" i="20" s="1"/>
  <c r="F60" i="20" s="1"/>
  <c r="F61" i="20" s="1"/>
  <c r="F62" i="20" s="1"/>
  <c r="F63" i="20" s="1"/>
  <c r="F64" i="20" s="1"/>
  <c r="F65" i="20" s="1"/>
  <c r="F66" i="20" s="1"/>
  <c r="F67" i="20" s="1"/>
  <c r="F68" i="20" s="1"/>
  <c r="F69" i="20" s="1"/>
  <c r="F70" i="20" s="1"/>
  <c r="F71" i="20" s="1"/>
  <c r="F72" i="20" s="1"/>
  <c r="F73" i="20" s="1"/>
  <c r="F74" i="20" s="1"/>
  <c r="F75" i="20" s="1"/>
  <c r="F76" i="20" s="1"/>
  <c r="F77" i="20" s="1"/>
  <c r="F78" i="20" s="1"/>
  <c r="F79" i="20" s="1"/>
  <c r="F80" i="20" s="1"/>
  <c r="F81" i="20" s="1"/>
  <c r="F82" i="20" s="1"/>
  <c r="F83" i="20" s="1"/>
  <c r="F84" i="20" s="1"/>
  <c r="F85" i="20" s="1"/>
  <c r="F86" i="20" s="1"/>
  <c r="F87" i="20" s="1"/>
  <c r="F88" i="20" s="1"/>
  <c r="F89" i="20" s="1"/>
  <c r="F90" i="20" s="1"/>
  <c r="F91" i="20" s="1"/>
  <c r="F92" i="20" s="1"/>
  <c r="F93" i="20" s="1"/>
  <c r="F94" i="20" s="1"/>
  <c r="F95" i="20" s="1"/>
  <c r="F96" i="20" s="1"/>
  <c r="F97" i="20" s="1"/>
  <c r="F98" i="20" s="1"/>
  <c r="F99" i="20" s="1"/>
  <c r="F100" i="20" s="1"/>
  <c r="F101" i="20" s="1"/>
  <c r="F102" i="20" s="1"/>
  <c r="F103" i="20" s="1"/>
  <c r="F104" i="20" s="1"/>
  <c r="F105" i="20" s="1"/>
  <c r="F106" i="20" s="1"/>
  <c r="F107" i="20" s="1"/>
  <c r="F108" i="20" s="1"/>
  <c r="F109" i="20" s="1"/>
  <c r="F110" i="20" s="1"/>
  <c r="F111" i="20" s="1"/>
  <c r="F112" i="20" s="1"/>
  <c r="F113" i="20" s="1"/>
  <c r="F114" i="20" s="1"/>
  <c r="F115" i="20" s="1"/>
  <c r="F116" i="20" s="1"/>
  <c r="F117" i="20" s="1"/>
  <c r="F118" i="20" s="1"/>
  <c r="F119" i="20" s="1"/>
  <c r="F120" i="20" s="1"/>
  <c r="F121" i="20" s="1"/>
  <c r="F122" i="20" s="1"/>
  <c r="F123" i="20" s="1"/>
  <c r="F124" i="20" s="1"/>
  <c r="F125" i="20" s="1"/>
  <c r="F126" i="20" s="1"/>
  <c r="F127" i="20" s="1"/>
  <c r="F128" i="20" s="1"/>
  <c r="F129" i="20" s="1"/>
  <c r="F130" i="20" s="1"/>
  <c r="F131" i="20" s="1"/>
  <c r="F132" i="20" s="1"/>
  <c r="F133" i="20" s="1"/>
  <c r="F134" i="20" s="1"/>
  <c r="F135" i="20" s="1"/>
  <c r="F136" i="20" s="1"/>
  <c r="F137" i="20" s="1"/>
  <c r="F138" i="20" s="1"/>
  <c r="F139" i="20" s="1"/>
  <c r="F140" i="20" s="1"/>
  <c r="F141" i="20" s="1"/>
  <c r="F142" i="20" s="1"/>
  <c r="F143" i="20" s="1"/>
  <c r="F144" i="20" s="1"/>
  <c r="F145" i="20" s="1"/>
  <c r="F146" i="20" s="1"/>
  <c r="F147" i="20" s="1"/>
  <c r="F148" i="20" s="1"/>
  <c r="F149" i="20" s="1"/>
  <c r="F150" i="20" s="1"/>
  <c r="F151" i="20" s="1"/>
  <c r="F152" i="20" s="1"/>
  <c r="F153" i="20" s="1"/>
  <c r="F154" i="20" s="1"/>
  <c r="F155" i="20" s="1"/>
  <c r="F156" i="20" s="1"/>
  <c r="F157" i="20" s="1"/>
  <c r="F158" i="20" s="1"/>
  <c r="F159" i="20" s="1"/>
  <c r="F160" i="20" s="1"/>
  <c r="F161" i="20" s="1"/>
  <c r="F162" i="20" s="1"/>
  <c r="F163" i="20" s="1"/>
  <c r="F164" i="20" s="1"/>
  <c r="F165" i="20" s="1"/>
  <c r="F166" i="20" s="1"/>
  <c r="F167" i="20" s="1"/>
  <c r="F168" i="20" s="1"/>
  <c r="F169" i="20" s="1"/>
  <c r="F170" i="20" s="1"/>
  <c r="F171" i="20" s="1"/>
  <c r="F172" i="20" s="1"/>
  <c r="F173" i="20" s="1"/>
  <c r="F174" i="20" s="1"/>
  <c r="F175" i="20" s="1"/>
  <c r="F176" i="20" s="1"/>
  <c r="F177" i="20" s="1"/>
  <c r="F178" i="20" s="1"/>
  <c r="F179" i="20" s="1"/>
  <c r="F180" i="20" s="1"/>
  <c r="F181" i="20" s="1"/>
  <c r="F182" i="20" s="1"/>
  <c r="F183" i="20" s="1"/>
  <c r="F184" i="20" s="1"/>
  <c r="F185" i="20" s="1"/>
  <c r="F186" i="20" s="1"/>
  <c r="F187" i="20" s="1"/>
  <c r="F188" i="20" s="1"/>
  <c r="F189" i="20" s="1"/>
  <c r="F190" i="20" s="1"/>
  <c r="F191" i="20" s="1"/>
  <c r="F192" i="20" s="1"/>
  <c r="F193" i="20" s="1"/>
  <c r="F194" i="20" s="1"/>
  <c r="F195" i="20" s="1"/>
  <c r="F196" i="20" s="1"/>
  <c r="F197" i="20" s="1"/>
  <c r="F198" i="20" s="1"/>
  <c r="F199" i="20" s="1"/>
  <c r="F200" i="20" s="1"/>
  <c r="F201" i="20" s="1"/>
  <c r="F202" i="20" s="1"/>
  <c r="F203" i="20" s="1"/>
  <c r="F204" i="20" s="1"/>
  <c r="F205" i="20" s="1"/>
  <c r="F206" i="20" s="1"/>
  <c r="F207" i="20" s="1"/>
  <c r="F208" i="20" s="1"/>
  <c r="F209" i="20" s="1"/>
  <c r="F210" i="20" s="1"/>
  <c r="F211" i="20" s="1"/>
  <c r="F212" i="20" s="1"/>
  <c r="F213" i="20" s="1"/>
  <c r="F214" i="20" s="1"/>
  <c r="F215" i="20" s="1"/>
  <c r="F216" i="20" s="1"/>
  <c r="F217" i="20" s="1"/>
  <c r="F218" i="20" s="1"/>
  <c r="F219" i="20" s="1"/>
  <c r="F220" i="20" s="1"/>
  <c r="F221" i="20" s="1"/>
  <c r="F222" i="20" s="1"/>
  <c r="F223" i="20" s="1"/>
  <c r="F224" i="20" s="1"/>
  <c r="F225" i="20" s="1"/>
  <c r="F226" i="20" s="1"/>
  <c r="F227" i="20" s="1"/>
  <c r="F228" i="20" s="1"/>
  <c r="F229" i="20" s="1"/>
  <c r="F230" i="20" s="1"/>
  <c r="F231" i="20" s="1"/>
  <c r="F232" i="20" s="1"/>
  <c r="F233" i="20" s="1"/>
  <c r="F234" i="20" s="1"/>
  <c r="F235" i="20" s="1"/>
  <c r="F236" i="20" s="1"/>
  <c r="F237" i="20" s="1"/>
  <c r="F238" i="20" s="1"/>
  <c r="F239" i="20" s="1"/>
  <c r="F240" i="20" s="1"/>
  <c r="F241" i="20" s="1"/>
  <c r="F242" i="20" s="1"/>
  <c r="F243" i="20" s="1"/>
  <c r="F244" i="20" s="1"/>
  <c r="F245" i="20" s="1"/>
  <c r="F246" i="20" s="1"/>
  <c r="F247" i="20" s="1"/>
  <c r="F248" i="20" s="1"/>
  <c r="F249" i="20" s="1"/>
  <c r="F250" i="20" s="1"/>
  <c r="F251" i="20" s="1"/>
  <c r="F252" i="20" s="1"/>
  <c r="F253" i="20" s="1"/>
  <c r="F254" i="20" s="1"/>
  <c r="F255" i="20" s="1"/>
  <c r="F256" i="20" s="1"/>
  <c r="F257" i="20" s="1"/>
  <c r="F258" i="20" s="1"/>
  <c r="F259" i="20" s="1"/>
  <c r="F260" i="20" s="1"/>
  <c r="F261" i="20" s="1"/>
  <c r="F262" i="20" s="1"/>
  <c r="F263" i="20" s="1"/>
  <c r="F264" i="20" s="1"/>
  <c r="F265" i="20" s="1"/>
  <c r="F266" i="20" s="1"/>
  <c r="F267" i="20" s="1"/>
  <c r="F268" i="20" s="1"/>
  <c r="F269" i="20" s="1"/>
  <c r="F270" i="20" s="1"/>
  <c r="F271" i="20" s="1"/>
  <c r="F272" i="20" s="1"/>
  <c r="F273" i="20" s="1"/>
  <c r="F274" i="20" s="1"/>
  <c r="F275" i="20" s="1"/>
  <c r="F276" i="20" s="1"/>
  <c r="F277" i="20" s="1"/>
  <c r="F278" i="20" s="1"/>
  <c r="F279" i="20" s="1"/>
  <c r="F280" i="20" s="1"/>
  <c r="F281" i="20" s="1"/>
  <c r="F282" i="20" s="1"/>
  <c r="F283" i="20" s="1"/>
  <c r="F284" i="20" s="1"/>
  <c r="F285" i="20" s="1"/>
  <c r="F286" i="20" s="1"/>
  <c r="F287" i="20" s="1"/>
  <c r="F288" i="20" s="1"/>
  <c r="F289" i="20" s="1"/>
  <c r="F290" i="20" s="1"/>
  <c r="F291" i="20" s="1"/>
  <c r="F292" i="20" s="1"/>
  <c r="F293" i="20" s="1"/>
  <c r="F294" i="20" s="1"/>
  <c r="F295" i="20" s="1"/>
  <c r="F296" i="20" s="1"/>
  <c r="F297" i="20" s="1"/>
  <c r="F298" i="20" s="1"/>
  <c r="F299" i="20" s="1"/>
  <c r="F300" i="20" s="1"/>
  <c r="F301" i="20" s="1"/>
  <c r="F302" i="20" s="1"/>
  <c r="F303" i="20" s="1"/>
  <c r="F304" i="20" s="1"/>
  <c r="F305" i="20" s="1"/>
  <c r="F306" i="20" s="1"/>
  <c r="F307" i="20" s="1"/>
  <c r="F308" i="20" s="1"/>
  <c r="F309" i="20" s="1"/>
  <c r="F310" i="20" s="1"/>
  <c r="F311" i="20" s="1"/>
  <c r="F312" i="20" s="1"/>
  <c r="F313" i="20" s="1"/>
  <c r="F314" i="20" s="1"/>
  <c r="F315" i="20" s="1"/>
  <c r="F316" i="20" s="1"/>
  <c r="F317" i="20" s="1"/>
  <c r="F318" i="20" s="1"/>
  <c r="F319" i="20" s="1"/>
  <c r="F320" i="20" s="1"/>
  <c r="F321" i="20" s="1"/>
  <c r="F322" i="20" s="1"/>
  <c r="F323" i="20" s="1"/>
  <c r="F324" i="20" s="1"/>
  <c r="F325" i="20" s="1"/>
  <c r="F326" i="20" s="1"/>
  <c r="F327" i="20" s="1"/>
  <c r="F328" i="20" s="1"/>
  <c r="F329" i="20" s="1"/>
  <c r="F330" i="20" s="1"/>
  <c r="F331" i="20" s="1"/>
  <c r="F332" i="20" s="1"/>
  <c r="F333" i="20" s="1"/>
  <c r="F334" i="20" s="1"/>
  <c r="F335" i="20" s="1"/>
  <c r="F336" i="20" s="1"/>
  <c r="F337" i="20" s="1"/>
  <c r="F338" i="20" s="1"/>
  <c r="F339" i="20" s="1"/>
  <c r="F340" i="20" s="1"/>
  <c r="F341" i="20" s="1"/>
  <c r="F342" i="20" s="1"/>
  <c r="F343" i="20" s="1"/>
  <c r="F344" i="20" s="1"/>
  <c r="F345" i="20" s="1"/>
  <c r="F346" i="20" s="1"/>
  <c r="F347" i="20" s="1"/>
  <c r="F348" i="20" s="1"/>
  <c r="F349" i="20" s="1"/>
  <c r="F350" i="20" s="1"/>
  <c r="F351" i="20" s="1"/>
  <c r="F352" i="20" s="1"/>
  <c r="F353" i="20" s="1"/>
  <c r="F354" i="20" s="1"/>
  <c r="F355" i="20" s="1"/>
  <c r="F356" i="20" s="1"/>
  <c r="F357" i="20" s="1"/>
  <c r="F358" i="20" s="1"/>
  <c r="F359" i="20" s="1"/>
  <c r="F360" i="20" s="1"/>
  <c r="F361" i="20" s="1"/>
  <c r="F362" i="20" s="1"/>
  <c r="F363" i="20" s="1"/>
  <c r="F364" i="20" s="1"/>
  <c r="F365" i="20" s="1"/>
  <c r="F366" i="20" s="1"/>
  <c r="F367" i="20" s="1"/>
  <c r="F368" i="20" s="1"/>
  <c r="F369" i="20" s="1"/>
  <c r="F370" i="20" s="1"/>
  <c r="F371" i="20" s="1"/>
  <c r="F372" i="20" s="1"/>
  <c r="F373" i="20" s="1"/>
  <c r="F374" i="20" s="1"/>
  <c r="F375" i="20" s="1"/>
  <c r="F376" i="20" s="1"/>
  <c r="F377" i="20" s="1"/>
  <c r="F378" i="20" s="1"/>
  <c r="F379" i="20" s="1"/>
  <c r="F380" i="20" s="1"/>
  <c r="F381" i="20" s="1"/>
  <c r="F382" i="20" s="1"/>
  <c r="F383" i="20" s="1"/>
  <c r="F384" i="20" s="1"/>
  <c r="F385" i="20" s="1"/>
  <c r="F386" i="20" s="1"/>
  <c r="F387" i="20" s="1"/>
  <c r="F388" i="20" s="1"/>
  <c r="F389" i="20" s="1"/>
  <c r="F390" i="20" s="1"/>
  <c r="F391" i="20" s="1"/>
  <c r="F392" i="20" s="1"/>
  <c r="F393" i="20" s="1"/>
  <c r="F394" i="20" s="1"/>
  <c r="F395" i="20" s="1"/>
  <c r="F396" i="20" s="1"/>
  <c r="F397" i="20" s="1"/>
  <c r="F398" i="20" s="1"/>
  <c r="F399" i="20" s="1"/>
  <c r="F400" i="20" s="1"/>
  <c r="F401" i="20" s="1"/>
  <c r="F402" i="20" s="1"/>
  <c r="F403" i="20" s="1"/>
  <c r="F404" i="20" s="1"/>
  <c r="F405" i="20" s="1"/>
  <c r="F406" i="20" s="1"/>
  <c r="F407" i="20" s="1"/>
  <c r="F408" i="20" s="1"/>
  <c r="F409" i="20" s="1"/>
  <c r="F410" i="20" s="1"/>
  <c r="F411" i="20" s="1"/>
  <c r="F412" i="20" s="1"/>
  <c r="F413" i="20" s="1"/>
  <c r="F414" i="20" s="1"/>
  <c r="F415" i="20" s="1"/>
  <c r="F416" i="20" s="1"/>
  <c r="F417" i="20" s="1"/>
  <c r="F418" i="20" s="1"/>
  <c r="F419" i="20" s="1"/>
  <c r="F420" i="20" s="1"/>
  <c r="F421" i="20" s="1"/>
  <c r="F422" i="20" s="1"/>
  <c r="F423" i="20" s="1"/>
  <c r="F424" i="20" s="1"/>
  <c r="F425" i="20" s="1"/>
  <c r="F426" i="20" s="1"/>
  <c r="F427" i="20" s="1"/>
  <c r="F428" i="20" s="1"/>
  <c r="F429" i="20" s="1"/>
  <c r="F430" i="20" s="1"/>
  <c r="F431" i="20" s="1"/>
  <c r="F432" i="20" s="1"/>
  <c r="F433" i="20" s="1"/>
  <c r="F434" i="20" s="1"/>
  <c r="F435" i="20" s="1"/>
  <c r="F436" i="20" s="1"/>
  <c r="F437" i="20" s="1"/>
  <c r="F438" i="20" s="1"/>
  <c r="F439" i="20" s="1"/>
  <c r="F440" i="20" s="1"/>
  <c r="F441" i="20" s="1"/>
  <c r="F442" i="20" s="1"/>
  <c r="F443" i="20" s="1"/>
  <c r="F444" i="20" s="1"/>
  <c r="F445" i="20" s="1"/>
  <c r="F446" i="20" s="1"/>
  <c r="F447" i="20" s="1"/>
  <c r="F448" i="20" s="1"/>
  <c r="F449" i="20" s="1"/>
  <c r="F450" i="20" s="1"/>
  <c r="F451" i="20" s="1"/>
  <c r="F452" i="20" s="1"/>
  <c r="F453" i="20" s="1"/>
  <c r="F454" i="20" s="1"/>
  <c r="F455" i="20" s="1"/>
  <c r="F456" i="20" s="1"/>
  <c r="F457" i="20" s="1"/>
  <c r="F458" i="20" s="1"/>
  <c r="F459" i="20" s="1"/>
  <c r="F460" i="20" s="1"/>
  <c r="F461" i="20" s="1"/>
  <c r="F462" i="20" s="1"/>
  <c r="F463" i="20" s="1"/>
  <c r="F464" i="20" s="1"/>
  <c r="F465" i="20" s="1"/>
  <c r="F466" i="20" s="1"/>
  <c r="F467" i="20" s="1"/>
  <c r="F468" i="20" s="1"/>
  <c r="F469" i="20" s="1"/>
  <c r="F470" i="20" s="1"/>
  <c r="F471" i="20" s="1"/>
  <c r="F472" i="20" s="1"/>
  <c r="F473" i="20" s="1"/>
  <c r="F474" i="20" s="1"/>
  <c r="F475" i="20" s="1"/>
  <c r="F476" i="20" s="1"/>
  <c r="F477" i="20" s="1"/>
  <c r="F478" i="20" s="1"/>
  <c r="F479" i="20" s="1"/>
  <c r="F480" i="20" s="1"/>
  <c r="F481" i="20" s="1"/>
  <c r="F482" i="20" s="1"/>
  <c r="F483" i="20" s="1"/>
  <c r="F484" i="20" s="1"/>
  <c r="F485" i="20" s="1"/>
  <c r="F486" i="20" s="1"/>
  <c r="F487" i="20" s="1"/>
  <c r="F488" i="20" s="1"/>
  <c r="F489" i="20" s="1"/>
  <c r="F490" i="20" s="1"/>
  <c r="F491" i="20" s="1"/>
  <c r="F492" i="20" s="1"/>
  <c r="F493" i="20" s="1"/>
  <c r="F494" i="20" s="1"/>
  <c r="F495" i="20" s="1"/>
  <c r="F496" i="20" s="1"/>
  <c r="F497" i="20" s="1"/>
  <c r="F498" i="20" s="1"/>
  <c r="F499" i="20" s="1"/>
  <c r="F500" i="20" s="1"/>
  <c r="F501" i="20" s="1"/>
  <c r="F502" i="20" s="1"/>
  <c r="F503" i="20" s="1"/>
  <c r="F504" i="20" s="1"/>
  <c r="F505" i="20" s="1"/>
  <c r="F506" i="20" s="1"/>
  <c r="F507" i="20" s="1"/>
  <c r="F508" i="20" s="1"/>
  <c r="F509" i="20" s="1"/>
  <c r="F510" i="20" s="1"/>
  <c r="F511" i="20" s="1"/>
  <c r="F512" i="20" s="1"/>
  <c r="F513" i="20" s="1"/>
  <c r="F514" i="20" s="1"/>
  <c r="F515" i="20" s="1"/>
  <c r="F516" i="20" s="1"/>
  <c r="F517" i="20" s="1"/>
  <c r="F518" i="20" s="1"/>
  <c r="F519" i="20" s="1"/>
  <c r="F520" i="20" s="1"/>
  <c r="F521" i="20" s="1"/>
  <c r="F522" i="20" s="1"/>
  <c r="F523" i="20" s="1"/>
  <c r="F524" i="20" s="1"/>
  <c r="F525" i="20" s="1"/>
  <c r="F526" i="20" s="1"/>
  <c r="F527" i="20" s="1"/>
  <c r="F528" i="20" s="1"/>
  <c r="F529" i="20" s="1"/>
  <c r="F530" i="20" s="1"/>
  <c r="F531" i="20" s="1"/>
  <c r="F532" i="20" s="1"/>
  <c r="F533" i="20" s="1"/>
  <c r="F534" i="20" s="1"/>
  <c r="F535" i="20" s="1"/>
  <c r="F536" i="20" s="1"/>
  <c r="F537" i="20" s="1"/>
  <c r="F538" i="20" s="1"/>
  <c r="F539" i="20" s="1"/>
  <c r="F540" i="20" s="1"/>
  <c r="F541" i="20" s="1"/>
  <c r="F542" i="20" s="1"/>
  <c r="F543" i="20" s="1"/>
  <c r="F544" i="20" s="1"/>
  <c r="F545" i="20" s="1"/>
  <c r="F546" i="20" s="1"/>
  <c r="F547" i="20" s="1"/>
  <c r="F548" i="20" s="1"/>
  <c r="F549" i="20" s="1"/>
  <c r="F550" i="20" s="1"/>
  <c r="F551" i="20" s="1"/>
  <c r="F552" i="20" s="1"/>
  <c r="F553" i="20" s="1"/>
  <c r="F554" i="20" s="1"/>
  <c r="F555" i="20" s="1"/>
  <c r="F556" i="20" s="1"/>
  <c r="F557" i="20" s="1"/>
  <c r="F558" i="20" s="1"/>
  <c r="F559" i="20" s="1"/>
  <c r="F560" i="20" s="1"/>
  <c r="F561" i="20" s="1"/>
  <c r="F562" i="20" s="1"/>
  <c r="F563" i="20" s="1"/>
  <c r="F564" i="20" s="1"/>
  <c r="F565" i="20" s="1"/>
  <c r="F566" i="20" s="1"/>
  <c r="F567" i="20" s="1"/>
  <c r="F568" i="20" s="1"/>
  <c r="F569" i="20" s="1"/>
  <c r="F570" i="20" s="1"/>
  <c r="F571" i="20" s="1"/>
  <c r="F572" i="20" s="1"/>
  <c r="F573" i="20" s="1"/>
  <c r="F574" i="20" s="1"/>
  <c r="F575" i="20" s="1"/>
  <c r="F576" i="20" s="1"/>
  <c r="F577" i="20" s="1"/>
  <c r="F578" i="20" s="1"/>
  <c r="F579" i="20" s="1"/>
  <c r="F580" i="20" s="1"/>
  <c r="F581" i="20" s="1"/>
  <c r="F582" i="20" s="1"/>
  <c r="F583" i="20" s="1"/>
  <c r="F584" i="20" s="1"/>
  <c r="F585" i="20" s="1"/>
  <c r="F586" i="20" s="1"/>
  <c r="F587" i="20" s="1"/>
  <c r="F588" i="20" s="1"/>
  <c r="F589" i="20" s="1"/>
  <c r="F590" i="20" s="1"/>
  <c r="F591" i="20" s="1"/>
  <c r="F592" i="20" s="1"/>
  <c r="F593" i="20" s="1"/>
  <c r="F594" i="20" s="1"/>
  <c r="F595" i="20" s="1"/>
  <c r="F596" i="20" s="1"/>
  <c r="F597" i="20" s="1"/>
  <c r="F598" i="20" s="1"/>
  <c r="F599" i="20" s="1"/>
  <c r="F600" i="20" s="1"/>
  <c r="F601" i="20" s="1"/>
  <c r="F602" i="20" s="1"/>
  <c r="F603" i="20" s="1"/>
  <c r="F604" i="20" s="1"/>
  <c r="F605" i="20" s="1"/>
  <c r="F606" i="20" s="1"/>
  <c r="F607" i="20" s="1"/>
  <c r="F608" i="20" s="1"/>
  <c r="F609" i="20" s="1"/>
  <c r="F610" i="20" s="1"/>
  <c r="F611" i="20" s="1"/>
  <c r="F612" i="20" s="1"/>
  <c r="F613" i="20" s="1"/>
  <c r="F614" i="20" s="1"/>
  <c r="F615" i="20" s="1"/>
  <c r="F616" i="20" s="1"/>
  <c r="F617" i="20" s="1"/>
  <c r="F618" i="20" s="1"/>
  <c r="F619" i="20" s="1"/>
  <c r="F620" i="20" s="1"/>
  <c r="F621" i="20" s="1"/>
  <c r="F622" i="20" s="1"/>
  <c r="F623" i="20" s="1"/>
  <c r="F624" i="20" s="1"/>
  <c r="F625" i="20" s="1"/>
  <c r="F626" i="20" s="1"/>
  <c r="F627" i="20" s="1"/>
  <c r="F628" i="20" s="1"/>
  <c r="F629" i="20" s="1"/>
  <c r="F630" i="20" s="1"/>
  <c r="F631" i="20" s="1"/>
  <c r="F632" i="20" s="1"/>
  <c r="F633" i="20" s="1"/>
  <c r="F634" i="20" s="1"/>
  <c r="F635" i="20" s="1"/>
  <c r="F636" i="20" s="1"/>
  <c r="F637" i="20" s="1"/>
  <c r="F638" i="20" s="1"/>
  <c r="F639" i="20" s="1"/>
  <c r="F640" i="20" s="1"/>
  <c r="F641" i="20" s="1"/>
  <c r="F642" i="20" s="1"/>
  <c r="F643" i="20" s="1"/>
  <c r="F644" i="20" s="1"/>
  <c r="F645" i="20" s="1"/>
  <c r="F646" i="20" s="1"/>
  <c r="F647" i="20" s="1"/>
  <c r="F648" i="20" s="1"/>
  <c r="F649" i="20" s="1"/>
  <c r="F650" i="20" s="1"/>
  <c r="F651" i="20" s="1"/>
  <c r="F652" i="20" s="1"/>
  <c r="F653" i="20" s="1"/>
  <c r="F654" i="20" s="1"/>
  <c r="F655" i="20" s="1"/>
  <c r="F656" i="20" s="1"/>
  <c r="F657" i="20" s="1"/>
  <c r="F658" i="20" s="1"/>
  <c r="F659" i="20" s="1"/>
  <c r="F660" i="20" s="1"/>
  <c r="F661" i="20" s="1"/>
  <c r="F662" i="20" s="1"/>
  <c r="F663" i="20" s="1"/>
  <c r="F664" i="20" s="1"/>
  <c r="F665" i="20" s="1"/>
  <c r="F666" i="20" s="1"/>
  <c r="F667" i="20" s="1"/>
  <c r="F668" i="20" s="1"/>
  <c r="F669" i="20" s="1"/>
  <c r="F670" i="20" s="1"/>
  <c r="F671" i="20" s="1"/>
  <c r="F672" i="20" s="1"/>
  <c r="F673" i="20" s="1"/>
  <c r="F674" i="20" s="1"/>
  <c r="F675" i="20" s="1"/>
  <c r="F676" i="20" s="1"/>
  <c r="F677" i="20" s="1"/>
  <c r="F678" i="20" s="1"/>
  <c r="F679" i="20" s="1"/>
  <c r="F680" i="20" s="1"/>
  <c r="F681" i="20" s="1"/>
  <c r="F682" i="20" s="1"/>
  <c r="F683" i="20" s="1"/>
  <c r="F684" i="20" s="1"/>
  <c r="F685" i="20" s="1"/>
  <c r="F686" i="20" s="1"/>
  <c r="F687" i="20" s="1"/>
  <c r="F688" i="20" s="1"/>
  <c r="F689" i="20" s="1"/>
  <c r="F690" i="20" s="1"/>
  <c r="F691" i="20" s="1"/>
  <c r="F692" i="20" s="1"/>
  <c r="F693" i="20" s="1"/>
  <c r="F694" i="20" s="1"/>
  <c r="F695" i="20" s="1"/>
  <c r="F696" i="20" s="1"/>
  <c r="F697" i="20" s="1"/>
  <c r="F698" i="20" s="1"/>
  <c r="F699" i="20" s="1"/>
  <c r="F700" i="20" s="1"/>
  <c r="F701" i="20" s="1"/>
  <c r="F702" i="20" s="1"/>
  <c r="F703" i="20" s="1"/>
  <c r="F704" i="20" s="1"/>
  <c r="F705" i="20" s="1"/>
  <c r="F706" i="20" s="1"/>
  <c r="F707" i="20" s="1"/>
  <c r="F708" i="20" s="1"/>
  <c r="F709" i="20" s="1"/>
  <c r="F710" i="20" s="1"/>
  <c r="F711" i="20" s="1"/>
  <c r="F712" i="20" s="1"/>
  <c r="F713" i="20" s="1"/>
  <c r="F714" i="20" s="1"/>
  <c r="F715" i="20" s="1"/>
  <c r="F716" i="20" s="1"/>
  <c r="F717" i="20" s="1"/>
  <c r="F718" i="20" s="1"/>
  <c r="F719" i="20" s="1"/>
  <c r="F720" i="20" s="1"/>
  <c r="F721" i="20" s="1"/>
  <c r="F722" i="20" s="1"/>
  <c r="F723" i="20" s="1"/>
  <c r="F724" i="20" s="1"/>
  <c r="F725" i="20" s="1"/>
  <c r="F726" i="20" s="1"/>
  <c r="F727" i="20" s="1"/>
  <c r="F728" i="20" s="1"/>
  <c r="F729" i="20" s="1"/>
  <c r="F730" i="20" s="1"/>
  <c r="F731" i="20" s="1"/>
  <c r="F732" i="20" s="1"/>
  <c r="F733" i="20" s="1"/>
  <c r="F734" i="20" s="1"/>
  <c r="F735" i="20" s="1"/>
  <c r="F736" i="20" s="1"/>
  <c r="F737" i="20" s="1"/>
  <c r="F738" i="20" s="1"/>
  <c r="F739" i="20" s="1"/>
  <c r="F740" i="20" s="1"/>
  <c r="F741" i="20" s="1"/>
  <c r="F742" i="20" s="1"/>
  <c r="F743" i="20" s="1"/>
  <c r="E6" i="20" s="1"/>
  <c r="M12" i="20"/>
  <c r="M13" i="20" s="1"/>
  <c r="M14" i="20" s="1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M26" i="20" s="1"/>
  <c r="M27" i="20" s="1"/>
  <c r="M28" i="20" s="1"/>
  <c r="M29" i="20" s="1"/>
  <c r="M30" i="20" s="1"/>
  <c r="M31" i="20" s="1"/>
  <c r="M32" i="20" s="1"/>
  <c r="M33" i="20" s="1"/>
  <c r="M34" i="20" s="1"/>
  <c r="M35" i="20" s="1"/>
  <c r="M36" i="20" s="1"/>
  <c r="L6" i="20" s="1"/>
  <c r="F12" i="20"/>
  <c r="L7" i="20"/>
  <c r="E21" i="19"/>
  <c r="H999" i="14" l="1"/>
  <c r="H1000" i="14" s="1"/>
  <c r="I1000" i="14" l="1"/>
  <c r="E9" i="19" l="1"/>
  <c r="F16" i="19" s="1"/>
  <c r="I999" i="14"/>
  <c r="F22" i="19" l="1"/>
  <c r="G1034" i="23" l="1"/>
  <c r="D8" i="23"/>
</calcChain>
</file>

<file path=xl/sharedStrings.xml><?xml version="1.0" encoding="utf-8"?>
<sst xmlns="http://schemas.openxmlformats.org/spreadsheetml/2006/main" count="13093" uniqueCount="4843">
  <si>
    <t>S/No</t>
  </si>
  <si>
    <t>Faculty</t>
  </si>
  <si>
    <t>Mode of participation</t>
  </si>
  <si>
    <t>Country</t>
  </si>
  <si>
    <t>Amt</t>
  </si>
  <si>
    <t>Comments</t>
  </si>
  <si>
    <t>Family Medicine</t>
  </si>
  <si>
    <t>Virtual</t>
  </si>
  <si>
    <t>Nigeria</t>
  </si>
  <si>
    <t>Paediatrics</t>
  </si>
  <si>
    <t>Physical</t>
  </si>
  <si>
    <t>Gambia</t>
  </si>
  <si>
    <t>Community Health</t>
  </si>
  <si>
    <t>Ghana</t>
  </si>
  <si>
    <t>Internal Medicine</t>
  </si>
  <si>
    <t>Psychiatry</t>
  </si>
  <si>
    <t>Laboratory Medicine</t>
  </si>
  <si>
    <t>United Kingdom</t>
  </si>
  <si>
    <t>Paediatric</t>
  </si>
  <si>
    <r>
      <rPr>
        <sz val="11"/>
        <color rgb="FF000000"/>
        <rFont val="Palatino Linotype"/>
        <family val="1"/>
      </rPr>
      <t>(315USD) Onsite.</t>
    </r>
    <r>
      <rPr>
        <sz val="11"/>
        <color rgb="FF00B050"/>
        <rFont val="Palatino Linotype"/>
        <family val="1"/>
      </rPr>
      <t xml:space="preserve"> OK</t>
    </r>
  </si>
  <si>
    <t>Liberia</t>
  </si>
  <si>
    <t>Cuba</t>
  </si>
  <si>
    <t>Malien</t>
  </si>
  <si>
    <r>
      <rPr>
        <sz val="11"/>
        <color rgb="FF000000"/>
        <rFont val="Palatino Linotype"/>
        <family val="1"/>
      </rPr>
      <t>(220USD) To be paidOnsite.</t>
    </r>
    <r>
      <rPr>
        <sz val="11"/>
        <color rgb="FF00B050"/>
        <rFont val="Palatino Linotype"/>
        <family val="1"/>
      </rPr>
      <t xml:space="preserve"> OK</t>
    </r>
  </si>
  <si>
    <t>Canada</t>
  </si>
  <si>
    <t>Sierra Leone</t>
  </si>
  <si>
    <t>accompanying person</t>
  </si>
  <si>
    <t>Vitual</t>
  </si>
  <si>
    <t>Benin</t>
  </si>
  <si>
    <r>
      <rPr>
        <sz val="11"/>
        <color rgb="FF000000"/>
        <rFont val="Palatino Linotype"/>
        <family val="1"/>
      </rPr>
      <t xml:space="preserve">(180USD)To be Paid on site. </t>
    </r>
    <r>
      <rPr>
        <sz val="11"/>
        <color rgb="FF00B050"/>
        <rFont val="Palatino Linotype"/>
        <family val="1"/>
      </rPr>
      <t>OK</t>
    </r>
  </si>
  <si>
    <r>
      <rPr>
        <sz val="11"/>
        <color rgb="FF000000"/>
        <rFont val="Palatino Linotype"/>
        <family val="1"/>
      </rPr>
      <t xml:space="preserve">(220USD)To be paid onsite. </t>
    </r>
    <r>
      <rPr>
        <sz val="11"/>
        <color rgb="FF00B050"/>
        <rFont val="Palatino Linotype"/>
        <family val="1"/>
      </rPr>
      <t>OK</t>
    </r>
  </si>
  <si>
    <t>Sweden</t>
  </si>
  <si>
    <r>
      <rPr>
        <sz val="11"/>
        <color rgb="FF000000"/>
        <rFont val="Palatino Linotype"/>
        <family val="1"/>
      </rPr>
      <t xml:space="preserve">(220USD)To be paid Onsite </t>
    </r>
    <r>
      <rPr>
        <sz val="11"/>
        <color rgb="FF00B050"/>
        <rFont val="Palatino Linotype"/>
        <family val="1"/>
      </rPr>
      <t>OK</t>
    </r>
  </si>
  <si>
    <t>Accompanying person</t>
  </si>
  <si>
    <t>Mali</t>
  </si>
  <si>
    <r>
      <rPr>
        <sz val="11"/>
        <color rgb="FF000000"/>
        <rFont val="Palatino Linotype"/>
        <family val="1"/>
      </rPr>
      <t xml:space="preserve">(315USD) Onsite. </t>
    </r>
    <r>
      <rPr>
        <sz val="11"/>
        <color rgb="FF00B050"/>
        <rFont val="Palatino Linotype"/>
        <family val="1"/>
      </rPr>
      <t>OK</t>
    </r>
  </si>
  <si>
    <t>300 USD at fist. 40 USD refunded onsite</t>
  </si>
  <si>
    <t>Paid for her and husband. Omale Daniel</t>
  </si>
  <si>
    <r>
      <rPr>
        <sz val="11"/>
        <color rgb="FF000000"/>
        <rFont val="Palatino Linotype"/>
        <family val="1"/>
      </rPr>
      <t xml:space="preserve">(220USD) To pay onsite. </t>
    </r>
    <r>
      <rPr>
        <sz val="11"/>
        <color rgb="FF00B050"/>
        <rFont val="Palatino Linotype"/>
        <family val="1"/>
      </rPr>
      <t>Ok</t>
    </r>
  </si>
  <si>
    <t>Peadiatrics</t>
  </si>
  <si>
    <r>
      <rPr>
        <sz val="11"/>
        <color rgb="FF000000"/>
        <rFont val="Palatino Linotype"/>
        <family val="1"/>
      </rPr>
      <t>Paid to wave (90600FCFA)</t>
    </r>
    <r>
      <rPr>
        <sz val="11"/>
        <color rgb="FF00B050"/>
        <rFont val="Palatino Linotype"/>
        <family val="1"/>
      </rPr>
      <t>OK</t>
    </r>
  </si>
  <si>
    <t>Paid forhimself and wife. Both have one receipt</t>
  </si>
  <si>
    <r>
      <rPr>
        <sz val="11"/>
        <color rgb="FF000000"/>
        <rFont val="Palatino Linotype"/>
        <family val="1"/>
      </rPr>
      <t>(180USD) To be paid Onsite.</t>
    </r>
    <r>
      <rPr>
        <sz val="11"/>
        <color rgb="FF00B050"/>
        <rFont val="Palatino Linotype"/>
        <family val="1"/>
      </rPr>
      <t xml:space="preserve"> OK</t>
    </r>
  </si>
  <si>
    <t>Accompanying Person</t>
  </si>
  <si>
    <r>
      <rPr>
        <sz val="11"/>
        <color rgb="FF000000"/>
        <rFont val="Palatino Linotype"/>
        <family val="1"/>
      </rPr>
      <t xml:space="preserve">(160USD) To be paid Onsite. </t>
    </r>
    <r>
      <rPr>
        <sz val="11"/>
        <color rgb="FF00B050"/>
        <rFont val="Palatino Linotype"/>
        <family val="1"/>
      </rPr>
      <t>OK</t>
    </r>
  </si>
  <si>
    <r>
      <rPr>
        <sz val="11"/>
        <color rgb="FF000000"/>
        <rFont val="Palatino Linotype"/>
        <family val="1"/>
      </rPr>
      <t xml:space="preserve">(260USD)To be paid on that day. </t>
    </r>
    <r>
      <rPr>
        <sz val="11"/>
        <color rgb="FF00B050"/>
        <rFont val="Palatino Linotype"/>
        <family val="1"/>
      </rPr>
      <t>Ok</t>
    </r>
  </si>
  <si>
    <t xml:space="preserve">364 was paid For both husband and wife. 130 usd refunded for husband onsite. </t>
  </si>
  <si>
    <t>Amount on ecobank list to be confirmed. 4600</t>
  </si>
  <si>
    <r>
      <rPr>
        <sz val="11"/>
        <color rgb="FF000000"/>
        <rFont val="Palatino Linotype"/>
        <family val="1"/>
      </rPr>
      <t>(315 USD) Onsite.</t>
    </r>
    <r>
      <rPr>
        <sz val="11"/>
        <color rgb="FF00B050"/>
        <rFont val="Palatino Linotype"/>
        <family val="1"/>
      </rPr>
      <t xml:space="preserve"> OK</t>
    </r>
  </si>
  <si>
    <t>Togo</t>
  </si>
  <si>
    <t>Cote d'Ivoire</t>
  </si>
  <si>
    <r>
      <rPr>
        <sz val="11"/>
        <color rgb="FF000000"/>
        <rFont val="Palatino Linotype"/>
        <family val="1"/>
      </rPr>
      <t xml:space="preserve"> Paid to wave (148770FCFA)</t>
    </r>
    <r>
      <rPr>
        <sz val="11"/>
        <color rgb="FF00B050"/>
        <rFont val="Palatino Linotype"/>
        <family val="1"/>
      </rPr>
      <t>.OK</t>
    </r>
  </si>
  <si>
    <t>Full Name</t>
  </si>
  <si>
    <t>DR ABAJE PREMERE.</t>
  </si>
  <si>
    <t>DR ABALAKU YAKUBU OBELE</t>
  </si>
  <si>
    <t>DR ABBA KAZA SALEH.</t>
  </si>
  <si>
    <t>DR ABDOU GAI</t>
  </si>
  <si>
    <t>DR ABDUL WAHID BAWA</t>
  </si>
  <si>
    <t>DR ABDULAZIZ AMINU.</t>
  </si>
  <si>
    <t>DR ABDULAZIZ GARBA AHMAD</t>
  </si>
  <si>
    <t>DR ABDULAZIZ HADI IBRAHIM</t>
  </si>
  <si>
    <t>DR ABDULFATAI KAYODE OGUNKUNLE</t>
  </si>
  <si>
    <t>DR ABDUL-GANIYU EDUN</t>
  </si>
  <si>
    <t>DR ABDULLAHI MOHAMMED CHADO</t>
  </si>
  <si>
    <t>DR ABDULLAHI MOHAMMED LAWAL</t>
  </si>
  <si>
    <t>DR ABDULLAHI OTEIKWU AMALI.</t>
  </si>
  <si>
    <t>DR ABDULMUMIN YAKUBU</t>
  </si>
  <si>
    <t>DR ABDULRAHMAN SALIHU</t>
  </si>
  <si>
    <t xml:space="preserve">DR ABDULRAHMAN OLAJIRE LAWAL </t>
  </si>
  <si>
    <t>DR ABDULSALAM ABDULMALIK</t>
  </si>
  <si>
    <t>DR ABDURRAHMAN SADDIQ</t>
  </si>
  <si>
    <t>DR ABDURRAHMAN AHMAD SADIQ</t>
  </si>
  <si>
    <t>DR ABEDNEGO ATTOH</t>
  </si>
  <si>
    <t>DR ABENA KAARE ADUFUL</t>
  </si>
  <si>
    <t>DR ABIMBOLA ABOLUWARIN</t>
  </si>
  <si>
    <t>DR ABIODUN ABIOYE OLAGUNJU</t>
  </si>
  <si>
    <t>DR ABIOLA OLADELE ADEGBOLA</t>
  </si>
  <si>
    <t>DR ABISOLA OLUWATOYIN OMOBOYEJE</t>
  </si>
  <si>
    <t>DR ABRAHAM FIFEN</t>
  </si>
  <si>
    <t>DR ABUBAKAR . KARIMA</t>
  </si>
  <si>
    <t>DR ABUBAKAR SADIQ MUHAMMAD</t>
  </si>
  <si>
    <t>DR ABUBAKAR SADIQ ABUBAKAR</t>
  </si>
  <si>
    <t>DR ABUBKAR ABDULLAH</t>
  </si>
  <si>
    <t>DR ABURU NDIM ARAGA</t>
  </si>
  <si>
    <t>DR ADAEZE ONYEKWENA</t>
  </si>
  <si>
    <t>DR ADAEZE OBIEGBU</t>
  </si>
  <si>
    <t>DR ADAKU BINAH NWADIKE</t>
  </si>
  <si>
    <t>DR ADAM BABA GEIDAM</t>
  </si>
  <si>
    <t>DR ADAMU ABBA ADAMU</t>
  </si>
  <si>
    <t>DR ADAMU GIREI BAKARI</t>
  </si>
  <si>
    <t>DR ADAMU UMAR . YAHAYA</t>
  </si>
  <si>
    <t>DR ADANMA EKENNA</t>
  </si>
  <si>
    <t>DR ADAOBI MAUREEN MBAMALU</t>
  </si>
  <si>
    <t>DR ADAUGO JUSTINA C. ENYINNAYA</t>
  </si>
  <si>
    <t>DR ADEBIMPE FUNMILOLA OGUNMODEDE</t>
  </si>
  <si>
    <t>DR ADEBISI OLUSOLA OMOTAYO</t>
  </si>
  <si>
    <t>DR ADEDAPO OLUWAROTIMI ADEYEMO</t>
  </si>
  <si>
    <t>DR ADEDEJI . ADEYEYE</t>
  </si>
  <si>
    <t>DR ADEDEJI ADEBAYO . MOJEED</t>
  </si>
  <si>
    <t>DR ADEDOYIN CATHERINE ADENIYI</t>
  </si>
  <si>
    <t>DR ADEJOKE ADERINSOLA AIYENIGBA</t>
  </si>
  <si>
    <t>DR ADEKEMI AIKOMO</t>
  </si>
  <si>
    <t>DR ADEKEMI . FADIPE</t>
  </si>
  <si>
    <t>DR ADELAIDE ANKOMAA ASANTE</t>
  </si>
  <si>
    <t>DR ADELEKE YAKUBU ADEMOLA</t>
  </si>
  <si>
    <t>DR ADEMOLA ADESINA BAJOWA</t>
  </si>
  <si>
    <t>DR ADENIRAN OLUSHOLA ADENIYI</t>
  </si>
  <si>
    <t>DR ADENIYI ADUWO</t>
  </si>
  <si>
    <t>DR ADEOLA OLUWASEUN ADEKEYE</t>
  </si>
  <si>
    <t>DR ADETOLA AYANKOLA</t>
  </si>
  <si>
    <t>DR ADEWUNMI ADEDAMOLA OLADOSU-ADEDOYIN</t>
  </si>
  <si>
    <t>DR ADEYEMI ALAMI ABOLADE,</t>
  </si>
  <si>
    <t>DR AFFIONG EMEM BASSEY.</t>
  </si>
  <si>
    <t>DR AFOLABI LESI</t>
  </si>
  <si>
    <t>DR AFUA BOATEMAA OWUSU</t>
  </si>
  <si>
    <t>DR AFUA O. D. ABRAHAMS</t>
  </si>
  <si>
    <t>DR AGHIMIEN RAYMOND</t>
  </si>
  <si>
    <t>DR AGNES ASHLEY</t>
  </si>
  <si>
    <t>DR AHMED ISMAIL</t>
  </si>
  <si>
    <t>DR AHMED OPEYEMI ISHOLA</t>
  </si>
  <si>
    <t>DR AISHA BOLARINWA</t>
  </si>
  <si>
    <t>DR AISHA AHMED</t>
  </si>
  <si>
    <t>DR AISHA ABUBAKAR</t>
  </si>
  <si>
    <t>DR AISHA ABDULLAHI HARUNA</t>
  </si>
  <si>
    <t>DR AISHA AHMAD . RABIU</t>
  </si>
  <si>
    <t>DR AISHA ALIYU ABDULFATHI.</t>
  </si>
  <si>
    <t>DR AISHA AMINU LAWWAL</t>
  </si>
  <si>
    <t>DR AISHA KABIR TURAKI</t>
  </si>
  <si>
    <t>DR AISHA MUHAMMAD PINDIGA</t>
  </si>
  <si>
    <t>DR AISHA MUHAMMAD. TIJANI</t>
  </si>
  <si>
    <t>DR AISHA MUSTAFA BULU</t>
  </si>
  <si>
    <t>DR AISHA SULEIMAN KUMO</t>
  </si>
  <si>
    <t>DR AISHA UMMI SATOMI</t>
  </si>
  <si>
    <t>DR AISOSA. OLANIYONU</t>
  </si>
  <si>
    <t>DR AJIBOLU ADENIRAN OKE</t>
  </si>
  <si>
    <t>DR AKEEM OYEWALE JIMOH</t>
  </si>
  <si>
    <t>DR AKHERE CHARITY ERNEST EKWE</t>
  </si>
  <si>
    <t>DR AKINWALE MOSES</t>
  </si>
  <si>
    <t>DR AKINWUMI ISAAC OJO</t>
  </si>
  <si>
    <t>DR AKORFA AMA WOTORDZOR</t>
  </si>
  <si>
    <t>DR AKOSUA AGYEIWAA OWUSU-SARPONG</t>
  </si>
  <si>
    <t>DR AKOSUA GYAMFUA APPIAH</t>
  </si>
  <si>
    <t>DR AKOSUA NFODWAA OPOKU ASARE</t>
  </si>
  <si>
    <t>DR AKUA DUFIE OBENG</t>
  </si>
  <si>
    <t>DR AKUORKOR QUARTEY</t>
  </si>
  <si>
    <t>DR ALAOMA KAWA</t>
  </si>
  <si>
    <t>DR ALBERT AKPALU</t>
  </si>
  <si>
    <t>DR ALBERT AGBI</t>
  </si>
  <si>
    <t>DR ALERUCHI WALA</t>
  </si>
  <si>
    <t>DR ALEXANDRA UZOCHIKWA AKUDOLU</t>
  </si>
  <si>
    <t>DR ALHASSAN ABDULLAHI SHARIF</t>
  </si>
  <si>
    <t>DR ALHASSAN MANSUR LIBATA</t>
  </si>
  <si>
    <t>DR ALICE T. KRON JAIH</t>
  </si>
  <si>
    <t>DR ALIE AMIN SESAY</t>
  </si>
  <si>
    <t>DR ALIYU BABAYO ALIYU</t>
  </si>
  <si>
    <t>DR AMA KYEREWAA AFRANI</t>
  </si>
  <si>
    <t>DR AMAKA PAMELA ONYEKWERE.</t>
  </si>
  <si>
    <t>DR AMANDA FOFIE</t>
  </si>
  <si>
    <t>DR AMARACHI ALEX EWUZIE.</t>
  </si>
  <si>
    <t>DR AMARACHUKWU AGNES EZINWA</t>
  </si>
  <si>
    <t>DR AMATU BABAKURA IMAM</t>
  </si>
  <si>
    <t>DR AMIE CONTEH</t>
  </si>
  <si>
    <t>DR AMINA GAMBO</t>
  </si>
  <si>
    <t>DR AMINA BALA MUHAMMAD</t>
  </si>
  <si>
    <t>DR AMINA HUSSAINI MANSUR</t>
  </si>
  <si>
    <t>DR AMINAT IBRAHIM-SAAD</t>
  </si>
  <si>
    <t>DR AMIRA BELLO.</t>
  </si>
  <si>
    <t>DR AMIRAH ADEOLA  SANNI</t>
  </si>
  <si>
    <t>DR AMIRAH AHMAD BABAJO</t>
  </si>
  <si>
    <t>DR AMMA BENNEH- AKWASI KUMA</t>
  </si>
  <si>
    <t>DR AMMA KONADU BAAH</t>
  </si>
  <si>
    <t>DR AMOBI OMOHA</t>
  </si>
  <si>
    <t>DR AMSA BABA MAIRAMI</t>
  </si>
  <si>
    <t>DR ANDREW AGBEJE</t>
  </si>
  <si>
    <t>DR ANGELA TETEKI ESIAPE</t>
  </si>
  <si>
    <t>DR ANIAGBOSO UCHECHUKU UKAMAKA</t>
  </si>
  <si>
    <t>DR ANIEDI JAMES. IDANG</t>
  </si>
  <si>
    <t>DR ANIEKAN DICKSON</t>
  </si>
  <si>
    <t>DR ANITA AGO ASARE</t>
  </si>
  <si>
    <t>DR ANNA FOKUOH-BOADU</t>
  </si>
  <si>
    <t>DR ANTHONY ANIGBOGU</t>
  </si>
  <si>
    <t>DR ANTHONY EMOITOLOGA</t>
  </si>
  <si>
    <t>DR ANTHONY . AGBO</t>
  </si>
  <si>
    <t>DR ANTHONY EWERE OKOH</t>
  </si>
  <si>
    <t>DR ANTHONY GBENGA ANIFOWOSE</t>
  </si>
  <si>
    <t>DR ANTOINETTE OFILI.</t>
  </si>
  <si>
    <t>DR ARCHIBONG IMOH ANIEKAN.</t>
  </si>
  <si>
    <t>DR ARINZE ULASI</t>
  </si>
  <si>
    <t>DR ASABE COMFORT OMOKARO</t>
  </si>
  <si>
    <t>DR ASMAU BELKO NURUDDEEN</t>
  </si>
  <si>
    <t>DR ASMAU UMMI BELLO</t>
  </si>
  <si>
    <t>DR ASMELL RAMOS CABRERA</t>
  </si>
  <si>
    <t>DR ASSUMPTA AHAM</t>
  </si>
  <si>
    <t>DR ATTAHIR MUSTAPHA DAN-ALI</t>
  </si>
  <si>
    <t>DR AUGUSTA UNOMA ENEH</t>
  </si>
  <si>
    <t>DR AUGUSTINE KWESI AMOAKO</t>
  </si>
  <si>
    <t>DR AUSTINE OSAGBAEKHOE</t>
  </si>
  <si>
    <t>DR AUWAL TIJJANI . SHUAIBU</t>
  </si>
  <si>
    <t>DR AUWALU SHEHU TANGAZA</t>
  </si>
  <si>
    <t>DR AVWARUTE OLOMU-OCHEI</t>
  </si>
  <si>
    <t>DR AYEBO. SADOH</t>
  </si>
  <si>
    <t>DR AYEGBA . ONU</t>
  </si>
  <si>
    <t>DR AYODEJI SAMUEL BAKARE</t>
  </si>
  <si>
    <t>DR AYODEJI STEPHEN ADEKOLADE</t>
  </si>
  <si>
    <t>DR AYOMIDE ESTHER ONI-ORISAN</t>
  </si>
  <si>
    <t>DR AZEEZAT AINA</t>
  </si>
  <si>
    <t>DR AZEEZAT OLASUNMBO BRAHEEM</t>
  </si>
  <si>
    <t>DR AZIVUDNU ONUOHA</t>
  </si>
  <si>
    <t>DR BABAJIDE WAZIRI TELUFUSI</t>
  </si>
  <si>
    <t>DR BABATUNDE OLASODE</t>
  </si>
  <si>
    <t>DR BARBARA ADDAI OWUSU</t>
  </si>
  <si>
    <t>DR BARBARA OTAIGBE</t>
  </si>
  <si>
    <t>DR BARTHOLOMEW EKPE NTUI</t>
  </si>
  <si>
    <t>DR BASHIR DANSANDA MUHAMMAD</t>
  </si>
  <si>
    <t>DR BASHIR TAIYE AMINU</t>
  </si>
  <si>
    <t>DR BASHIRAT TITILAYO BELLO</t>
  </si>
  <si>
    <t>DR BATULA BISHARA DAGGASH</t>
  </si>
  <si>
    <t>DR BEAUTY MAXWELL TOBIN</t>
  </si>
  <si>
    <t>DR BELINDA OLUWATOSIN JOLAYEMI</t>
  </si>
  <si>
    <t>DR BENEDICTA AMENZE IHUEMWINESE</t>
  </si>
  <si>
    <t>DR BENETTA C. ANDREWS</t>
  </si>
  <si>
    <t>DR BENJAMIN SUNDAY CHUDI UZOCHUKWU.</t>
  </si>
  <si>
    <t>DR BENSON UDU</t>
  </si>
  <si>
    <t>DR BERNADETTE CHINAGOROM IHEGBU</t>
  </si>
  <si>
    <t>DR BERNICE T. DSHN</t>
  </si>
  <si>
    <t>DR BEST ASUQUO</t>
  </si>
  <si>
    <t>DR BETTY AYISI</t>
  </si>
  <si>
    <t>DR BIBILOLA . OLADEJI</t>
  </si>
  <si>
    <t>DR BINTU KAUMI KYARI</t>
  </si>
  <si>
    <t>DR BISMARK OPOKU ASARE</t>
  </si>
  <si>
    <t xml:space="preserve">DR BLESSING ADEOLUWA OWADOKUN </t>
  </si>
  <si>
    <t>DR BLESSING CHINENYE AGBARAKWE</t>
  </si>
  <si>
    <t>DR BLESSING JOSEPH UKAM</t>
  </si>
  <si>
    <t>DR BLOSSOM MADUAFOKWA</t>
  </si>
  <si>
    <t>DR BOLANLE COMFORT OYEDEPO</t>
  </si>
  <si>
    <t xml:space="preserve">DR BOLATITO MARY. FAJUYIGBE </t>
  </si>
  <si>
    <t>DR BOLI BILLAMBO</t>
  </si>
  <si>
    <t>DR BOSU WILLIAMS</t>
  </si>
  <si>
    <t>DR BRENDA CHUKWUFUNANYA ISIKEKPEI</t>
  </si>
  <si>
    <t>DR BRENDA OPPONG BAWUAH</t>
  </si>
  <si>
    <t>DR BUBA MUAZU. ABUBAKAR</t>
  </si>
  <si>
    <t>DR BUBACAR SUSSO</t>
  </si>
  <si>
    <t>DR BUKAR ALI SHETTIMA.</t>
  </si>
  <si>
    <t>DR BUKOLA OMOWUNMI  JEGEDE</t>
  </si>
  <si>
    <t>DR BURABARI . KEMSI</t>
  </si>
  <si>
    <t>DR BUSAYO KOLADE AKERELE</t>
  </si>
  <si>
    <t>DR BYENCIT BINCHEN TALI</t>
  </si>
  <si>
    <t>DR CALEB CHUKWUMA AMAEFUNA</t>
  </si>
  <si>
    <t>DR CHARITY OJONG AJAKE</t>
  </si>
  <si>
    <t>DR CHARLENE FRENCH-CUDJOE</t>
  </si>
  <si>
    <t>DR CHARLES ONYEDIKACHI OKORIE</t>
  </si>
  <si>
    <t>DR CHARLES OYOM OGUNI</t>
  </si>
  <si>
    <t>DR CHERIMA JOEL. YAKUBU</t>
  </si>
  <si>
    <t>DR CHETACHI CHUKWUMERIJE</t>
  </si>
  <si>
    <t>DR CHIAMAKA PERPETUA CHIDOZIE</t>
  </si>
  <si>
    <t>DR CHIBUZO CHIAMAKA AJAERO</t>
  </si>
  <si>
    <t>DR CHIDI CLEMENT DIKE</t>
  </si>
  <si>
    <t>DR CHIDIMMA ANULIKA AHANEKU</t>
  </si>
  <si>
    <t>DR CHIEMERIE ADAEZE ONYEKA</t>
  </si>
  <si>
    <t>DR CHIJIOKE LAWRENCE OGUNO.</t>
  </si>
  <si>
    <t>DR CHIKA NWAEZIKE-OKAFOR</t>
  </si>
  <si>
    <t>DR CHIKA UGONNA NWABUEZE.</t>
  </si>
  <si>
    <t>DR CHIKAMBINAKA PATRICIA NGU</t>
  </si>
  <si>
    <t>DR CHIKAODI IJEOMA OGWUDIRE</t>
  </si>
  <si>
    <t>DR CHIMAROKE UKACHI CHIKEKA</t>
  </si>
  <si>
    <t>DR CHINAZOM EFETURI-ODELE</t>
  </si>
  <si>
    <t>DR CHINEDU NWOSU</t>
  </si>
  <si>
    <t>DR CHINEDU OBASI AKPA</t>
  </si>
  <si>
    <t>DR CHINELO OZOAMAKA ONOCHIE</t>
  </si>
  <si>
    <t>DR CHINENYE MERIAN CHUKWU</t>
  </si>
  <si>
    <t>DR CHININO MARY AGRIPPA</t>
  </si>
  <si>
    <t>DR CHINOMSO IHUOMA EJIAKU</t>
  </si>
  <si>
    <t>DR CHINONSO CHUKWU</t>
  </si>
  <si>
    <t>DR CHINONSO THEOPHILUS. IGWE</t>
  </si>
  <si>
    <t>DR CHINWE OGBONNAA-NJOKU</t>
  </si>
  <si>
    <t>DR CHINWENDU MARYAM AMUTA-IGWE</t>
  </si>
  <si>
    <t>DR CHINYERE OKAFOR.</t>
  </si>
  <si>
    <t xml:space="preserve">DR CHINYERE VICTORIA. ELE </t>
  </si>
  <si>
    <t>DR CHIOLI CHIJIOKE</t>
  </si>
  <si>
    <t>DR CHIOMA GRACE ANAUKWU</t>
  </si>
  <si>
    <t>DR CHIOMA LOVELINE CHIJIOKE-ANIAGU</t>
  </si>
  <si>
    <t>DR CHIOMA ROSEMARY CHUKWUMAEZE</t>
  </si>
  <si>
    <t>DR CHISOM UDO EZEOKAFOR</t>
  </si>
  <si>
    <t>DR CHIZIMAKO TOCHUKWU NNAJI</t>
  </si>
  <si>
    <t>DR CHIZOMAM EMERIBE</t>
  </si>
  <si>
    <t>DR CHRIS MBUBAH</t>
  </si>
  <si>
    <t>DR CHRISTIAN ADDAE</t>
  </si>
  <si>
    <t>DR CHRISTIAN OKOROBIA ONUKWUE</t>
  </si>
  <si>
    <t>DR CHRISTIANA CHINYERE OLOGWU</t>
  </si>
  <si>
    <t>DR CHRISTIANA LANE SIMON</t>
  </si>
  <si>
    <t>DR CHRISTINA OSEI-YEBOAH</t>
  </si>
  <si>
    <t>DR CHRISTINE EWEMADE OGBEBOR</t>
  </si>
  <si>
    <t>DR CHRISTOPHER DIKE</t>
  </si>
  <si>
    <t>DR CHRISTOPHER OBIADERI OKORO</t>
  </si>
  <si>
    <t>DR CHUKWUDI MCEDWARDS NWORIE</t>
  </si>
  <si>
    <t>DR CHUKWUEBUKA OKECHUKWU NDUKWULUEZE</t>
  </si>
  <si>
    <t>DR CHUKWUEMEKA JOSEPH NWOYE</t>
  </si>
  <si>
    <t>DR CHUKWUEMEKA OBIOHA EZE</t>
  </si>
  <si>
    <t>DR CHUKWUMA ORAEGBUNAM</t>
  </si>
  <si>
    <t>DR CHUKWUYEM LYNDA NWANNE</t>
  </si>
  <si>
    <t>DR CLEMENT C.. EZECHUKWU</t>
  </si>
  <si>
    <t>DR CLEMENT PETER LUGALA</t>
  </si>
  <si>
    <t>DR COLLINS KOKURO</t>
  </si>
  <si>
    <t>DR COMFORT DANSO</t>
  </si>
  <si>
    <t>DR COMFORT ADEOLE UGO-DIKE</t>
  </si>
  <si>
    <t>DR CONFIDENCE UJU. AHUNWA</t>
  </si>
  <si>
    <t>DR CORNELIA EBERE UME.</t>
  </si>
  <si>
    <t>DR CUALLAU LILLIAN JABBEH-HOWE</t>
  </si>
  <si>
    <t>DR CYRIL OGBONNA UZOKE .</t>
  </si>
  <si>
    <t>DR DAMARIS MONEKE</t>
  </si>
  <si>
    <t>DR DAMILOLA OKUSAGA-ARTHUR</t>
  </si>
  <si>
    <t>DR DANIEL AMENU</t>
  </si>
  <si>
    <t>DR DANIELLA AKRASI-SARPONG</t>
  </si>
  <si>
    <t>DR DARLINDA FATMATA JIBA</t>
  </si>
  <si>
    <t>DR DARWIN ABAANAMKADILA AWOG-BADEK</t>
  </si>
  <si>
    <t>DR DAVID UTIBE</t>
  </si>
  <si>
    <t>DR DAVID BENING</t>
  </si>
  <si>
    <t>DR DAVID DARKWAH</t>
  </si>
  <si>
    <t>DR DAVID KEKULAH, SR.</t>
  </si>
  <si>
    <t>DR DAVID ADU KOBINA BINEY</t>
  </si>
  <si>
    <t>DR DEBORAH UANZEKIN</t>
  </si>
  <si>
    <t>DR DEBORAH GASPER</t>
  </si>
  <si>
    <t>DR DEBORAH . SULEMAN</t>
  </si>
  <si>
    <t>DR DESRIE DELSOL-GYAN</t>
  </si>
  <si>
    <t>DR DIANE NKECHI MOMOH</t>
  </si>
  <si>
    <t>DR DIFIRWITI HARIFARTA CLAPHTON</t>
  </si>
  <si>
    <t>DR DIMLONG MANSHAK ILIYA.</t>
  </si>
  <si>
    <t>DR DIVINE ASEYE YAO AMENUKE</t>
  </si>
  <si>
    <t>DR DOKEDENSI UYA</t>
  </si>
  <si>
    <t>DR DORCAS AGBENU OJOBO</t>
  </si>
  <si>
    <t>DR DUKE KWAKU AGBODEKA</t>
  </si>
  <si>
    <t>DR DURODAMI LISK</t>
  </si>
  <si>
    <t>DR DZIFA DELLOR</t>
  </si>
  <si>
    <t>DR EBELE LUCY NWAFOR</t>
  </si>
  <si>
    <t>DR EBERECHUKWU VIVIAN NWALOZIE</t>
  </si>
  <si>
    <t>DR EBIKON IGBAPIKE</t>
  </si>
  <si>
    <t>DR EBRIMA  SAIDY JAH</t>
  </si>
  <si>
    <t>DR EDEM LODOH</t>
  </si>
  <si>
    <t>DR EDET USUN</t>
  </si>
  <si>
    <t>DR EDITH OLUWASEUN SALAU</t>
  </si>
  <si>
    <t>DR EDMUND DZISI</t>
  </si>
  <si>
    <t>DR EDWARD ADDO DANKWA</t>
  </si>
  <si>
    <t>DR EDWARD OMATSEYIN CARPE</t>
  </si>
  <si>
    <t>DR EDWIN KWAME WIREDU</t>
  </si>
  <si>
    <t>DR EFEMENA ONOWUGBEDA</t>
  </si>
  <si>
    <t>DR EFFUA USUF</t>
  </si>
  <si>
    <t>DR EFOSA EMMANUEL AIMIEN</t>
  </si>
  <si>
    <t>DR EFUA YANKAH</t>
  </si>
  <si>
    <t>DR EHINOR IKHIFA-UNUANE</t>
  </si>
  <si>
    <t>DR EHIREME ONOGUEKHIAN KPAKPAWO-OKETE</t>
  </si>
  <si>
    <t>DR EJEMHEN ISOYA OJIE</t>
  </si>
  <si>
    <t>DR EJIROGHENE PAULINE ARHERE</t>
  </si>
  <si>
    <t>DR EKAOBONG ABANG OTU</t>
  </si>
  <si>
    <t>DR EKELE AMADI-ROBERT</t>
  </si>
  <si>
    <t>DR EKEMINI EKPE</t>
  </si>
  <si>
    <t>DR EKPENYONG EKPO. OTU</t>
  </si>
  <si>
    <t>DR EKUA AFFUL</t>
  </si>
  <si>
    <t>DR ELIJAH AKER IGBASHIO</t>
  </si>
  <si>
    <t>DR ELIZABETH ABERUAGBA</t>
  </si>
  <si>
    <t>DR ELIZABETH KASSEM AZI</t>
  </si>
  <si>
    <t>DR ELIZABETH TEMITOPE OWOLABI</t>
  </si>
  <si>
    <t>DR ELSIE ESINAM ADJACODJOE</t>
  </si>
  <si>
    <t>DR EMEFA DZORDZORME</t>
  </si>
  <si>
    <t>DR EMEKA JOHN. ANEKE</t>
  </si>
  <si>
    <t>DR EMELDA EDEM ADZO ASEM-AHIABLEE</t>
  </si>
  <si>
    <t>DR EMILIA UDOFIA</t>
  </si>
  <si>
    <t>DR EMMANUEL TWENEBOAH</t>
  </si>
  <si>
    <t>DR EMMANUEL ANKRAH ODAME</t>
  </si>
  <si>
    <t>DR EMMANUEL EGWU OMINYI</t>
  </si>
  <si>
    <t>DR EMMANUEL KWEKU EKYINABAH</t>
  </si>
  <si>
    <t>DR EMMANUEL NSOR-YINNE ANAFO</t>
  </si>
  <si>
    <t>DR EMMANUEL OVUNDAH NYECHE</t>
  </si>
  <si>
    <t>DR EMMANUEL TOPE AMUPITAN.</t>
  </si>
  <si>
    <t>DR EMMANUELLA EKEDUM</t>
  </si>
  <si>
    <t>DR EMMANUELLA NWAMU</t>
  </si>
  <si>
    <t>DR EMPRESS IZIEGBE. ETSENUMHE</t>
  </si>
  <si>
    <t>DR ENE EMMANUELLA. OCHIGBO</t>
  </si>
  <si>
    <t>DR ENITA JUDITH OBANOVWE</t>
  </si>
  <si>
    <t>DR ENO ABASI IMEH UDOH</t>
  </si>
  <si>
    <t>DR EPHRAIM CHUKWUNONSO NNADI</t>
  </si>
  <si>
    <t>DR ERNEST NWAIGBO</t>
  </si>
  <si>
    <t>DR ESE USHERA OGUDO</t>
  </si>
  <si>
    <t>DR ESEOHE EJEHIOKHIN EBU</t>
  </si>
  <si>
    <t>DR ESEOSA EDE-EDOKPOLOR.</t>
  </si>
  <si>
    <t>DR ESERE OBODO</t>
  </si>
  <si>
    <t>DR ESIN NKEREUWEM</t>
  </si>
  <si>
    <t>DR ESSIEN KINGSLEY ANTIGHA.</t>
  </si>
  <si>
    <t>DR ESTHER  ANAWUREYI DEMIDE</t>
  </si>
  <si>
    <t>DR ETIMKPO NDAEYO</t>
  </si>
  <si>
    <t>DR ETUBI ALEXANDER IBRAHIM</t>
  </si>
  <si>
    <t>DR EUGENE AYIGA</t>
  </si>
  <si>
    <t>DR EUGENE BAAFI AMPOFO</t>
  </si>
  <si>
    <t>DR EVANGEL ILOBA AJIDUE</t>
  </si>
  <si>
    <t>DR EVEZI OGHENE-OTHUKE QUAO</t>
  </si>
  <si>
    <t>DR EWURA AFUA BLANKSON</t>
  </si>
  <si>
    <t>DR EWURAA ABENA OWUSAA MANU</t>
  </si>
  <si>
    <t>DR EZE CHUKWUEMEKA OBIOHA.</t>
  </si>
  <si>
    <t>DR EZE NDUBUISI SIMEON</t>
  </si>
  <si>
    <t>DR EZEKIEL OJIMADU</t>
  </si>
  <si>
    <t>DR EZEOKAFOR CHISOM..</t>
  </si>
  <si>
    <t>DR EZIAMAKA GLORIA EZE</t>
  </si>
  <si>
    <t>DR FAITH ISEI</t>
  </si>
  <si>
    <t>DR FAIZA DAHIRU</t>
  </si>
  <si>
    <t>DR FAMBA DANIEL FAMBA</t>
  </si>
  <si>
    <t>DR FARIDA ABDULLAHI YELWA</t>
  </si>
  <si>
    <t>DR FARIDA BABANGIDA ALIYU</t>
  </si>
  <si>
    <t>DR FARUQ FARUQ UMAR</t>
  </si>
  <si>
    <t>DR FATI ELEOJO AKUNAEZIRI</t>
  </si>
  <si>
    <t>DR FATIMA MALLUM</t>
  </si>
  <si>
    <t>DR FATIMA ABDULSALAM MUSTAPHA</t>
  </si>
  <si>
    <t>DR FATIMA BELLO TILLI</t>
  </si>
  <si>
    <t>DR FATIMA BELLO  LIMAN</t>
  </si>
  <si>
    <t>DR FATIMA IBRAHIM MUHAMMAD</t>
  </si>
  <si>
    <t>DR FATIMA LAWAN BUKAR</t>
  </si>
  <si>
    <t>DR FATIMA UMAR UMAR</t>
  </si>
  <si>
    <t>DR FATIMA UMAR FARUK</t>
  </si>
  <si>
    <t>DR FATIMO ADENIKE ADEGOKE</t>
  </si>
  <si>
    <t>DR FAUZIA AMIDU</t>
  </si>
  <si>
    <t>DR FAUZIYYAH  MALAMI SHEHU</t>
  </si>
  <si>
    <t>DR FELICIA OKON</t>
  </si>
  <si>
    <t>DR FERDINAND CHUKWUDOLUE OBI</t>
  </si>
  <si>
    <t>DR FIDELIS FILIBUS LINGA</t>
  </si>
  <si>
    <t>DR FINEST WOKE</t>
  </si>
  <si>
    <t>DR FLINHWAY HESSOU DICKSON</t>
  </si>
  <si>
    <t>DR FLORENCE AGBOOLA</t>
  </si>
  <si>
    <t>DR FLORENCE ABOSEDE SOYEMI</t>
  </si>
  <si>
    <t>DR FLORENCE KALAMAMA BRIGGS</t>
  </si>
  <si>
    <t>DR FODAY SAHR</t>
  </si>
  <si>
    <t>DR FOLASADE ALORYE OJI</t>
  </si>
  <si>
    <t>DR FOLASADE TINUKE AMOSUN</t>
  </si>
  <si>
    <t>DR FOLASHADE FLORENCE ALEGE</t>
  </si>
  <si>
    <t>DR FRANCES NGOZI ONYIA</t>
  </si>
  <si>
    <t>DR FRANCIS ADENORTEY AGBOVIE</t>
  </si>
  <si>
    <t>DR FRANCIS NNAMDI ONUOHA</t>
  </si>
  <si>
    <t>DR FRANCISCA AKOSUA BOATENG</t>
  </si>
  <si>
    <t>DR FRANKLIN OKAFOR</t>
  </si>
  <si>
    <t>DR FREDERICK KWARTENG OWUSU</t>
  </si>
  <si>
    <t>DR FUNMILAYO MARYAM OSENI</t>
  </si>
  <si>
    <t>DR FUNMILOLA AISHAT BELLO-TASLIM</t>
  </si>
  <si>
    <t>DR FUZAILA SAAKA-DUMBA</t>
  </si>
  <si>
    <t>DR GABRIEL OFOVWE</t>
  </si>
  <si>
    <t>DR GABRIEL ENEMA PAUL</t>
  </si>
  <si>
    <t>DR GABRIEL OLABIYI OGUN</t>
  </si>
  <si>
    <t>DR GABRIELLA JESSY BEDU-ADDO</t>
  </si>
  <si>
    <t>DR GEORGE EZE</t>
  </si>
  <si>
    <t>DR GEORGETTA ADEYIGA</t>
  </si>
  <si>
    <t>DR GESITARI DIRIYAI</t>
  </si>
  <si>
    <t>DR GIDEON ASSAN</t>
  </si>
  <si>
    <t>DR GIDEON ABAKA QUAGRAINE</t>
  </si>
  <si>
    <t>DR GODIYA ANDREW</t>
  </si>
  <si>
    <t>DR GODSLOVE AKHARAME KWEMEZI</t>
  </si>
  <si>
    <t>DR GODWIN IKEADUM</t>
  </si>
  <si>
    <t>DR GODWIN MARK</t>
  </si>
  <si>
    <t>DR GODWIN ADAMBA EWU</t>
  </si>
  <si>
    <t>DR GRACE OFFO</t>
  </si>
  <si>
    <t>DR GRACE ADEBIMBE AKEREDOLU</t>
  </si>
  <si>
    <t>DR GRACE GYAGA KYUNNI</t>
  </si>
  <si>
    <t>DR HABIBA MUHAMMAD RABIU</t>
  </si>
  <si>
    <t>DR HABIBAT OLAITAN OLAREWAJU</t>
  </si>
  <si>
    <t>DR HABIBU A GALADANCI</t>
  </si>
  <si>
    <t>DR HADIZA TUKUR</t>
  </si>
  <si>
    <t>DR HADIZA ALI HUSSAINI</t>
  </si>
  <si>
    <t>DR HADIZA LAWAN BUKAR</t>
  </si>
  <si>
    <t>DR HAFSAT JINJIRI DUTSE</t>
  </si>
  <si>
    <t>DR HAFSATU IBRAHIM</t>
  </si>
  <si>
    <t>DR HAFSATU CIROMA-IBRAHIM</t>
  </si>
  <si>
    <t>DR HAJA ABIBATU JALLOH</t>
  </si>
  <si>
    <t>DR HAJA SAFIYATU SOVULA</t>
  </si>
  <si>
    <t>DR HAJARA INNA FUTA</t>
  </si>
  <si>
    <t>DR HALIMA ALIYU</t>
  </si>
  <si>
    <t>DR HAMAMATU UMAR OSEZE</t>
  </si>
  <si>
    <t>DR HARIFARTA DIFIRWITI</t>
  </si>
  <si>
    <t>DR HARRIS OSEI-MENSAH</t>
  </si>
  <si>
    <t>DR HARUNA YAKUBU</t>
  </si>
  <si>
    <t>DR HASSAN BUKA</t>
  </si>
  <si>
    <t>DR HASSAN ABBA MOHAMMED</t>
  </si>
  <si>
    <t>DR HASSAN FAROUK HASSAN</t>
  </si>
  <si>
    <t>DR HASSAN SUNUSI ISHAQ</t>
  </si>
  <si>
    <t>DR HAUWA ABDULLAHI MUHAMMAD</t>
  </si>
  <si>
    <t>DR HAUWA NATAALA</t>
  </si>
  <si>
    <t>DR HAUWA ALI TOKO</t>
  </si>
  <si>
    <t>DR HAUWA IBRAHIM MILGOMA</t>
  </si>
  <si>
    <t>DR HAUWA SA'AD BABA</t>
  </si>
  <si>
    <t>DR HELENA  SERWAA APPIAGYEI</t>
  </si>
  <si>
    <t>DR HENRIETTA ELOLEN UGBENI</t>
  </si>
  <si>
    <t>DR HENRY CARTER</t>
  </si>
  <si>
    <t>DR HENRY CHUKWUKA OKOROJI</t>
  </si>
  <si>
    <t>DR HENRY TOCHUKWU DIKE</t>
  </si>
  <si>
    <t xml:space="preserve">DR HILARY NOSA OKUNBOR </t>
  </si>
  <si>
    <t>DR HILDA CHINWE AFAKWU-ADIMOHA</t>
  </si>
  <si>
    <t>DR HOPE OWHONDAA AVUNDAA.</t>
  </si>
  <si>
    <t>DR HUSSAINA MOHAMMED ADAM</t>
  </si>
  <si>
    <t>DR IAN WACHEKWA</t>
  </si>
  <si>
    <t>DR IBEREDEM DAVID CLINTON</t>
  </si>
  <si>
    <t>DR IBIFIRI IBILANYEOFORI HART-OMOAGHE</t>
  </si>
  <si>
    <t>DR IBINABO FRANKLIN GBELABO</t>
  </si>
  <si>
    <t>DR IBINABO PROMISE AMACHREE</t>
  </si>
  <si>
    <t>DR IBRAHIM ABDULLAHI HALADU</t>
  </si>
  <si>
    <t>DR IBRAHIM ALI DODO</t>
  </si>
  <si>
    <t>DR IBRAHIM BANARU ABUBAKAR</t>
  </si>
  <si>
    <t>DR IBUCHUKWU NKEOYENASOYA ORABUEZE</t>
  </si>
  <si>
    <t>DR IDOWU ENOCK</t>
  </si>
  <si>
    <t>DR IDRIS SULEIMAN UMAR</t>
  </si>
  <si>
    <t>DR IFEANYI ONYEJIAKA</t>
  </si>
  <si>
    <t>DR IFEANYI MAGNUS NWACHUKWU</t>
  </si>
  <si>
    <t>DR IFEDAYO AJAYI</t>
  </si>
  <si>
    <t xml:space="preserve">DR IFEOLUWA ESTHER DANIEL </t>
  </si>
  <si>
    <t>DR IFEOMA UDE</t>
  </si>
  <si>
    <t>DR IFEOMA  ANOCHIE</t>
  </si>
  <si>
    <t>DR IFEOMA CALISTA OGBU</t>
  </si>
  <si>
    <t>DR IFEOMA CLAIRE IBENEGBU-OKONKWO</t>
  </si>
  <si>
    <t>DR IFEOMA MIRIAM EDEH</t>
  </si>
  <si>
    <t>DR IFEYINWA NWANKWO</t>
  </si>
  <si>
    <t>DR IFUNANYA TOM-GEORGE</t>
  </si>
  <si>
    <t>DR IGBAPIKE EBIKON BROWN</t>
  </si>
  <si>
    <t>DR IGWENYI CHIKAODIRI.</t>
  </si>
  <si>
    <t>DR IJEOMA ONONIWU</t>
  </si>
  <si>
    <t>DR IJEOMA CHRISTIANA AGBARA</t>
  </si>
  <si>
    <t>DR IJEOMA NGOZI .N. NWOKE</t>
  </si>
  <si>
    <t>DR IKE KENECHUKWU</t>
  </si>
  <si>
    <t>DR IKECHUKWU ORAKWUE</t>
  </si>
  <si>
    <t>DR IKECHUKWU ORJI</t>
  </si>
  <si>
    <t>DR IKHIFA-UNUANE EHINOR</t>
  </si>
  <si>
    <t>DR ILIYASU YUSUF</t>
  </si>
  <si>
    <t>DR IMAOBONG MAURICE OKON</t>
  </si>
  <si>
    <t>DR ISAAC IHINMIKAYE</t>
  </si>
  <si>
    <t>DR ISAAC KEKULAH</t>
  </si>
  <si>
    <t>DR ISAAC NEWTON OMOREGBE</t>
  </si>
  <si>
    <t>DR ISMAEL. AROGUNDADE</t>
  </si>
  <si>
    <t>DR ISRAEL EBUBECHUKWU OKEKE</t>
  </si>
  <si>
    <t>DR IVAN. F. CAMANOR</t>
  </si>
  <si>
    <t>DR IVY EKEM</t>
  </si>
  <si>
    <t>DR IZUCHUKWU OBASI</t>
  </si>
  <si>
    <t>DR IZUU-UMEIKE AUGUSTINA . OGOCHUKWU</t>
  </si>
  <si>
    <t>DR JAMES ONUH</t>
  </si>
  <si>
    <t>DR JAMILA BASHIR</t>
  </si>
  <si>
    <t>DR JAMILAT MUHAMMAD</t>
  </si>
  <si>
    <t>DR JAMILLAH OKPATUMA</t>
  </si>
  <si>
    <t>DR JANET DJANGMAH</t>
  </si>
  <si>
    <t>DR JEMILA YUNUSA SEKULA</t>
  </si>
  <si>
    <t>DR JENNIFER ONYENWEUWA ONUZULIKE</t>
  </si>
  <si>
    <t>DR JEREMIAH IHEONKHAN</t>
  </si>
  <si>
    <t>DR JEREMIAH SAMUEL ALLI</t>
  </si>
  <si>
    <t>DR JESUTOFUNMI AJIBOLA AFOLABI</t>
  </si>
  <si>
    <t>DR JIBRIL ABUBAKAR.</t>
  </si>
  <si>
    <t>DR JITENDRA SINGH</t>
  </si>
  <si>
    <t>DR JOAN AKANDE</t>
  </si>
  <si>
    <t>DR JOANA ADIYA AMANKWA-KYEREMEH</t>
  </si>
  <si>
    <t>DR JOEL DJANGMA AKWETEY</t>
  </si>
  <si>
    <t>DR JOHN OTSANYA ORINYA</t>
  </si>
  <si>
    <t>DR JOHN YAW ANTWI</t>
  </si>
  <si>
    <t>DR JOHNNY  CHIGOZIE EKEUDA</t>
  </si>
  <si>
    <t>DR JOHNSON AKANDE</t>
  </si>
  <si>
    <t>DR JONATHAN ODIRU</t>
  </si>
  <si>
    <t>DR JOSEPH AYINDE</t>
  </si>
  <si>
    <t>DR JOSEPH AWOTWI</t>
  </si>
  <si>
    <t>DR JOSEPH AJANWENYI</t>
  </si>
  <si>
    <t>DR JOSEPH GOLBADOR</t>
  </si>
  <si>
    <t>DR JOSEPH . KALU</t>
  </si>
  <si>
    <t>DR JOSEPH AWUAH MENKAH</t>
  </si>
  <si>
    <t>DR JOSEPH ONYILO OCHE</t>
  </si>
  <si>
    <t>DR JOSEPHINE AKPALU</t>
  </si>
  <si>
    <t>DR JOSEPHINE EYAAL ESEREGHI SOKOLO</t>
  </si>
  <si>
    <t>DR JOSHUA ALEXANDER USUAH</t>
  </si>
  <si>
    <t>DR JOY OLUWATUNBI</t>
  </si>
  <si>
    <t>DR JOY HYELNI ZOAKAH</t>
  </si>
  <si>
    <t>DR JOY IBANGA BULOR-ANTHONY</t>
  </si>
  <si>
    <t>DR JOYCE BARTEKWA-GWAIKOLO</t>
  </si>
  <si>
    <t>DR JUDE ISHA YEKPOWUDU</t>
  </si>
  <si>
    <t>DR JUDITH UCHENNA DIKE</t>
  </si>
  <si>
    <t>DR JULIET OPOKU</t>
  </si>
  <si>
    <t>DR JUSTICE IGBITI</t>
  </si>
  <si>
    <t>DR KALILU JAGNE</t>
  </si>
  <si>
    <t>DR KAMAL ABDULKAREEM AHMED</t>
  </si>
  <si>
    <t>DR KAMALDEEN ABDULRAHEEM</t>
  </si>
  <si>
    <t>DR KARAGBARA MICHAEL BARIYERE . MORRISON</t>
  </si>
  <si>
    <t>DR KAREN FORREST</t>
  </si>
  <si>
    <t>DR KAYODE INNOCENT ADESOLA</t>
  </si>
  <si>
    <t>DR KELECHI CHIMEZIE NWOSU</t>
  </si>
  <si>
    <t>DR KELECHI NWAEZE IKONNE.</t>
  </si>
  <si>
    <t>DR KENNETH ONYEOCHA</t>
  </si>
  <si>
    <t>DR KETURAH AMOS DIKWAL</t>
  </si>
  <si>
    <t>DR KEVWE MERCY  OTA</t>
  </si>
  <si>
    <t>DR KHADIJA  MORMONI</t>
  </si>
  <si>
    <t>DR KHADIJA ABBA ABDULWALI</t>
  </si>
  <si>
    <t>DR KHADIJA ADAMU ABDURRAHEEM</t>
  </si>
  <si>
    <t>DR KHALID AWOTU ARI</t>
  </si>
  <si>
    <t>DR KIRAN EKOCHIN</t>
  </si>
  <si>
    <t>DR KODICHIMMA ONWUKA</t>
  </si>
  <si>
    <t>DR KOFI ABAIDOO-AYIN</t>
  </si>
  <si>
    <t>DR KOFI TEKYI ASAMOAH</t>
  </si>
  <si>
    <t>DR KUNU PHILLET</t>
  </si>
  <si>
    <t>DR KUSSIY KWAALA</t>
  </si>
  <si>
    <t>DR KUYET KEITH GWAFAN</t>
  </si>
  <si>
    <t>DR KWADWO FAKA GYAN</t>
  </si>
  <si>
    <t>DR KWAME AKOI</t>
  </si>
  <si>
    <t>DR KWASI BAAFUOR KYEI-OWUSU</t>
  </si>
  <si>
    <t>DR KWEKU BEDU TETTEH</t>
  </si>
  <si>
    <t>DR LAMIN ES JAITEH</t>
  </si>
  <si>
    <t>DR LILIAN IFECHUKWUDE OJIAKU</t>
  </si>
  <si>
    <t>DR LINDA A. BIRCH</t>
  </si>
  <si>
    <t>DR LISA ORIANWO</t>
  </si>
  <si>
    <t>DR LOVINA UDOH</t>
  </si>
  <si>
    <t>DR LUCY CHIUGO UWAH</t>
  </si>
  <si>
    <t>DR LYANNE DEDE SIKA BOATENG</t>
  </si>
  <si>
    <t>DR MAAME AMANKWAA OFORI-ASUMADU</t>
  </si>
  <si>
    <t>DR MABEL OBIAGELI ONWUKA</t>
  </si>
  <si>
    <t>DR MACLEAN AKPA</t>
  </si>
  <si>
    <t>DR MADAKI J.K. ABOI.</t>
  </si>
  <si>
    <t>DR MAGDALINE YAA AMOAKOA ANSAH</t>
  </si>
  <si>
    <t>DR MALDWYN ANSAH</t>
  </si>
  <si>
    <t>DR MAMUS MIA OPUTTEH</t>
  </si>
  <si>
    <t>DR MANSUR ABDULLAHI MAIKANO</t>
  </si>
  <si>
    <t>DR MARIAM GALADIMA</t>
  </si>
  <si>
    <t>DR MARIAM JAW</t>
  </si>
  <si>
    <t>DR MARIAMA A JALLOW</t>
  </si>
  <si>
    <t>DR MARIAMA POSSEH TURAY</t>
  </si>
  <si>
    <t>DR MARIAN OPOKU-AGYAKWA</t>
  </si>
  <si>
    <t>DR MARILYN ETE DAFETA</t>
  </si>
  <si>
    <t>DR MARIYA MUKHTAR YOLA.</t>
  </si>
  <si>
    <t>DR MARTHA AGBEDO.</t>
  </si>
  <si>
    <t>DR MARYAM TUKUR</t>
  </si>
  <si>
    <t>DR MARYAM ALHASSAN.</t>
  </si>
  <si>
    <t>DR MARYROSE PEJI. NKECHI</t>
  </si>
  <si>
    <t>DR MASHKURAH ABDULHAMID.</t>
  </si>
  <si>
    <t>DR MATILDA KORYOE AMISSAH</t>
  </si>
  <si>
    <t>DR MAUDA ADUM-ATTA</t>
  </si>
  <si>
    <t>DR MAWUFEMOR AFI BEKUI</t>
  </si>
  <si>
    <t>DR MAYFLOWER OSAYIMOBOR OZIEGBE</t>
  </si>
  <si>
    <t>DR MAYOWA MARY ADETOYE</t>
  </si>
  <si>
    <t>DR MBADIWE NKEIRUKA</t>
  </si>
  <si>
    <t>DR MCEDWARDS CHUKWUDI NWORIE</t>
  </si>
  <si>
    <t>DR MEDINA BOLA ZUBAIR</t>
  </si>
  <si>
    <t>DR MEHANA OLUWATOSIN BRAIMAH</t>
  </si>
  <si>
    <t>DR MELANIE NGOZI NWABUEZE</t>
  </si>
  <si>
    <t>DR MELVINA C THOMPSON</t>
  </si>
  <si>
    <t>DR MGBOAWAJIOGAK ABUBOR</t>
  </si>
  <si>
    <t>DR MICHAEL AZI</t>
  </si>
  <si>
    <t>DR MICHAEL JOSEPH KOROMA</t>
  </si>
  <si>
    <t>DR MICHAEL SUNDAY AFOLABI</t>
  </si>
  <si>
    <t>DR MICHAEL TANU BRIMA</t>
  </si>
  <si>
    <t>DR MICHELLE GYASI</t>
  </si>
  <si>
    <t>DR MINE RACHAEL JOHNSON</t>
  </si>
  <si>
    <t>DR MINKA CORNELIA NDIFON</t>
  </si>
  <si>
    <t>DR MOBOLAJI ADEBISI AGUNBIADE-0LU</t>
  </si>
  <si>
    <t>DR MOBOLUWAPE OJEKUNLE</t>
  </si>
  <si>
    <t>DR MODESTUS ATUEYI</t>
  </si>
  <si>
    <t>DR MODUPE OMOWUNMI EGUNJOBI</t>
  </si>
  <si>
    <t>DR MOHAMED SMITH</t>
  </si>
  <si>
    <t>DR MOHAMMADOU KABIR CHAM</t>
  </si>
  <si>
    <t>DR MOHAMMED KUDUS MORO</t>
  </si>
  <si>
    <t>DR MOMODOU LAMIN JOBARTEH</t>
  </si>
  <si>
    <t>DR MOMODU SESAY</t>
  </si>
  <si>
    <t>DR MONA TORTO</t>
  </si>
  <si>
    <t>DR MONDAY JACOB ZACCHEAUS</t>
  </si>
  <si>
    <t>DR MORDECAI MAWULI OWUSU</t>
  </si>
  <si>
    <t>DR MORUFAT TITILOPE OMOTAYO</t>
  </si>
  <si>
    <t>DR MOSES K. JEURONLON</t>
  </si>
  <si>
    <t>DR MOSES OFOSU AMOAKO</t>
  </si>
  <si>
    <t>DR MOTUNRAYO ALOLADE IBILOYE</t>
  </si>
  <si>
    <t>DR MOYOSOLUWA OKIKIJESU OMOKANYE</t>
  </si>
  <si>
    <t>DR MSOO IMMANUEL BITTO</t>
  </si>
  <si>
    <t>DR MUHAMMAD IBRAHIM JALO</t>
  </si>
  <si>
    <t>DR MUHAMMAD AWWAL ABDULLAHI</t>
  </si>
  <si>
    <t>DR MUHAMMAD SHAMSUDDEEN YUSUF</t>
  </si>
  <si>
    <t>DR MUHAMMAD TAHIR ADAMU</t>
  </si>
  <si>
    <t>DR MUHAMMED-JAMIU ADINOYI YUSUF</t>
  </si>
  <si>
    <t>DR MUHYIDEEN ALHASSAN BASHIR</t>
  </si>
  <si>
    <t>DR MUIDEEN OGUNYODE</t>
  </si>
  <si>
    <t>DR MUKHTAR MAHMUD</t>
  </si>
  <si>
    <t>DR MURJANATU GULMA ABUBAKAR</t>
  </si>
  <si>
    <t>DR MUSA JIBRIL.</t>
  </si>
  <si>
    <t>DR MUSA JOSEPH</t>
  </si>
  <si>
    <t>DR MUSA JAITEH</t>
  </si>
  <si>
    <t>DR MUSA CHAM</t>
  </si>
  <si>
    <t>DR MUSA . DANKYAU</t>
  </si>
  <si>
    <t>DR MUSA KARAJI MODU</t>
  </si>
  <si>
    <t>DR MUSA SALIEU KAMARA</t>
  </si>
  <si>
    <t>DR MUSBAU OLANREWAJU OLAWALE</t>
  </si>
  <si>
    <t>DR MUSTAPHA KOMRABAI KANU</t>
  </si>
  <si>
    <t>DR MUSU J. DUWORKO</t>
  </si>
  <si>
    <t>DR MUTIU KAREEM</t>
  </si>
  <si>
    <t>DR NAA LARTELEY QUARCOO</t>
  </si>
  <si>
    <t>DR NADIYA ABBA MAHMUD</t>
  </si>
  <si>
    <t>DR NAFISAT ENIOLA ABDULFATAI-ADEDEJI</t>
  </si>
  <si>
    <t>DR NAFISATU MAMOON</t>
  </si>
  <si>
    <t>DR NANA AMA AGYEMANG</t>
  </si>
  <si>
    <t>DR NANA YAA SAKA DWOMOH</t>
  </si>
  <si>
    <t>DR NANRIBET BRIDGET DAKWOM</t>
  </si>
  <si>
    <t>DR NAOMI BULUM FALI</t>
  </si>
  <si>
    <t>DR NDIDIAMAKA MABEL IKECHUKWU</t>
  </si>
  <si>
    <t>DR NELLY CHIGOZIE OSAKWE</t>
  </si>
  <si>
    <t>DR NEMILE MIKE IDENYI</t>
  </si>
  <si>
    <t>DR NENTAWE GONTOR.</t>
  </si>
  <si>
    <t>DR NGOZI MMAMELU</t>
  </si>
  <si>
    <t>DR NGOZIKA BLESSING IKE</t>
  </si>
  <si>
    <t>DR NICHOLAS CHUKWUNWEIKE OTONOH</t>
  </si>
  <si>
    <t>DR NICOLE COOPER</t>
  </si>
  <si>
    <t>DR NIYI ISAIAH OYETUNJI</t>
  </si>
  <si>
    <t>DR NKECHI NWODO OKEZIE</t>
  </si>
  <si>
    <t>DR NKECHI APPOLONIA IJEZIE</t>
  </si>
  <si>
    <t>DR NKECHI MARY ROSE PEJI</t>
  </si>
  <si>
    <t>DR NKECHINYERE NWANKWO</t>
  </si>
  <si>
    <t>DR NKECHINYERE ANULIKA  CHUKWUMOBI</t>
  </si>
  <si>
    <t>DR NKEMJIKA LESLIE UDO-INYANG</t>
  </si>
  <si>
    <t>DR NKIRUKA AHIAKWO</t>
  </si>
  <si>
    <t>DR NKIRUKA EUCHARIA NWAGBARA</t>
  </si>
  <si>
    <t>DR NNAJI CHIZIMAKO TOCHUKWU.</t>
  </si>
  <si>
    <t>DR NNAMDI LUCKY ONUOHA</t>
  </si>
  <si>
    <t>DR NNEKA UDORA</t>
  </si>
  <si>
    <t>DR NNEKA TERESA ONELUM</t>
  </si>
  <si>
    <t>DR NNENNA OKAFOR</t>
  </si>
  <si>
    <t>DR NONYE EZEONYEJIAKU</t>
  </si>
  <si>
    <t>DR NUHU ABUBAKAR</t>
  </si>
  <si>
    <t>DR NURA BELLO</t>
  </si>
  <si>
    <t>DR NURAT ADEJOKE RABIU</t>
  </si>
  <si>
    <t>DR NURUDEEN GBADAMOSI</t>
  </si>
  <si>
    <t>DR NWABUEZE UCHECHUKWU FRANCA.</t>
  </si>
  <si>
    <t>DR NYAMALI VERONICA OLUYEMESI</t>
  </si>
  <si>
    <t>DR OBED BAMFO</t>
  </si>
  <si>
    <t>DR OBIOMA C . UCHENDU</t>
  </si>
  <si>
    <t>DR ODELL WANNIE KUMEH</t>
  </si>
  <si>
    <t>DR OGECHI EZERIOHA</t>
  </si>
  <si>
    <t xml:space="preserve">DR OGECHI MARYANN NWEZE </t>
  </si>
  <si>
    <t>DR OGECHUKWU ANDREA EZEIKE</t>
  </si>
  <si>
    <t>DR OGECHUKWU NONYELUM OZUGHA</t>
  </si>
  <si>
    <t>DR OGOCHUKWU</t>
  </si>
  <si>
    <t>DR OGOCHUKWU COMFORT EJESIEME</t>
  </si>
  <si>
    <t>DR OJEKUNLE MD.</t>
  </si>
  <si>
    <t>DR OJEME ABIMBOLA ITOANDON</t>
  </si>
  <si>
    <t>DR OJUOLAPE OLAJOJU OKEDARA</t>
  </si>
  <si>
    <t>DR OKECHUKWU EGBUKA</t>
  </si>
  <si>
    <t>DR OKECHUKWU OKOCHA UKPABI</t>
  </si>
  <si>
    <t>DR OKOCHA PATRICIA GAGMAN</t>
  </si>
  <si>
    <t>DR OKOYE CLEMENT CHINEDU</t>
  </si>
  <si>
    <t>DR OLAGBEGI OLADELE</t>
  </si>
  <si>
    <t>DR OLAIDE OYETUNDE</t>
  </si>
  <si>
    <t>DR OLAJUMOKE . ADEBAYO</t>
  </si>
  <si>
    <t>DR OLAJUMOKE OLUBUSAYO OJIMI</t>
  </si>
  <si>
    <t>DR OLAKUNLE FRANCIS FANIRAN</t>
  </si>
  <si>
    <t>DR OLALEKAN ADEWALE ADESOKAN</t>
  </si>
  <si>
    <t>DR OLAMIDE ABIODUN OGUNYEMI</t>
  </si>
  <si>
    <t>DR OLANIKE RACHAEL IDOWU</t>
  </si>
  <si>
    <t>DR OLANIRAN GRACE OLORUNTOBI</t>
  </si>
  <si>
    <t>DR OLANREWAJU ADEIGBE</t>
  </si>
  <si>
    <t>DR OLATUNDE OLUWAFEYISAYO SAMO</t>
  </si>
  <si>
    <t>DR OLAWANDE ADENIRAN</t>
  </si>
  <si>
    <t>DR OLAYINKA OLASODE</t>
  </si>
  <si>
    <t>DR OLAYINKA ISRAEL FODEKE</t>
  </si>
  <si>
    <t>DR OLIVIA ASHEFOR</t>
  </si>
  <si>
    <t>DR OLOHITA DIANE AZEKE</t>
  </si>
  <si>
    <t>DR OLOLADE VIVIAN AKANNI</t>
  </si>
  <si>
    <t>DR OLUBUKOLA OREOLUWA RANSOME-KUTI</t>
  </si>
  <si>
    <t>DR OLUBUNMI ABIOLA OLUBIYI</t>
  </si>
  <si>
    <t>DR OLUBUSOLA CAROLINE OLUKOJU</t>
  </si>
  <si>
    <t>DR OLUDELE SOLOMON OYEWUSI</t>
  </si>
  <si>
    <t>DR OLUDOLAPO OLUBUSAYO MAKANJUOLA</t>
  </si>
  <si>
    <t>DR OLUFEMI  OLUBIYI</t>
  </si>
  <si>
    <t>DR OLUFEMI AKINDELE OLUJITAN</t>
  </si>
  <si>
    <t>DR OLUFEMI KOLAWOLE  OGUNTOYE</t>
  </si>
  <si>
    <t xml:space="preserve">DR OLUFEMI WILLIAMS. ARINDE </t>
  </si>
  <si>
    <t>DR OLUFUNKE AFOLASADE . OGUNNAIKE</t>
  </si>
  <si>
    <t>DR OLUFUNKE FOLARANMI ADEDOKUN</t>
  </si>
  <si>
    <t>DR OLUFUNMILOLA AYODEJI</t>
  </si>
  <si>
    <t>DR OLUGBEMIGA . ABODUNRIN</t>
  </si>
  <si>
    <t>DR OLUKEMI CHRISTIANAH ILORI</t>
  </si>
  <si>
    <t>DR OLUKEMI TITILOPE OLUGBADE</t>
  </si>
  <si>
    <t>DR OLUOMACHI CHARITY NNACHI</t>
  </si>
  <si>
    <t>DR OLUSEYE JAMES SOBANDE</t>
  </si>
  <si>
    <t>DR OLUSHOLA GLORY. BAOKU</t>
  </si>
  <si>
    <t>DR OLUSINA AJIDAHUN</t>
  </si>
  <si>
    <t>DR OLUSOLA OMOTAYO ADEBISI</t>
  </si>
  <si>
    <t>DR OLUTIMILEHIN CHINWENDU BABALOLA</t>
  </si>
  <si>
    <t>DR OLUTOPE GRACE BAJOMO</t>
  </si>
  <si>
    <t>DR OLUWABUNMI TOKUN</t>
  </si>
  <si>
    <t>DR OLUWAFEMI JOACHIM AJAYI</t>
  </si>
  <si>
    <t>DR OLUWAFEMI JULIANAH OYEDEJI</t>
  </si>
  <si>
    <t>DR OLUWAFEMI ORELUWA OLOWOSELU</t>
  </si>
  <si>
    <t>DR OLUWAKEMI ABISOLA FEMI-OKE</t>
  </si>
  <si>
    <t>DR OLUWAKEMI TAMUNO-OPUBO OLADELE</t>
  </si>
  <si>
    <t>DR OLUWAYEMISI OLUSHOLA-AINA</t>
  </si>
  <si>
    <t>DR OMALE  DANIEL</t>
  </si>
  <si>
    <t>DR OMILA AWORABHI-ALAGOA</t>
  </si>
  <si>
    <t>DR OMIWERE-ETE GEORGE  BOYO.</t>
  </si>
  <si>
    <t>DR OMOBOLANLE OLADOJA</t>
  </si>
  <si>
    <t>DR OMODELE MOBOLANLE AJAYI</t>
  </si>
  <si>
    <t>DR OMOKOREDE ADEMOWO-OLUSANYA</t>
  </si>
  <si>
    <t>DR OMOLADE OLUBUSOLA KOYA</t>
  </si>
  <si>
    <t>DR OMOPE ADEBANJO</t>
  </si>
  <si>
    <t>DR OMOTOLANI AKINTUNDE</t>
  </si>
  <si>
    <t>DR OMOYE WINIFRED USIFO</t>
  </si>
  <si>
    <t>DR OMOZELE UWADIA</t>
  </si>
  <si>
    <t>DR ONO JOYCE INONI</t>
  </si>
  <si>
    <t>DR ONU AYEGBA</t>
  </si>
  <si>
    <t>DR ONUZULIKE . JENNIFER</t>
  </si>
  <si>
    <t>DR ONYALEWA  FAITH AGBAJI</t>
  </si>
  <si>
    <t>DR ONYECHE GIFT ONYINYECHI</t>
  </si>
  <si>
    <t>DR ONYEKACHI MICHAEL UGWA</t>
  </si>
  <si>
    <t>DR ONYEUNONEME ODIARI</t>
  </si>
  <si>
    <t>DR ONYI HELEN UTAJI</t>
  </si>
  <si>
    <t>DR ONYINYE CHINENYE NWAZOR</t>
  </si>
  <si>
    <t>DR ONYINYE OLIVE EGWIM</t>
  </si>
  <si>
    <t>DR ONYINYE VIVIAN OKONKWO</t>
  </si>
  <si>
    <t>DR ONYINYECHI VIVIAN JIAKPONNA</t>
  </si>
  <si>
    <t>DR OPEYEMI ABIOYE</t>
  </si>
  <si>
    <t>DR OPEYEMI BAMITALE  WATTI</t>
  </si>
  <si>
    <t>DR OPEYEMI FOLASADE OPELAMI-AYODEJI</t>
  </si>
  <si>
    <t>DR OPEYEMI OLUKEMI OSHINOWO</t>
  </si>
  <si>
    <t>DR OPEYEMI OMOLADE AKINMADELO</t>
  </si>
  <si>
    <t>DR ORJI SAMUEL FIRDAY.</t>
  </si>
  <si>
    <t>DR OSAGIE  GIFT EKIENABOR</t>
  </si>
  <si>
    <t>DR OSARETIN SANDRA IRABOR.</t>
  </si>
  <si>
    <t>DR OSELOKA NDUBUISI UMEWENI</t>
  </si>
  <si>
    <t>DR OTEJIRO URHIE</t>
  </si>
  <si>
    <t>DR OTOOBONG ESSIEN</t>
  </si>
  <si>
    <t>DR OUSMAN LEIGH</t>
  </si>
  <si>
    <t>DR OYEYEMI AFOLABI</t>
  </si>
  <si>
    <t>DR OYINADE OLUSEYE BOLUJOKO</t>
  </si>
  <si>
    <t>DR OYINLOLA MOGBA</t>
  </si>
  <si>
    <t>DR OYOVWI OTOH</t>
  </si>
  <si>
    <t>DR PAMOERE SUOWARI</t>
  </si>
  <si>
    <t>DR PATIENCE AIZEHI ERUZEGBUA</t>
  </si>
  <si>
    <t>DR PATIENCE DELALI AWITTOR</t>
  </si>
  <si>
    <t>DR PATIENCE NGMINTIERU BACHO</t>
  </si>
  <si>
    <t>DR PATRICIA OWUSU</t>
  </si>
  <si>
    <t>DR PATRICIA AFRIM</t>
  </si>
  <si>
    <t>DR PATRICIA OMADA IGOCHE</t>
  </si>
  <si>
    <t>DR PATRICK BEDIAKO</t>
  </si>
  <si>
    <t>DR PAUL EMMANUEL.</t>
  </si>
  <si>
    <t>DR PEARL AYERBEA OBENG</t>
  </si>
  <si>
    <t>DR PEREBODO OGIGBAH</t>
  </si>
  <si>
    <t>DR PERE-ERE EDNA MIKE-LOYIBO</t>
  </si>
  <si>
    <t>DR PERPETUA  AMOAKO</t>
  </si>
  <si>
    <t>DR PETER AONDOFA  IKYOH.</t>
  </si>
  <si>
    <t>DR PETER CHIENYE EKWUEME</t>
  </si>
  <si>
    <t>DR PETER OLUWASEGUN ODUNUYI</t>
  </si>
  <si>
    <t>DR PETER TWINSCHRISON MENDY</t>
  </si>
  <si>
    <t>DR PHIL DOWUONA</t>
  </si>
  <si>
    <t>DR PHIL EMIL OKWEI  DOWUONA</t>
  </si>
  <si>
    <t>DR PHILDERALD PRATT</t>
  </si>
  <si>
    <t>DR PHILIP Z. IRELAND</t>
  </si>
  <si>
    <t>DR PHYLLIS ENGMANN</t>
  </si>
  <si>
    <t>DR PRECIOUS UDUASOBOR</t>
  </si>
  <si>
    <t>DR PRECIOUS AKUOMA ONYEMARIN-HENRY</t>
  </si>
  <si>
    <t>DR PRINCE OFUDU</t>
  </si>
  <si>
    <t>DR PRINCE HENRY OPOKU</t>
  </si>
  <si>
    <t>DR PRINCESS KATHRYN MENSAH</t>
  </si>
  <si>
    <t>DR PRISCILLA ABRAFI OPARE-ADDO</t>
  </si>
  <si>
    <t>DR RABI IBRAHIM</t>
  </si>
  <si>
    <t>DR RACHAEL NGUVEREN ANENGA</t>
  </si>
  <si>
    <t>DR RAHMAH ABUBAKAR GIMBA</t>
  </si>
  <si>
    <t>DR RALPH OWUSU</t>
  </si>
  <si>
    <t>DR RASHEED OYEJIDE OYEBOLA</t>
  </si>
  <si>
    <t>DR READON C. IDEH</t>
  </si>
  <si>
    <t>DR REGINALD O OBIAKO</t>
  </si>
  <si>
    <t>DR REXFORD GYAMFI</t>
  </si>
  <si>
    <t>DR RHODA-DARA EPHRAIM</t>
  </si>
  <si>
    <t>DR RICHARD GYASI</t>
  </si>
  <si>
    <t>DR RICHARD DEI-ASAMOA</t>
  </si>
  <si>
    <t>DR RICHARDOM  GOGO QUARM</t>
  </si>
  <si>
    <t>DR RIFKATU YUSUF</t>
  </si>
  <si>
    <t>DR RILWANU TAMBUWAL BELLO</t>
  </si>
  <si>
    <t>DR RITA TAMAMBANG</t>
  </si>
  <si>
    <t>DR RITA EMUJOHWERUO EFETOBOR</t>
  </si>
  <si>
    <t>DR RITA LARKOH AFFO</t>
  </si>
  <si>
    <t>DR ROBERT ASSUAH</t>
  </si>
  <si>
    <t>DR ROBERT BEN NII LOMOTEY.</t>
  </si>
  <si>
    <t>DR ROFIAT AJOKE  MUIBI</t>
  </si>
  <si>
    <t>DR ROLI AJUYAH</t>
  </si>
  <si>
    <t>DR RONITA LUKE</t>
  </si>
  <si>
    <t>DR ROSE OKWUNU ABAH</t>
  </si>
  <si>
    <t>DR ROSEDA E. MARSHALL</t>
  </si>
  <si>
    <t>DR ROSINA NJOKU</t>
  </si>
  <si>
    <t>DR SA'ADATU ABDULRAHMAN SAMBO</t>
  </si>
  <si>
    <t>DR SADIYA SAEED HABIB</t>
  </si>
  <si>
    <t>DR SADIYA ABDULKADIR</t>
  </si>
  <si>
    <t>DR SAEED JIBREEL</t>
  </si>
  <si>
    <t>DR SAFIYANU BABAYO</t>
  </si>
  <si>
    <t>DR SAHEED ADEKOLA AYANTOLA</t>
  </si>
  <si>
    <t>DR SAHR GEVAO</t>
  </si>
  <si>
    <t>DR SAHR LINUS GBORIE</t>
  </si>
  <si>
    <t>DR SAKINATU JAMA UMARU</t>
  </si>
  <si>
    <t>DR SALAMATU ATINE ABDULRAHMAN</t>
  </si>
  <si>
    <t>DR SALEH ABUBAKAR HASSAN</t>
  </si>
  <si>
    <t>DR SALIHU JOJI</t>
  </si>
  <si>
    <t>DR SALIM YUSUF MUHAMMAD</t>
  </si>
  <si>
    <t>DR SALOME DEDE BOADJOR ABABIO</t>
  </si>
  <si>
    <t>DR SALOMEY OBAH-DUKU</t>
  </si>
  <si>
    <t>DR SAMAILA MODUPEOLA OMOTARA</t>
  </si>
  <si>
    <t>DR SAMMY OHENE</t>
  </si>
  <si>
    <t>DR SAMSON MADAKI</t>
  </si>
  <si>
    <t>DR SAMSON AIWOBEUKE OSHOMOH</t>
  </si>
  <si>
    <t>DR SAMUEL PIE</t>
  </si>
  <si>
    <t>DR SAMUEL DEMEDONGHAN OGORI</t>
  </si>
  <si>
    <t>DR SANDRA CHIKAZOR NNOROM</t>
  </si>
  <si>
    <t>DR SANI ABDULKAREEM</t>
  </si>
  <si>
    <t>DR SARA LOETZ UND . DANIEL</t>
  </si>
  <si>
    <t>DR SARTIE KENNEH</t>
  </si>
  <si>
    <t>DR SCHOLA LONGPOE</t>
  </si>
  <si>
    <t>DR SETH KYEI - FRAM</t>
  </si>
  <si>
    <t>DR SHAFIQ SEYOJI</t>
  </si>
  <si>
    <t>DR SHAMSUDDINI  ABDULSALAM . INUWA</t>
  </si>
  <si>
    <t>DR SHAMSUDEEN . YUSUF</t>
  </si>
  <si>
    <t>DR SHARON EKUA BUABIN-OTCHERE</t>
  </si>
  <si>
    <t>DR SHARRON MAKAFUI AGLOBITSE</t>
  </si>
  <si>
    <t>DR SHEHU AHMED HALIDU</t>
  </si>
  <si>
    <t>DR SHEIKH JOOF</t>
  </si>
  <si>
    <t>DR SHEIKH OMAR BITTAYE</t>
  </si>
  <si>
    <t>DR SHEILA APPIAH-PIPPIM</t>
  </si>
  <si>
    <t>DR SHEILA MARY OJOR ILELI</t>
  </si>
  <si>
    <t>DR SHELLEY ODEGUA IKEMEFUNA</t>
  </si>
  <si>
    <t>DR SHERIF OLADAPO OLANIYI</t>
  </si>
  <si>
    <t>DR SIKIRAT ABOSEDE SHITTU</t>
  </si>
  <si>
    <t>DR SIMEON AUGUSTINE</t>
  </si>
  <si>
    <t>DR SODANGI YAHYA SALISU</t>
  </si>
  <si>
    <t>DR SOLOMON GYABAAH</t>
  </si>
  <si>
    <t>DR SOLOMON  WADZANI MAURICE</t>
  </si>
  <si>
    <t>DR SOMTO NGONADI</t>
  </si>
  <si>
    <t>DR SOPAKIRITE DOUGLAS</t>
  </si>
  <si>
    <t>DR SORIE CONTEH</t>
  </si>
  <si>
    <t>DR SOTONYE IMAFIDON</t>
  </si>
  <si>
    <t>DR STELLA OJI-ONUOHA</t>
  </si>
  <si>
    <t>DR STEPHEN ENGMANN</t>
  </si>
  <si>
    <t>DR STEPHEN TAYO OWOEYE</t>
  </si>
  <si>
    <t>DR SUKAINATU DEEN</t>
  </si>
  <si>
    <t>DR SUMAYYA GARBA ABUBAKAR</t>
  </si>
  <si>
    <t>DR SUMAYYA MUSTAPHA KABIR</t>
  </si>
  <si>
    <t>DR SUNDAY MALOMO</t>
  </si>
  <si>
    <t>DR SUNDAY MUSA OGUCHE</t>
  </si>
  <si>
    <t>DR SURAIYA TAJOUDDEEN</t>
  </si>
  <si>
    <t>DR SURAYYA MURTALA SUNUSI</t>
  </si>
  <si>
    <t>DR SUSAN TURAY</t>
  </si>
  <si>
    <t>DR SUSAN ILOEGBE OBASANMI</t>
  </si>
  <si>
    <t>DR SYLVESTER ENUDI</t>
  </si>
  <si>
    <t>DR SYLVIA ADAKU ANTHONY-EWEPUTANNA</t>
  </si>
  <si>
    <t>DR TAIWO OJEDOJA</t>
  </si>
  <si>
    <t>DR TAIWO . OBINDO</t>
  </si>
  <si>
    <t>DR TAIWO LATEEF SHEIKH</t>
  </si>
  <si>
    <t>DR TAIWO OLUFUNMILAYO OLUSA</t>
  </si>
  <si>
    <t>DR TARLO H. KEKULAH</t>
  </si>
  <si>
    <t>DR TEJUMADE MARGARET OJEYEMI</t>
  </si>
  <si>
    <t>DR TEMITAYO OLUBUNMI BEWAJI</t>
  </si>
  <si>
    <t>DR TEMITOPE ONAKOYA</t>
  </si>
  <si>
    <t>DR TEMITOPE IBUKUN OLATAYO</t>
  </si>
  <si>
    <t>DR TEMITOPE TOYIB ANIFOWOSE</t>
  </si>
  <si>
    <t>DR TERSOO NONGO</t>
  </si>
  <si>
    <t>DR TERWASE ANYIMAN</t>
  </si>
  <si>
    <t>DR THELMA ONYINYE AKUMUO</t>
  </si>
  <si>
    <t>DR THERESA CHINWE UZENDU</t>
  </si>
  <si>
    <t xml:space="preserve">DR THOMAS UDIDA AKOMAYE </t>
  </si>
  <si>
    <t>DR TIDA DIBASSEY</t>
  </si>
  <si>
    <t>DR TIMOTHY PATIENCE</t>
  </si>
  <si>
    <t>DR TITILAYO TEMITOPE ADEOYE</t>
  </si>
  <si>
    <t>DR TITILOLA EDUVIE</t>
  </si>
  <si>
    <t>DR TOBECHUKWU OJIUGO TONY-OKEKE</t>
  </si>
  <si>
    <t>DR TONGDYEN JUDITH MENEGBE.</t>
  </si>
  <si>
    <t>DR TOSIN SAMUEL ADARAMOLA</t>
  </si>
  <si>
    <t>DR UBOKOBONG . ESHIET</t>
  </si>
  <si>
    <t>DR UCHECHI CHINEDU IWEHA.</t>
  </si>
  <si>
    <t>DR UCHECHUKWU UKAMAKA ANIAGBOSO</t>
  </si>
  <si>
    <t>DR UCHENNA ANYAOHA</t>
  </si>
  <si>
    <t>DR UCHENNA ENWEREUZO</t>
  </si>
  <si>
    <t>DR UCHENNA EZEAPUTA</t>
  </si>
  <si>
    <t>DR UDUAK OKOMO</t>
  </si>
  <si>
    <t>DR UFUOMA KPORON.</t>
  </si>
  <si>
    <t>DR UGO UWADIAKO ENEBELI</t>
  </si>
  <si>
    <t>DR UGOENYI NNEKA JULIET</t>
  </si>
  <si>
    <t>DR UJU GERTRUDE OKEKE</t>
  </si>
  <si>
    <t>DR UKA SHEDRACH KALU</t>
  </si>
  <si>
    <t>DR ULOMA ANN OKAFOR</t>
  </si>
  <si>
    <t>DR UMAR ABBA IBRAHIM</t>
  </si>
  <si>
    <t>DR UMAR BELLO</t>
  </si>
  <si>
    <t>DR UMEWENI OSELEKA.</t>
  </si>
  <si>
    <t>DR UMMULKHAIRI SALEH BARAU</t>
  </si>
  <si>
    <t>DR UREDOOJO  ADEJO CHINYIO</t>
  </si>
  <si>
    <t>DR USMAN IDRIS.</t>
  </si>
  <si>
    <t>DR USMAN FATIMA LIMAN</t>
  </si>
  <si>
    <t>DR USMAN MUKHTAR GAJIRAM</t>
  </si>
  <si>
    <t>DR UZOAMAKA BLESSING ONESIMUS</t>
  </si>
  <si>
    <t>DR UZOMA . AMAJO</t>
  </si>
  <si>
    <t>DR UZOMA CHIDI OKEREKE</t>
  </si>
  <si>
    <t>DR UZOMA CHIDINMA AJANWENYI JOSEPH</t>
  </si>
  <si>
    <t>DR UZOMA NWANYIEZE AMAJO</t>
  </si>
  <si>
    <t>DR UZOMA PEACE ONYEBUCHI</t>
  </si>
  <si>
    <t>DR VERA ADANNA OKPEDE</t>
  </si>
  <si>
    <t>DR VICTOR ANSA</t>
  </si>
  <si>
    <t>DR VICTOR OWUSU</t>
  </si>
  <si>
    <t>DR VICTOR CHIMEZIE OKEBALAMA</t>
  </si>
  <si>
    <t>DR VICTORIA AGYEMAN</t>
  </si>
  <si>
    <t>DR VICTORIA AMADI</t>
  </si>
  <si>
    <t>DR VICTORIA EMIKE . OLOGUN</t>
  </si>
  <si>
    <t>DR VIVIAN OGECHI ANYANWU</t>
  </si>
  <si>
    <t>DR VUKUMO ERIC BOLOYA</t>
  </si>
  <si>
    <t>DR WASIU OLAKUNLE OBIPEHIN</t>
  </si>
  <si>
    <t>DR WILLIAM PEREZ AKOTO AMANKRA</t>
  </si>
  <si>
    <t>DR WILLIAMATTA S. WILLIAMS-GIBSON</t>
  </si>
  <si>
    <t>DR WILLIAMS ADAMS</t>
  </si>
  <si>
    <t>DR WOKE FINEST.</t>
  </si>
  <si>
    <t xml:space="preserve">DR WUGO. UBANI-UKOMA </t>
  </si>
  <si>
    <t>DR WURAOLA JADESOLA OLATUJOYE</t>
  </si>
  <si>
    <t>DR YAA DUFOA BRAKO</t>
  </si>
  <si>
    <t>DR YAHAYA MUHAMMED.</t>
  </si>
  <si>
    <t>DR YAHAYA MOHAMMED</t>
  </si>
  <si>
    <t>DR YAHUZA KURE USMAN</t>
  </si>
  <si>
    <t>DR YAO TETTEY</t>
  </si>
  <si>
    <t>DR YASSAH MORACIOUS. BARCLAY-KORBOI</t>
  </si>
  <si>
    <t>DR YATTA SACKIE-WAPOE</t>
  </si>
  <si>
    <t>DR YAW ADUSI-POKU</t>
  </si>
  <si>
    <t>DR YAWO ATAKOUMA</t>
  </si>
  <si>
    <t>DR YEMAH BOCKARIE</t>
  </si>
  <si>
    <t xml:space="preserve">DR YETUNDE OLAMIDE  SHENGE </t>
  </si>
  <si>
    <t>DR YUSUF . AHMAD</t>
  </si>
  <si>
    <t>DR YUSUF ABIOLA RAHEEM</t>
  </si>
  <si>
    <t>DR YVONNE CARTER</t>
  </si>
  <si>
    <t>DR ZAINAB HASSAN</t>
  </si>
  <si>
    <t>DR ZAINAB CHIROMA</t>
  </si>
  <si>
    <t>DR ZAINAB MOMODU</t>
  </si>
  <si>
    <t>DR ZAINAB GURAMA BAWA</t>
  </si>
  <si>
    <t>DR ZAINAB KASIM GARBA</t>
  </si>
  <si>
    <t>DR ZAINAB-RAJI GIDADO</t>
  </si>
  <si>
    <t>DR ZAKIYYAH ZAKARIYYA</t>
  </si>
  <si>
    <t>DR ZOEBON B. KPARTEH</t>
  </si>
  <si>
    <t>DR ZUBAIRU ILIYASU</t>
  </si>
  <si>
    <t>DR YVELINE HOUENOU AGBO</t>
  </si>
  <si>
    <t>DR PAUL  GUILLEDANA</t>
  </si>
  <si>
    <t>DR NIMARKO ANTWI  KWAME</t>
  </si>
  <si>
    <t>DR FLORENCE NATHALIE YACOBA ALIHONOU</t>
  </si>
  <si>
    <t>DR BOUBACAR SONFO</t>
  </si>
  <si>
    <t>DR LALYA FRANCIS HONORAT</t>
  </si>
  <si>
    <t xml:space="preserve">DR HAKEEM GBADAMOSI </t>
  </si>
  <si>
    <t>DR FRANCIS CALYA</t>
  </si>
  <si>
    <t>DR RAMOU NJIE</t>
  </si>
  <si>
    <t>DR VICTORIA MAY  ADAPAYERI</t>
  </si>
  <si>
    <t>DR AKWASI  OSEI</t>
  </si>
  <si>
    <t>DR DIOMANDE MOHENI</t>
  </si>
  <si>
    <t>DR EWERE MARIE OGBIMI</t>
  </si>
  <si>
    <t>DR HENRY  LAWSON</t>
  </si>
  <si>
    <t>DR HOUROUNA SOW</t>
  </si>
  <si>
    <t>DR IFEOMA EGBUONU.</t>
  </si>
  <si>
    <t>DR ROSE JALLAH MACAULEY</t>
  </si>
  <si>
    <t>DR SEYI APANISILE</t>
  </si>
  <si>
    <t>DR IVY ARIKPI OMAAGABA-DANIEL</t>
  </si>
  <si>
    <t>DR MODOU JOBE</t>
  </si>
  <si>
    <t>DR MARIE LOUISE  GOMEZ</t>
  </si>
  <si>
    <t>Duplicate</t>
  </si>
  <si>
    <t>TOTAL</t>
  </si>
  <si>
    <t>Amt verified with Dokilink Records</t>
  </si>
  <si>
    <t>WACP - LIST OF DAKAR AGSM, 25 ECOBANK PAYMENTS.</t>
  </si>
  <si>
    <t>S/N.</t>
  </si>
  <si>
    <t xml:space="preserve">ACCT. No. </t>
  </si>
  <si>
    <t>REMARKS/ISSUES.</t>
  </si>
  <si>
    <t>DR. NWANNE CHUKWUYEM LUNDA.</t>
  </si>
  <si>
    <t>Cash Payment.</t>
  </si>
  <si>
    <t>DR. AHIAKWO NKIRUKA.</t>
  </si>
  <si>
    <t>DR. IDENYI NEMILE MIKE.</t>
  </si>
  <si>
    <t>DR. SEYOJI MOHAMMED SHAFIQ.</t>
  </si>
  <si>
    <t>DR. ZAINAB GURAMA BAWA.</t>
  </si>
  <si>
    <t>DR. AISHA KABIR.</t>
  </si>
  <si>
    <t>DR. NGWU CHIKAMBINAKA PATRICIA.</t>
  </si>
  <si>
    <t>DR. AUWALU SHEHU TANGAZA.</t>
  </si>
  <si>
    <t>DR. IBRAHIM ALI DODO.</t>
  </si>
  <si>
    <t xml:space="preserve">DR. CHUKWUMERIJE CHETACHI C. </t>
  </si>
  <si>
    <t>DR..DICKSON ANIEKAN.</t>
  </si>
  <si>
    <t>DR. AMOSUN FOLASADE.</t>
  </si>
  <si>
    <t>DR. OLADOJA OMOBOLANLE.</t>
  </si>
  <si>
    <t>DR. ABDULRAHMAN SALAMATU ATINE.</t>
  </si>
  <si>
    <t>DR. ORAKWUE IKECHUKWU.</t>
  </si>
  <si>
    <t>DR. ESSIEN, KINGSLEY ANTIGHA.</t>
  </si>
  <si>
    <t>DR. ARCHIBONG IMOH ANIEKAN.</t>
  </si>
  <si>
    <t>DR. NWABUEZE UCHECHUKWU FRANCA.</t>
  </si>
  <si>
    <t>DR. OLOGWU CHRISTIANA CHINYERE.</t>
  </si>
  <si>
    <t>DR. LINGA FIDELIS FILIBUS. - DUES.</t>
  </si>
  <si>
    <t>Annual Dues.</t>
  </si>
  <si>
    <t>DR. IHEGBU BERNADETTE CHINAGOROM.</t>
  </si>
  <si>
    <t>Building Fund.</t>
  </si>
  <si>
    <t>DR. LINGA FIDELIS FILIBUS.</t>
  </si>
  <si>
    <t>Membership.</t>
  </si>
  <si>
    <t>DR. MAIRAMI.</t>
  </si>
  <si>
    <t>DR. ORJI IKECHUKWU.</t>
  </si>
  <si>
    <t>DR. SARA LOETZ UND DANIEL.</t>
  </si>
  <si>
    <t xml:space="preserve">DR. AMIRA  BELLO. </t>
  </si>
  <si>
    <t>DR. KHADIJA A.</t>
  </si>
  <si>
    <t>DR. JAMILAT MUHAMMAD.</t>
  </si>
  <si>
    <t>DR. EMOITOLOGA ANTHONY.</t>
  </si>
  <si>
    <t>DR. MOMODU ZAINAB.</t>
  </si>
  <si>
    <t>DR. OLUWATUNBI JOY OLUWASEUN.</t>
  </si>
  <si>
    <t>DR. DIKWAL KETURAH AMOS.</t>
  </si>
  <si>
    <t>DR. ATTAHIR DAN- ALI MUSTAPHA.</t>
  </si>
  <si>
    <t>DR. ONESIMUS UZOAMAKA BLESSING.</t>
  </si>
  <si>
    <t>DR. SALEH HASSAN ABUBAKAR.</t>
  </si>
  <si>
    <t>DR. SUOWARI PAMOERE.</t>
  </si>
  <si>
    <t>DR. OMOKANYE MOYOSOLUWA OKIKIJESU.</t>
  </si>
  <si>
    <t>DR. OBANOVWE JUDITH E.</t>
  </si>
  <si>
    <t>DR. ZAINAB GUREMA BAWE.</t>
  </si>
  <si>
    <t xml:space="preserve">
DR. USIFO OMOYE WINIFRED.</t>
  </si>
  <si>
    <t>DR. EZEAPUTA UCHENNA.</t>
  </si>
  <si>
    <t>DR. IKECHUKWU NDIDIAMAKA M.</t>
  </si>
  <si>
    <t>DR. ADENIRAN OLAWANDE.</t>
  </si>
  <si>
    <t>DR. HAUWA UMAR NATAALA.</t>
  </si>
  <si>
    <t>DR. IMAOBONG OKON.</t>
  </si>
  <si>
    <t>DR. CHARITY OJONG AJAKE.</t>
  </si>
  <si>
    <t>DR. AHMED KAMAL ABDULKAREEM.</t>
  </si>
  <si>
    <t>DR. OWUSU VICTOR YAW.</t>
  </si>
  <si>
    <t>DR. ROBERT BEN NII LOMOTEY.</t>
  </si>
  <si>
    <t>DR. ILORI OLUKEMI .C.</t>
  </si>
  <si>
    <t>DR. BUSAYO KOLADE AKERELE.</t>
  </si>
  <si>
    <t>DR. OLAKUNLE FANIRAN.</t>
  </si>
  <si>
    <t>DR. ATUEYI MODESTUS IFEANYI.</t>
  </si>
  <si>
    <t>DR. CHIDI DIKE.</t>
  </si>
  <si>
    <t>DR. USMAN MUKHTAR GAJIRAM.</t>
  </si>
  <si>
    <t>DR. BELLO UMAR.</t>
  </si>
  <si>
    <t>DR. ODUNUYI PETER.</t>
  </si>
  <si>
    <t>DR. NKECHI MARYROSE PEJI.</t>
  </si>
  <si>
    <t>DR. HASSAN BUKA..</t>
  </si>
  <si>
    <t>DR. TONGDYEN JUDITH MENEGBE.</t>
  </si>
  <si>
    <t>DR. EZE CHUKWUEMEKA OBIOHA.</t>
  </si>
  <si>
    <t>DR. BUKAR ALI SHETTIMA.</t>
  </si>
  <si>
    <t>DR. MUSA JIBRIL.</t>
  </si>
  <si>
    <t>DR. PETER AONDOFA IKYOH.</t>
  </si>
  <si>
    <t>DR. ANEKE EMEKA JOHN.</t>
  </si>
  <si>
    <t>DR. AFOLABI JESUTOFUNMI AJIBOLA.</t>
  </si>
  <si>
    <t>DR. OTU EKPENYONG EKPO.</t>
  </si>
  <si>
    <t>DR. EZEOKAFOR CHISOM..</t>
  </si>
  <si>
    <t>DR. USMAN IDRIS.</t>
  </si>
  <si>
    <t>DR. NNAJI CHIZIMAKO TOCHUKWU.</t>
  </si>
  <si>
    <t>DR.OMIWERE-ETE GEORGE BOYO.</t>
  </si>
  <si>
    <t>DR. SURAIYA TAJOUDDEEN.</t>
  </si>
  <si>
    <t>DR. KENNETH ONYEOCHA.</t>
  </si>
  <si>
    <t>DR. USMAN FATIMA LIMAN.</t>
  </si>
  <si>
    <t>DR. UMMULKHAIRI S BARAU.</t>
  </si>
  <si>
    <t>DR. NWEZE OGECHI MARYANN.</t>
  </si>
  <si>
    <t>DR. NONYE EZEONYEJIAKU.</t>
  </si>
  <si>
    <t>DR. HENRY CHUKWUKA OKOROJI.</t>
  </si>
  <si>
    <t>DR. AHUNWA CONFIDENCE UJU.</t>
  </si>
  <si>
    <t>DR. HAUWA IBRAHIM.</t>
  </si>
  <si>
    <t>DR. MARYAM ALHASSAN.</t>
  </si>
  <si>
    <t>DR. OKUNBOR HILARY NOSA.</t>
  </si>
  <si>
    <t>DR. OWADOKUN BLESSING ADEOLUWA.</t>
  </si>
  <si>
    <t>DR. GODSLOVE KWEMEZI.</t>
  </si>
  <si>
    <t>DR. MASHKURAH ABDULHAMID.</t>
  </si>
  <si>
    <t>DR. ELE CHINYERE VICTORIA.</t>
  </si>
  <si>
    <t>DR. EDWARD OMATSEYIN CARPE.</t>
  </si>
  <si>
    <t>DR. UFUOMA KPORON.</t>
  </si>
  <si>
    <t>DR. KARAGBARA MICHAEL BARIYERE MORRISON.</t>
  </si>
  <si>
    <t>DR. ELIJAH AKER IGBASHIO.</t>
  </si>
  <si>
    <t>DR. CHUKWUMOBI N. ANULIKA.</t>
  </si>
  <si>
    <t>DR. ETSENUMHE EMPRESS IZIEGBE.</t>
  </si>
  <si>
    <t>DR. DANIEL IFEOLUWA E.</t>
  </si>
  <si>
    <t>DR. KUNU PHILLET.</t>
  </si>
  <si>
    <t>DR. MARTHA AGBEDO.</t>
  </si>
  <si>
    <t>DR. IZUU-UMEIKE AUGUSTINA OGOCHUKWU.</t>
  </si>
  <si>
    <t>DR. EZE NDUBUISI SIMEON.</t>
  </si>
  <si>
    <t>DR. CHIJIOKE OGUNO.</t>
  </si>
  <si>
    <t>DR. JEGEDE BUKOLA OMOWUNMI.</t>
  </si>
  <si>
    <t>DR. FAJUYIGBE BOLATITO MARY.</t>
  </si>
  <si>
    <t>DR. WATTI OPEYEMI BAMITALE.</t>
  </si>
  <si>
    <t>DR. OBI FERDINARD CHUKWUDOLUE.</t>
  </si>
  <si>
    <t>DR. IKE NGOZIKA BLESSING.</t>
  </si>
  <si>
    <t>DR. HUSSAINI ALI HADIZA.</t>
  </si>
  <si>
    <t>DR. NONGO TERSOO.</t>
  </si>
  <si>
    <t>DR. KHADIJAH MORMONI.</t>
  </si>
  <si>
    <t>DR. OLAREWAJU HABIBAT.</t>
  </si>
  <si>
    <t>DR. NWAGBARA NKIRUKA.</t>
  </si>
  <si>
    <t>DR. ESE OGUDO.</t>
  </si>
  <si>
    <t>DR. FATIMA BELLO LIMAN.</t>
  </si>
  <si>
    <t>DR. OLAYINKA ISRAEL FODEKE.</t>
  </si>
  <si>
    <t>DR. OKEBALAMA VICTOR CHIMEZIE.</t>
  </si>
  <si>
    <t>DR. ABDULWALI KHADIJA ABBA.</t>
  </si>
  <si>
    <t>DR. ANENGA RACHAEL N.</t>
  </si>
  <si>
    <t>DR. ONYEMARIN-HENRY PRECIOUS AKUOMA.</t>
  </si>
  <si>
    <t>DR. FOLASADE ALORYE OJI.</t>
  </si>
  <si>
    <t>DR. JIAKPANNA ONYEINYECHI VIVIAN.</t>
  </si>
  <si>
    <t>DR. NNOROM SANDRA.</t>
  </si>
  <si>
    <t>DR. RILWANU BELLO TAMBUWAL.</t>
  </si>
  <si>
    <t>DR. MUIBI ROFIAT AJOKE.</t>
  </si>
  <si>
    <t>DR. ANIFOWOSE ANTHONY GBENGA.</t>
  </si>
  <si>
    <t>DR. OKORO CHRISTOPHER OBIADERI.</t>
  </si>
  <si>
    <t>DR. NWOSU KELECHI CHIMEZIE.</t>
  </si>
  <si>
    <t>DR. BLESSING JOSEPH UKAM.</t>
  </si>
  <si>
    <t>DR. GBELABO FRANKLIN IBINABO.</t>
  </si>
  <si>
    <t>DR. USUAH JOSHUA.</t>
  </si>
  <si>
    <t>DR. AGRIPPA CHINONSO MARY.</t>
  </si>
  <si>
    <t>DR. OTA KEVWE MERCY.</t>
  </si>
  <si>
    <t>DR. BYENCIT BINCHEN TALI.</t>
  </si>
  <si>
    <t>DR. ONUOHA FRANCIS NNAMDI.</t>
  </si>
  <si>
    <t>DR. BEAUTY M TOBIN.</t>
  </si>
  <si>
    <t>DR. MUHAMMAD A SADIQ.</t>
  </si>
  <si>
    <t>DR.SANI ABDULKAREEM.</t>
  </si>
  <si>
    <t>DR. HAUWA ABDULLAHI MUHAMMAD.</t>
  </si>
  <si>
    <t>DR. AMIRAH AHMAD BABAJO.</t>
  </si>
  <si>
    <t>DR. ONWUKA KODICHIMMA.</t>
  </si>
  <si>
    <t>DR. NKECHINYERE NWANKWO.</t>
  </si>
  <si>
    <t>DR, OGBU IFEOMA CALISTA.</t>
  </si>
  <si>
    <t>DR. SHARIF ALHASSAN.</t>
  </si>
  <si>
    <t>DR. ILIYASU YUSUF.</t>
  </si>
  <si>
    <t>DR. UMAR IDRIS SULEIMAN.</t>
  </si>
  <si>
    <t>DR. OKONKWO ONYINYE VIVIAN.</t>
  </si>
  <si>
    <t>DR. TELUFUSI BABAJIDE WAZIRI.</t>
  </si>
  <si>
    <t>DR. NWODO NKECHI OKEZIE.</t>
  </si>
  <si>
    <t>DR. MBAMALU ADAOBI MAUREEN.</t>
  </si>
  <si>
    <t>DR. EMERIBE CHIZOMAM WINNIE.</t>
  </si>
  <si>
    <t xml:space="preserve">DR ZACCHEAUS MONDAY J. </t>
  </si>
  <si>
    <t>DR. CHIKEKA CHIMAROKE U.</t>
  </si>
  <si>
    <t>DR. AKANNI OLOLADE.</t>
  </si>
  <si>
    <t>DR. IFUNANYA TOM-GORGE.</t>
  </si>
  <si>
    <t>DR. ENUDI SYLVESTER.</t>
  </si>
  <si>
    <t>DR. ORIANWO LISA ALERUCHI.</t>
  </si>
  <si>
    <t>DR. ADEGBOLA ABIOLA OLADELE.</t>
  </si>
  <si>
    <t>DR. OBIPEHIN WASIU OLAKUNLE.</t>
  </si>
  <si>
    <t>DR. SHITTU SIKIRAT ABOSEDE.</t>
  </si>
  <si>
    <t>DR. BOLOYA VUKUMO ERIC.</t>
  </si>
  <si>
    <t>DR. BABALOLA OLUTIMILEIYIN.</t>
  </si>
  <si>
    <t>DR. MARIAM KACHALLAH GALADIMA.</t>
  </si>
  <si>
    <t>DR. IBENEGBU OKONKWO IFEOMA.</t>
  </si>
  <si>
    <t>DR. MUHAMMAD IBRAHIM JALO.</t>
  </si>
  <si>
    <t xml:space="preserve">DR. AZI ELIZABETH KASSEM. </t>
  </si>
  <si>
    <t>DR. ONYEBUCHI UZOMA.</t>
  </si>
  <si>
    <t>DR. SAFIYANU BABAYO.</t>
  </si>
  <si>
    <t>DR. FAIZA MOHAMMED DAHIRU.</t>
  </si>
  <si>
    <t>DR. AISHA MUHAMMAD PINDIGA.</t>
  </si>
  <si>
    <t>DR. KOYA OMOLADE.</t>
  </si>
  <si>
    <t>DR. ONYEJIAKA.</t>
  </si>
  <si>
    <t>DR. ABUBOR MGBOANAJIOGAR.</t>
  </si>
  <si>
    <t>DR. PAUL GABRIEL ENEMA.</t>
  </si>
  <si>
    <t>DR. FATIMA BELLO TILLI.</t>
  </si>
  <si>
    <t>DR. ESSIEN OTOOBONG OKON.</t>
  </si>
  <si>
    <t xml:space="preserve"> DR EZINWA AMARACHUKWU AGNES.</t>
  </si>
  <si>
    <t>DR. CHIJIOKE- ANIAGU CHIOMA LOVELI.</t>
  </si>
  <si>
    <t xml:space="preserve">DR. NDAEYO E. I.
</t>
  </si>
  <si>
    <t>DR. AHAM ASSUMPTA AKU.</t>
  </si>
  <si>
    <t>DR. NNADI EPHRAIM CHUKWUNONSO.</t>
  </si>
  <si>
    <t>DR. NWALOZIE EBERECHUKWU VIVIAN.</t>
  </si>
  <si>
    <t>DR. OLANIRAN GRACE.</t>
  </si>
  <si>
    <t>DR. FARIDA ABDULLAHI YELWA.</t>
  </si>
  <si>
    <t>DR. IDENYI NEMILE.</t>
  </si>
  <si>
    <t>DR. ASMAU UMMI BELLO.</t>
  </si>
  <si>
    <t>DR. ABDURAHMAN AHMAD SADIQ.</t>
  </si>
  <si>
    <t>DR. RABI IBRAHIM.</t>
  </si>
  <si>
    <t>DR. JOHNSON MINE RACHAEL.</t>
  </si>
  <si>
    <t>DR. ABERVAGBA ELIZABETH.</t>
  </si>
  <si>
    <t>DR. JOLAYEMI BELINDA.</t>
  </si>
  <si>
    <t>DR. KAUMI BINTU KYARI.</t>
  </si>
  <si>
    <t>DR. SAMSON A MADAKI.</t>
  </si>
  <si>
    <t xml:space="preserve"> </t>
  </si>
  <si>
    <t>DR. AISHA HARUNA ABDULLAHI.</t>
  </si>
  <si>
    <t>DR.. OYETUNDE OLAIDE R.</t>
  </si>
  <si>
    <t>DR. OBIEGBU ADAEZE CHIDINMA.</t>
  </si>
  <si>
    <t>DR. GODWIN MARK.</t>
  </si>
  <si>
    <t>DR. DAKWOM NANRIBET.</t>
  </si>
  <si>
    <t>DR. OMINYI EMMANUEL EGWU.</t>
  </si>
  <si>
    <t xml:space="preserve">
DR. NWACHUKWU IFEANYI MAGNUS.</t>
  </si>
  <si>
    <t>DR. MIKE LOYIBO.</t>
  </si>
  <si>
    <t>DR. EZE EZIAMAKA GLORIA.</t>
  </si>
  <si>
    <t>DR. ENOCK PAUL IDOWU.</t>
  </si>
  <si>
    <t>DR. ABDURAHMAN SADDIQ.</t>
  </si>
  <si>
    <t>DR. CHRISTAIN OKOROBIA ONUKWUE.</t>
  </si>
  <si>
    <t>DR. ENYINNAYA ADAUGO .J.</t>
  </si>
  <si>
    <t>DR. AISHA KABIR TURAKI.</t>
  </si>
  <si>
    <t>DR. NWADIKE ADAKU BINAH.</t>
  </si>
  <si>
    <t>DR. OSAKWE NELLY CHIGOZIE.</t>
  </si>
  <si>
    <t>DR. AKUDOLU ALEXANDRA UZOCHIKWA.</t>
  </si>
  <si>
    <t>DR.  MANSUR ALHASSAN.</t>
  </si>
  <si>
    <t>DR. BAJOWA ADEMOLA.</t>
  </si>
  <si>
    <t>DR. AGBEJE ANDREW.</t>
  </si>
  <si>
    <t>DR. ALIYU BABAYO ALIYU.</t>
  </si>
  <si>
    <t>DR. AMINA MANSUR.</t>
  </si>
  <si>
    <t>DR. STEPHEN TAYO OWOEYE.</t>
  </si>
  <si>
    <t>DR. USMAN YAHUZA KURE.</t>
  </si>
  <si>
    <t>DR. AISHATU TIJANI MUHAMMAD.</t>
  </si>
  <si>
    <t>DR. AISHA AHMAD RABIU.</t>
  </si>
  <si>
    <t>DR. OLOWOSELU OLUWAFEMI.</t>
  </si>
  <si>
    <t>DR. LAWAL ABDULRAHMAN OLAJIRE.</t>
  </si>
  <si>
    <t>DR. OLANIYONU AISOSA.</t>
  </si>
  <si>
    <t>DR. AISHA ABUBAKAR.</t>
  </si>
  <si>
    <t>DR. ADENIYI ADEDOYIN CATHERINE.</t>
  </si>
  <si>
    <t>DR. ANIFOWOSE TEMITOPE TOYIB.</t>
  </si>
  <si>
    <t>DR. IDE CLINTON.</t>
  </si>
  <si>
    <t>DR. OLADOSU-ADEDOYIN ADEWUNMI ADEDAMOLA.</t>
  </si>
  <si>
    <t>DR. SANNI AMIRAH ADEOLA.</t>
  </si>
  <si>
    <t>DR. ERNEST EKWE AKHERE CHARITY.</t>
  </si>
  <si>
    <t>DR. ADAMS WILLIAMS.</t>
  </si>
  <si>
    <t>DR. SHENGE YETUNDE OLAMIDE.</t>
  </si>
  <si>
    <t>DR. WURAOLA JADESOLA.</t>
  </si>
  <si>
    <t>DR. ALIE AMIN SESAY.</t>
  </si>
  <si>
    <t>DR. GODWIN IKEADUM CHUKWUEMERIE.</t>
  </si>
  <si>
    <t>DR. AISHA UMMI SATOMI.</t>
  </si>
  <si>
    <t>DR. OSAGBAEKHOE AUSTINE.</t>
  </si>
  <si>
    <t xml:space="preserve">DR. AMAEFUNA CALEB C. </t>
  </si>
  <si>
    <t>DR. AJIBOLU ADENIRAN OKE.</t>
  </si>
  <si>
    <t>DR. ABDULAZIZ GARBA AHMAD.</t>
  </si>
  <si>
    <t>DR. HASSAN SUNUSI ISHAQ.</t>
  </si>
  <si>
    <t>DR. PRECIOUS UDUASOBOR.</t>
  </si>
  <si>
    <t>DR. AKANDE JOHNSON OLUSAYO.</t>
  </si>
  <si>
    <t>DR. ABDULSALAM ABDULMALIK.</t>
  </si>
  <si>
    <t>DR. NIYI ISAIAH OYETUNJI.</t>
  </si>
  <si>
    <t>DR. EBU ESEOHE EJEHIOKHIN.</t>
  </si>
  <si>
    <t>DR. ONI- ORISAN AYOMIDE ESTHER.</t>
  </si>
  <si>
    <t>DR. EJIAKU CHINOMSO IHUOMA.</t>
  </si>
  <si>
    <t>DR. AMINA ABDULLAHI GAMBO.</t>
  </si>
  <si>
    <t xml:space="preserve"> 
DR. OJEYEMI TEJUMADE.</t>
  </si>
  <si>
    <t>DR. ANIGBOGU ANTHONY OSINACHI.</t>
  </si>
  <si>
    <t xml:space="preserve">
DR. CHIDOZIE CHIAMAKA PERPETUA.</t>
  </si>
  <si>
    <t>DR. OLUSINA MICHEAL AJIDAHUN.</t>
  </si>
  <si>
    <t>DR..OSENI FUNMILAYO M.</t>
  </si>
  <si>
    <t>DR. BOLUJOKO OYINADE O.</t>
  </si>
  <si>
    <t>DR. IDOWU OLANIKE RACHEAL.</t>
  </si>
  <si>
    <t>DR. NWOYE JOSPEH CHUKWEMEKA.</t>
  </si>
  <si>
    <t>DR. SOYEMI FLORENCE ABOSEDE.</t>
  </si>
  <si>
    <t xml:space="preserve">
DR. AHMED ISMAIL.</t>
  </si>
  <si>
    <t xml:space="preserve">
DR. HUSSAINA MOHAMMED ADAM.</t>
  </si>
  <si>
    <t>DR. ADEDEJI BAKARE.</t>
  </si>
  <si>
    <t>DR. ADENIYI ADUWO.</t>
  </si>
  <si>
    <t>DR. SADIYA ADBULKADIR DOGONDAJI.</t>
  </si>
  <si>
    <t>DR. CHINONSO CHUKWU JAMES.</t>
  </si>
  <si>
    <t>DR. DIANE MOMOH.</t>
  </si>
  <si>
    <t>DR. EFETURI-ODELE CHINAZOM.</t>
  </si>
  <si>
    <t>DR. EBELE NWAFOR.</t>
  </si>
  <si>
    <t>DR. AMADI VICTORIA.</t>
  </si>
  <si>
    <t>DR. SIMEON ABASIODU AUGUSTINE.</t>
  </si>
  <si>
    <t xml:space="preserve">
DR. HADIZA LAWAN BUKAR.</t>
  </si>
  <si>
    <t>DR. GASPER DEBORAH.</t>
  </si>
  <si>
    <t>DR. THERESA CHINWE UZENDU.</t>
  </si>
  <si>
    <t>DR. BENSON UDU.</t>
  </si>
  <si>
    <t>DR. ABDULLAHI M. LAWAL.</t>
  </si>
  <si>
    <t>DR. NURA BELLO.</t>
  </si>
  <si>
    <t>DR.. OMOTOLANI AKINTUNDE.</t>
  </si>
  <si>
    <t>DR. ABDULRAHMAN SALIHU.</t>
  </si>
  <si>
    <t>DR. JUDITH DIKE.</t>
  </si>
  <si>
    <t>DR. KUSSIY KWALA.</t>
  </si>
  <si>
    <t>DR. ONUOHA GEORGE A.</t>
  </si>
  <si>
    <t>DR. SODANGI YAHYA SALISU.</t>
  </si>
  <si>
    <t>DR. JOSEPH OCHE.</t>
  </si>
  <si>
    <t>DR. OLAMIDE ABIODUN OGUNYEMI.</t>
  </si>
  <si>
    <t>DR. OLUFEMI AKINDELE OLUJITAN.</t>
  </si>
  <si>
    <t>DR. ONYEUNONEME ODIARI.</t>
  </si>
  <si>
    <t>DR. AGBARAKWE BLESSING C.</t>
  </si>
  <si>
    <t>DR. MAYFLOWER O. OZIEGBE.</t>
  </si>
  <si>
    <t>DR. CHIBUZO AJAERO.</t>
  </si>
  <si>
    <t>DR. PETER EKWUEME.</t>
  </si>
  <si>
    <t>DR. HASSAN FAROUK HASSAN.</t>
  </si>
  <si>
    <t>DR. AISHA AHMED.</t>
  </si>
  <si>
    <t>DR. STEPHEN ABAH.</t>
  </si>
  <si>
    <t>DR. NWOKE IJEOMA NGOZI .N.</t>
  </si>
  <si>
    <t>DR. AKUNAEZIRI FATI ELEOJO.</t>
  </si>
  <si>
    <t>DR. ISEI FAITH.</t>
  </si>
  <si>
    <t>DR. VICTORIA EMIKE OLOGUN.</t>
  </si>
  <si>
    <t>DR. OCHIGBO ENE EMMANUELLA.</t>
  </si>
  <si>
    <t>DR. ABUBAKAR KARIMA.</t>
  </si>
  <si>
    <t>DR. WOKE FINEST.</t>
  </si>
  <si>
    <t>DR. EDE- EDOKPOLOR.</t>
  </si>
  <si>
    <t>DR. AMAKA ONYEKWERE.</t>
  </si>
  <si>
    <t>DR. CORINELIA EBERE UME.</t>
  </si>
  <si>
    <t>DR. OSARETIN SANDRA IRABOR.</t>
  </si>
  <si>
    <t>DR. UGOENYI NNEKA JULIET.</t>
  </si>
  <si>
    <t>DR. ADAM GEIDAM.</t>
  </si>
  <si>
    <t>DR. ONUZULIKE JENNIFER.</t>
  </si>
  <si>
    <t>DR. OLAJUMOKE ADEBAYO.</t>
  </si>
  <si>
    <t>DR. AROGUNDADE ISMAEL.</t>
  </si>
  <si>
    <t>DR. MICHEAL JOSEPH KOROMA.</t>
  </si>
  <si>
    <t>DR. GODWIN EWU.</t>
  </si>
  <si>
    <t>DR. AGUNBIADE-OLU MOBOLAJI ADEBISI.</t>
  </si>
  <si>
    <t>DR. AJAYI OLUWAFEMI JOACHIM.</t>
  </si>
  <si>
    <t>DR. IGWENYI CHIKAODIRI.</t>
  </si>
  <si>
    <t>DR. DICKSON ANIEKAN JEREMIAH.</t>
  </si>
  <si>
    <t>DR. MUSA JOSEPH.</t>
  </si>
  <si>
    <t>DR. AISHA ALIYU ABDULFATHI.</t>
  </si>
  <si>
    <t>DR. MUSA DANKYAU.</t>
  </si>
  <si>
    <t>DR. JIMOH AKEEM.</t>
  </si>
  <si>
    <t>DR. OMOBOYEJE ABISOLA OLUWATOYIN.</t>
  </si>
  <si>
    <t>DR. ADAMU ABBA ADAMU.</t>
  </si>
  <si>
    <t>DR. ADEYEMO ADEDAPO.</t>
  </si>
  <si>
    <t>DR. AKINWALE MOSES.</t>
  </si>
  <si>
    <t xml:space="preserve"> DR. ADELEKE YAKUBU.</t>
  </si>
  <si>
    <t>DR. IKHIFA-UNUANE EHINOR.</t>
  </si>
  <si>
    <t>DR. AMARACHI ALEX EWUZIE.</t>
  </si>
  <si>
    <t>DR. ADEDEJI ADEBAYO MOJEED.</t>
  </si>
  <si>
    <t>DR. AYEGBA ONU.</t>
  </si>
  <si>
    <t>DR. UZOMA AMAJO.</t>
  </si>
  <si>
    <t>DR. OLAGUNJU ABIODUN ABIOYE.</t>
  </si>
  <si>
    <t>DR. AFFIONG EMEM BASSEY.</t>
  </si>
  <si>
    <t>DR. ABDULAZIZ AMINU.</t>
  </si>
  <si>
    <t>DR. ABAJE PREMERE.</t>
  </si>
  <si>
    <t>DR. VICTOR O. ANSA.</t>
  </si>
  <si>
    <t>DR. SUNDAY OLUKAYODE M.</t>
  </si>
  <si>
    <t>DR. SCHOLA NTUNG.</t>
  </si>
  <si>
    <t>DR. KALU UKA SHEDRACH.</t>
  </si>
  <si>
    <t>DR. AFOLABI MICHAEL SUNDAY.</t>
  </si>
  <si>
    <t>DR. OGORI SAMUEL DEME.</t>
  </si>
  <si>
    <t>DR. ANIAGBOSO UCHECHUKW.</t>
  </si>
  <si>
    <t>DR. UCHECHI CHINEDU IWEHA.</t>
  </si>
  <si>
    <t>DR. AKOMAYE THOMAS UDIDA.</t>
  </si>
  <si>
    <t>DR. UZOMA CHIDI OKEREKE.</t>
  </si>
  <si>
    <t>DR. YUSUF AHMAD.</t>
  </si>
  <si>
    <t>DR. SHAMSUDDINI  ABDULSALAM INUWA.</t>
  </si>
  <si>
    <t>DR. SHAMSUDEEN YUSUF.</t>
  </si>
  <si>
    <t>DR. SOLOMON WADZANI MAURICE.</t>
  </si>
  <si>
    <t>DR. UMEWENI OSELEKA.</t>
  </si>
  <si>
    <t>DR. ARINDE OLUFEMI WILLIAMS.</t>
  </si>
  <si>
    <t>DR. UBANI-UKOMA WUGO.</t>
  </si>
  <si>
    <t>DR. BATULA BISHARA DAGGASH.</t>
  </si>
  <si>
    <t>DR. AINA AZEEZAT ADEWUNMI.</t>
  </si>
  <si>
    <t>DR. CHUKWUMERIJE CHETACHI C.</t>
  </si>
  <si>
    <t>DR. BRENDA ISIKEKPEI.</t>
  </si>
  <si>
    <t>DR. IBRAHIM- SAAD AMINAT BINTA.</t>
  </si>
  <si>
    <t>DR. MANSUR ABDULLAHI.</t>
  </si>
  <si>
    <t>DR. BASHIR M. DANSANDA.</t>
  </si>
  <si>
    <t>DR. CHIKA NWAEZIKE- OKAFOR.</t>
  </si>
  <si>
    <t>DR. ABUBAKAR MUAZU GIGANE.</t>
  </si>
  <si>
    <t>DR. AMATU BABAKURA IMAM.</t>
  </si>
  <si>
    <t>DR. NTUI BARTHOLOMEW EKPE.</t>
  </si>
  <si>
    <t>DR. OTAIGBE BARBARA.</t>
  </si>
  <si>
    <t>DR. ANTOINETTE OFILI.</t>
  </si>
  <si>
    <t>DR. AYEBO SADOH.</t>
  </si>
  <si>
    <t>DR. CHIKA NWABUEZE.</t>
  </si>
  <si>
    <t>DR. IDANG ANIEDI JAMES.</t>
  </si>
  <si>
    <t>DR. AHANEKU CHIDIMMA.</t>
  </si>
  <si>
    <t>DR. OKORIE CHARLES ONYEDIKACHI.</t>
  </si>
  <si>
    <t>DR. OPEYEMI OPELAMI AYODEJI.</t>
  </si>
  <si>
    <t>DR. MALAMI SHEHU.</t>
  </si>
  <si>
    <t>DR. ZAKIYYAH ZAKARIYYA.</t>
  </si>
  <si>
    <t>DR. FAMBA FAMBA DANIEL.</t>
  </si>
  <si>
    <t>DR. OGUNKUNLE ABDULFATAI KAYODE.A</t>
  </si>
  <si>
    <t>DR. ABUBAKAR MURJANATU GULMA.</t>
  </si>
  <si>
    <t>DR. IBRAHIM BANARU ABUBAKAR.</t>
  </si>
  <si>
    <t>DR. ARAGA ABURU  NDIM.</t>
  </si>
  <si>
    <t>DR. ONYECHE GIFT.</t>
  </si>
  <si>
    <t>DR. BAJOMO OLUTOPE GRACE.</t>
  </si>
  <si>
    <t>DR. ERUZEGBUA PATIENCE AIZEHI.</t>
  </si>
  <si>
    <t>DR. ONELUM NNEKA TERESA.</t>
  </si>
  <si>
    <t>DR. ONOCHIE CHINELO  U.</t>
  </si>
  <si>
    <t>DR. ZOAKAH JOY HYELNI.</t>
  </si>
  <si>
    <t>DR. EKEDUM EMMANUELLA UCHENNA.</t>
  </si>
  <si>
    <t>DR. OMOREGBE ISAAC.</t>
  </si>
  <si>
    <t>DR. KAREEM M O.</t>
  </si>
  <si>
    <t>DR. ADEDOKUN OLUFUNKE. F.</t>
  </si>
  <si>
    <t>DR. NAFISATU MAMOON.</t>
  </si>
  <si>
    <t>DR. OGBEBOR CHRISTINE.</t>
  </si>
  <si>
    <t>DR. ADESOLA KAYODE .I.</t>
  </si>
  <si>
    <t>DR. JOSEPHINE E.E.SOKOLO.</t>
  </si>
  <si>
    <t>DR. GALADANCI.</t>
  </si>
  <si>
    <t>DR. ABDULRAHEEM KAMADEEN.</t>
  </si>
  <si>
    <t>DR. IGBITI JUSTICE.</t>
  </si>
  <si>
    <t>DR. HAFSATU IBRAHIM.</t>
  </si>
  <si>
    <t>DR. FATIMA UMAR MANI.</t>
  </si>
  <si>
    <t>DR. OBASI CHIKEZIE U.</t>
  </si>
  <si>
    <t>DR. OMOZELE UWADIA.</t>
  </si>
  <si>
    <t>DR. AMACHREE IBINABO.</t>
  </si>
  <si>
    <t>DR. IGOCHE PATRICIA OMADA.</t>
  </si>
  <si>
    <t>DR. NNENNA OKAFOR.</t>
  </si>
  <si>
    <t>DR. NNEKA UDORA.</t>
  </si>
  <si>
    <t>DR. OLUKEMI TITILOPE OLUGBADE.</t>
  </si>
  <si>
    <t>DR. UDOH ENO-ABASI IMEH.</t>
  </si>
  <si>
    <t>DR. MOGBA OYINLOLA.</t>
  </si>
  <si>
    <t>DR. IFEOMA AZUKA UDE.</t>
  </si>
  <si>
    <t>DR. LUCY UWAH.</t>
  </si>
  <si>
    <t>DR. AYIGA EUGENE GERSHON.</t>
  </si>
  <si>
    <t>DR. MBUBAH CHRIS.</t>
  </si>
  <si>
    <t>DR. OYEBOLA RASHEED O.</t>
  </si>
  <si>
    <t>DR. SEKULA JEMILA Y.</t>
  </si>
  <si>
    <t>DR. IBRAHIM ETUBI.</t>
  </si>
  <si>
    <t>DR. FATIMA IBRAHIM MUHAMMAD.</t>
  </si>
  <si>
    <t>DR. NGOZI MMAMELU.</t>
  </si>
  <si>
    <t>DR. JAMILA BASHIR.</t>
  </si>
  <si>
    <t>DR. ERNEST NWAIGBO.</t>
  </si>
  <si>
    <t>DR. RANSOM KUTI OLUBUKOLA.</t>
  </si>
  <si>
    <t>DR. FATIMA LAWAN BUKAR.</t>
  </si>
  <si>
    <t>DR. URHIE OTEJIRO ONAYIMI.</t>
  </si>
  <si>
    <t>DR. ABUBAKAR BUBA MUAZU.</t>
  </si>
  <si>
    <t>DR. UTIBE DAVID DAVID.</t>
  </si>
  <si>
    <t>DR. AKEREDOLU GRACE.</t>
  </si>
  <si>
    <t>DR. OLUGBEMIGA ABODUNRIN.</t>
  </si>
  <si>
    <t>DR. YUSUF MUHAMMED JAMIU ADENOYI.</t>
  </si>
  <si>
    <t>DR. DEBORAH SULEMAN.</t>
  </si>
  <si>
    <t>DR. DIFIRWITI HARIFARTA CLAPHTON.</t>
  </si>
  <si>
    <t>DR. OLUFUNKE AFOLASADE OGUNNAIKE.</t>
  </si>
  <si>
    <t>DR. EGUNJOBI MODUPE OMOWUNMI.</t>
  </si>
  <si>
    <t>DR. EMMANUEL TOPE AMUPITAN.</t>
  </si>
  <si>
    <t>DR. BAOKU OLUSHOLA GLORY.</t>
  </si>
  <si>
    <t>DR. NENTAWE GONTOR.</t>
  </si>
  <si>
    <t>DR. CHINYERE OKAFOR.</t>
  </si>
  <si>
    <t>DR. DIMLONG MANSHAK ILIYA.</t>
  </si>
  <si>
    <t>DR. UZOKE CYPRIL.</t>
  </si>
  <si>
    <t>DR. BRIGGS FLORENCE KALAMAMA.</t>
  </si>
  <si>
    <t>DR. NYECHE EMMANUEL OVUNDAH.</t>
  </si>
  <si>
    <t>DR. ARHERE EJIRO P.</t>
  </si>
  <si>
    <t>DR. OSEZE HAMAMATU UMAR.</t>
  </si>
  <si>
    <t>DR. ORJI SAMUEL FIRDAY.</t>
  </si>
  <si>
    <t>DR. MRS OLAJUMOKE OJIMI.</t>
  </si>
  <si>
    <t>DR. IFEOMA EDEH.</t>
  </si>
  <si>
    <t>DR. UKPABI OKECHUKWU.</t>
  </si>
  <si>
    <t>DR. MOHAMMED DALHAT SARKI.</t>
  </si>
  <si>
    <t>DR. FALANA TAIWO DENNIS.</t>
  </si>
  <si>
    <t>DR. APATA OLADAPO.</t>
  </si>
  <si>
    <t>DR. ZAKARI ISMAILA WASE.</t>
  </si>
  <si>
    <t>DR. KEHINDE FEYISARA MACBETH.</t>
  </si>
  <si>
    <t>DR. IHUEMWINESE AMENZE BENEDICTA.</t>
  </si>
  <si>
    <t>DR. OTONOH CHUKWUNWEIKE NICHOLAS.</t>
  </si>
  <si>
    <t>DR. UCHENNA ANYAOHA.</t>
  </si>
  <si>
    <t>DR. IHINMIKAYE ISAAC.</t>
  </si>
  <si>
    <t>DR. YAHAYA MOHAMMED.</t>
  </si>
  <si>
    <t>DR. OLUOMACHI CHARITY NNACHI.</t>
  </si>
  <si>
    <t>DR. RITA EMUJOHWERUO EFETOBOR.</t>
  </si>
  <si>
    <t>DR. FLORENCE AGBOOLA.</t>
  </si>
  <si>
    <t>DR. BEWAJI TEMITAYO OLUBUNMI.</t>
  </si>
  <si>
    <t>DR. SALIHU JOJI.</t>
  </si>
  <si>
    <t xml:space="preserve"> DR. FOLUSO LESI .</t>
  </si>
  <si>
    <t>DR. MUHAMMAD S YUSUF.</t>
  </si>
  <si>
    <t>DR. HARUNA YAKUBU.</t>
  </si>
  <si>
    <t>DR. HALADU IBRAHIM A.</t>
  </si>
  <si>
    <t>DR. UGWA ONYEKACHI MICHAEL.</t>
  </si>
  <si>
    <t>DR. THELMA ONYINYE AKUMUO.</t>
  </si>
  <si>
    <t>DR. EKELE AMADI- ROBERT.</t>
  </si>
  <si>
    <t>DR. UCHENNA ENWEREUZO.</t>
  </si>
  <si>
    <t>DR. AGHIMIEN RAYMOND.</t>
  </si>
  <si>
    <t>DR. CHINEDU NWOSU.</t>
  </si>
  <si>
    <t>DR. TITILOLA EDUVIE.</t>
  </si>
  <si>
    <t>DR. JITENDRA SINGH.</t>
  </si>
  <si>
    <t>DR. OLUSHOLA ADENIRAN.</t>
  </si>
  <si>
    <t>DR. DOKEDENSI UYA.</t>
  </si>
  <si>
    <t>DR. ISHOLA AHMED.</t>
  </si>
  <si>
    <t>DR. HASSAN MOHAMMED ABBA.</t>
  </si>
  <si>
    <t>DR.EKOCHIN KIRAN OBINNA.</t>
  </si>
  <si>
    <t>DR. MUKTAR MAHMUD.</t>
  </si>
  <si>
    <t>DR. OKEKE ISRAEL EBUBECHUKWU.</t>
  </si>
  <si>
    <t>DR. JOSEPH AJANWENYI.</t>
  </si>
  <si>
    <t>DR. UZOMA CHIDINMA AJANWENYI JOSEPH.</t>
  </si>
  <si>
    <t>DR. HADIZA TUKUR.</t>
  </si>
  <si>
    <t>DR. NWANKWO IFEYINWA GLORIA.</t>
  </si>
  <si>
    <t>DR. OSAGIE EKIENABOR.</t>
  </si>
  <si>
    <t>DR. OGOCHUKWU E.</t>
  </si>
  <si>
    <t xml:space="preserve">
DR. AMINA BALA MUHD.</t>
  </si>
  <si>
    <t>DR. ODUNFOLABI OLUFUNKE.</t>
  </si>
  <si>
    <t>DR. AISHA SULEIMAN.</t>
  </si>
  <si>
    <t>DR. OJI ONUOHA STELLA.</t>
  </si>
  <si>
    <t>DR. ABDULAZIZ IBRAHIM.</t>
  </si>
  <si>
    <t>DR. ADEKOLADE AYODEJI STEPHEN.</t>
  </si>
  <si>
    <t>DR. OLUWAYEMISI OLUSHOLA.</t>
  </si>
  <si>
    <t>DR. ABIOYE OPEYEMI OLADIPUPO.</t>
  </si>
  <si>
    <t>DR. ABUBAKAR ABUBAKAR.</t>
  </si>
  <si>
    <t>DR. NUHU ABUBAKAR.</t>
  </si>
  <si>
    <t>DR. BEST JOSEPH ASUQUO.</t>
  </si>
  <si>
    <t>DR. OKECHUKWU EGBUKA.</t>
  </si>
  <si>
    <t>DR. IFEOMA EGBUONU.</t>
  </si>
  <si>
    <t>DR. IFEOMA ANOCHIE.</t>
  </si>
  <si>
    <t>DR. SEYI.</t>
  </si>
  <si>
    <t>DR. BENJAMIN SUNDAY CHUDI UZOCHUKWU.</t>
  </si>
  <si>
    <t>DR. EMMANUEL AUCHI EDAFE.</t>
  </si>
  <si>
    <t>DR. HOPE OWHONDAA AVUNDAA.</t>
  </si>
  <si>
    <t>DR. AUWAL TIJJANI SHUAIBU.</t>
  </si>
  <si>
    <t>DR. YAKUBU CHERIMA JOEL.</t>
  </si>
  <si>
    <t>DR. MADAKI J.K.ABOI.</t>
  </si>
  <si>
    <t>DR. ADEDEJI ADEYEYE.</t>
  </si>
  <si>
    <t>DR. TAIWO OBINDO.</t>
  </si>
  <si>
    <t>DR. RAHEEM YUSUF ABIOLA.</t>
  </si>
  <si>
    <t>DR. MARIYA MUKHTAR YOLA.</t>
  </si>
  <si>
    <t>DR. CLEMENT C. EZECHUKWU.</t>
  </si>
  <si>
    <t>DR. YAHAYA MUHAMMED.</t>
  </si>
  <si>
    <t>DR. MAKANJUOLA OLUDOLAPO.</t>
  </si>
  <si>
    <t>DR. OJEKUNLE MD.</t>
  </si>
  <si>
    <t>DR. IGBAPIKE EBIKON BROWN.</t>
  </si>
  <si>
    <t>DR. CHINEDU O. AKPA.</t>
  </si>
  <si>
    <t>DR. ABDULLAHI OTEIKWU AMALI.</t>
  </si>
  <si>
    <t>DR. JOSEPH KALU.</t>
  </si>
  <si>
    <t>DR. OSHINOWO OPEYEMI O.</t>
  </si>
  <si>
    <t>DR. ANTHONY AGBO.</t>
  </si>
  <si>
    <t>DR. UBOKOBONG ESHIET.</t>
  </si>
  <si>
    <t>DR. BIBILOLA OLADEJI.</t>
  </si>
  <si>
    <t>DR. OBIOMA C UCHENDU.</t>
  </si>
  <si>
    <t>DR. ADEKEMI FADIPE.</t>
  </si>
  <si>
    <t>DR. AMINV BASHIR T.</t>
  </si>
  <si>
    <t xml:space="preserve">DR. ADEYEMI ALAMI ABOLADE, </t>
  </si>
  <si>
    <t>DR. NWABUEZE MELANIE NGOZI.</t>
  </si>
  <si>
    <t>DR. PAUL EMMANUEL.</t>
  </si>
  <si>
    <t>DR. NYAMALI VERONICA O.</t>
  </si>
  <si>
    <t>DR. ABBA KAZA SALEH.</t>
  </si>
  <si>
    <t>DR. ONUH JAMES.</t>
  </si>
  <si>
    <t>DR. OLAWALE MUSBAU.</t>
  </si>
  <si>
    <t>DR. FRANCES NGOZI.</t>
  </si>
  <si>
    <t>DR. BABATUNDE OLASODE.</t>
  </si>
  <si>
    <t>DR. OLAYINKA OLASODE.</t>
  </si>
  <si>
    <t>DR. KELECHI IKONNE.</t>
  </si>
  <si>
    <t>DR. IGWE CHINONSO THEOPHILUS.</t>
  </si>
  <si>
    <t>DR. JOHNNY EKEUDA.</t>
  </si>
  <si>
    <t>DR. ADAMU UMAR YAHAYA.</t>
  </si>
  <si>
    <t>DR.  AKINTEYE OLUWASOLA KAYODE.</t>
  </si>
  <si>
    <t>DR..UGO ENEBELI.</t>
  </si>
  <si>
    <t>DR. OFOVWE GABRIEL.</t>
  </si>
  <si>
    <t>DR. JIBRIL ABUBAKAR.</t>
  </si>
  <si>
    <t>TRANSFERRED.</t>
  </si>
  <si>
    <t>DOKILINK.</t>
  </si>
  <si>
    <t>DR. TAIWO LATEEF SHEIKH.</t>
  </si>
  <si>
    <t>DR. DEMIDE ESTHER ANAWUREYI.</t>
  </si>
  <si>
    <t>DR. EBUNOLUWA  MOBOLAJI ADEDOKUN.</t>
  </si>
  <si>
    <t xml:space="preserve">DR. IMRANA SANI ABDULAZIZ, </t>
  </si>
  <si>
    <t>DR. NWANNE CHUKWUYEM LYNDA.</t>
  </si>
  <si>
    <t>DR. TOBI VIVIAN.</t>
  </si>
  <si>
    <t>DR. CHRISTIAN CHIGOZIE UGOCHUKWU.</t>
  </si>
  <si>
    <t>DR. TAMBEKE SOR-ANIABARI ORDINANCE.</t>
  </si>
  <si>
    <t>DR. POPOOLA AISHAT KIKELOMO.</t>
  </si>
  <si>
    <t>DR. FAUZIYYAH ANKE MUHIBBUDIN.</t>
  </si>
  <si>
    <t>DR. OKEKE THUOMA E.</t>
  </si>
  <si>
    <t>DR. OGUNTOYE OLUFEMI KOLAWOLE.</t>
  </si>
  <si>
    <t>DR. NGUHILEN M GBASHI.</t>
  </si>
  <si>
    <t>DR. CLEMENTINA EZECHUKWU.</t>
  </si>
  <si>
    <t>DR. BELLO ABDULKARIM.</t>
  </si>
  <si>
    <t>DR. MADEENAH SUMONU APENA.</t>
  </si>
  <si>
    <t>DR. AYANTOLA SAHEED ADEKOLA.</t>
  </si>
  <si>
    <t>DR. MUHAMMAD ISAH.</t>
  </si>
  <si>
    <t>DR. ABUBAKAR HASHIMU.</t>
  </si>
  <si>
    <t>DR. EDO MICHAEL OSARUNMUSE.</t>
  </si>
  <si>
    <t>DR. SADIYA ABDULKADIR DOGONDAJI.</t>
  </si>
  <si>
    <t>DR. IKPEME ENOBONG.</t>
  </si>
  <si>
    <t>DR. DR ALICE OLORUNWA OBIMAKINDE.</t>
  </si>
  <si>
    <t>DR. OJOWU MARGARET YAKUBU.</t>
  </si>
  <si>
    <t>DR. ABIODUN OYENEYIN.</t>
  </si>
  <si>
    <t>DR. ISAH ABDULKADIR.</t>
  </si>
  <si>
    <t>DR. OREOLUWA LAGUNJU.</t>
  </si>
  <si>
    <t>DR. HAFIZ ISIYAKU.</t>
  </si>
  <si>
    <t>DR. BIOBELE  BROWN.</t>
  </si>
  <si>
    <t>DR. HELEN OKOYE.</t>
  </si>
  <si>
    <t>DR. ABIOLA OKESOLA.</t>
  </si>
  <si>
    <t>DR. IS MUKTAR.</t>
  </si>
  <si>
    <t>DR. OLALUSI OLADOTUN,</t>
  </si>
  <si>
    <t>DR. KENECHI UWAKWE.</t>
  </si>
  <si>
    <t>DR. JOSHUA NWANKWO.</t>
  </si>
  <si>
    <t>Summary of Reconciliation Analysis</t>
  </si>
  <si>
    <t>XXX</t>
  </si>
  <si>
    <t/>
  </si>
  <si>
    <t>DR AKOSUA OWUSU-SARPONG</t>
  </si>
  <si>
    <t>DR MJAW</t>
  </si>
  <si>
    <t>DR FEMI</t>
  </si>
  <si>
    <t>DR EKAOBONG  OTU</t>
  </si>
  <si>
    <t>DR NNAMDI ONUOHA</t>
  </si>
  <si>
    <t xml:space="preserve">DR MARYAM  TUKUR </t>
  </si>
  <si>
    <t>DR CHUKWUEBUKA NDUKWULUEZE</t>
  </si>
  <si>
    <t>DR OJEME ITOANDON</t>
  </si>
  <si>
    <t>DR ADELAIDE ANKOMAA  ASANTE</t>
  </si>
  <si>
    <t>DR M AUDA</t>
  </si>
  <si>
    <t>DR FATIMA MUSTAPHA</t>
  </si>
  <si>
    <t>DR NAOMI BULUM FAL</t>
  </si>
  <si>
    <t xml:space="preserve">DR MOTUNRAYO  IBILOYE </t>
  </si>
  <si>
    <t xml:space="preserve">DR VERA ADANNA  OKPEDE </t>
  </si>
  <si>
    <t>DR PRINCESS KATHRYN  MENSAH</t>
  </si>
  <si>
    <t>DR EJEMHEN OJIE</t>
  </si>
  <si>
    <t>DR JOHN ORINYA</t>
  </si>
  <si>
    <t xml:space="preserve">DR MSOO IMMANUEL  BITTO </t>
  </si>
  <si>
    <t xml:space="preserve">DR SALIM YUSUF  MUHAMMAD </t>
  </si>
  <si>
    <t xml:space="preserve">DR EWURA AFUA BLANKSON </t>
  </si>
  <si>
    <t xml:space="preserve">DR FUNMILOLA AISHAT BELLO-TASLIM </t>
  </si>
  <si>
    <t>DR EFOSA EMMANUEL  AIMIEN</t>
  </si>
  <si>
    <t xml:space="preserve">DR SOLOMON  GYABAAH </t>
  </si>
  <si>
    <t xml:space="preserve">DR AZEEZAT  BRAHEEM </t>
  </si>
  <si>
    <t>DR ABEDNEGO  ATTOH</t>
  </si>
  <si>
    <t xml:space="preserve">DR KALILU  JAGNE </t>
  </si>
  <si>
    <t>DR MUHYIDEEN BASHIR</t>
  </si>
  <si>
    <t>DR OLATUNDE SAMO</t>
  </si>
  <si>
    <t>DR FRANCIS AGBOVIE</t>
  </si>
  <si>
    <t>DR JUDE YEKPOWUDU</t>
  </si>
  <si>
    <t>DR LARA OLADELE</t>
  </si>
  <si>
    <t>DR CHIOMA ANAUKWU</t>
  </si>
  <si>
    <t>DR OBASANMI  SUSAN</t>
  </si>
  <si>
    <t>DR JEREMIAH  ALLI</t>
  </si>
  <si>
    <t xml:space="preserve">DR FATIMA MALLUM </t>
  </si>
  <si>
    <t>DR BASHIRAT BELLO</t>
  </si>
  <si>
    <t>DR ABDUL-GANIYU  EDUN</t>
  </si>
  <si>
    <t xml:space="preserve">DR ANNA FOKUOH-BOADU </t>
  </si>
  <si>
    <t xml:space="preserve">DR EDITH  SALAU </t>
  </si>
  <si>
    <t>DR ROBERT  ASSUAH</t>
  </si>
  <si>
    <t>DR DAMILOLA OKUSAGA</t>
  </si>
  <si>
    <t xml:space="preserve">DR OJIAKU  LILIAN IFECHUKWUDE </t>
  </si>
  <si>
    <t>DR PHIL  DOWUONA</t>
  </si>
  <si>
    <t xml:space="preserve">DR GRACE KYUNNI </t>
  </si>
  <si>
    <t>DR KPAKPAWO-OKETE EHIREME</t>
  </si>
  <si>
    <t>DR JOANA AMANKWA-KYEREMEH</t>
  </si>
  <si>
    <t xml:space="preserve">DR RITA TAMAMBANG </t>
  </si>
  <si>
    <t>DR VIVIAN ANYANWU</t>
  </si>
  <si>
    <t>DR FATIMO ADEGOKE</t>
  </si>
  <si>
    <t>DR BETTY  AYISI</t>
  </si>
  <si>
    <t xml:space="preserve">DR ALBERT  AGBI </t>
  </si>
  <si>
    <t>DR HENRY DIKE</t>
  </si>
  <si>
    <t>DR MAAME AMANKWAA  OFORI-ASUMADU</t>
  </si>
  <si>
    <t>DR HAUWA S. BABA</t>
  </si>
  <si>
    <t xml:space="preserve">DR DEBORAH  UANZEKIN </t>
  </si>
  <si>
    <t>DR RICHARDOM QUARM</t>
  </si>
  <si>
    <t>DR ONYI UTAJI</t>
  </si>
  <si>
    <t>DR KWADWO GYAN</t>
  </si>
  <si>
    <t>MRS SAKINATU UMARU</t>
  </si>
  <si>
    <t>DR GABRIELLA BEDU-ADDO</t>
  </si>
  <si>
    <t xml:space="preserve">DR EMELDA  ASEM-AHIABLEE </t>
  </si>
  <si>
    <t xml:space="preserve">DR CHINENYE  CHUKWU </t>
  </si>
  <si>
    <t>DR OBENGA  YEBEA</t>
  </si>
  <si>
    <t>DR FOLASHADE ALEGE</t>
  </si>
  <si>
    <t xml:space="preserve">DR OUSMAN  LEIGH </t>
  </si>
  <si>
    <t>DR TOSIN ADARAMOLA</t>
  </si>
  <si>
    <t xml:space="preserve">DR NKEMJIKA  UDO-INYANG </t>
  </si>
  <si>
    <t xml:space="preserve">DR VICTORIA  AGYEMAN </t>
  </si>
  <si>
    <t>DR KOBINA BINEYE</t>
  </si>
  <si>
    <t>DR JONATHAN  AYODELE</t>
  </si>
  <si>
    <t>DR ADEJOKE AIYENIGBA</t>
  </si>
  <si>
    <t xml:space="preserve">DR HAUWA  TOKO </t>
  </si>
  <si>
    <t xml:space="preserve">DR OLUBUSOLA CAROLINE  OLUKOJU </t>
  </si>
  <si>
    <t>DR ZAINAB  CHIROMA</t>
  </si>
  <si>
    <t xml:space="preserve">DR UMAR ABBA IBRAHIM </t>
  </si>
  <si>
    <t>DR AISHA BULU</t>
  </si>
  <si>
    <t>DR SAHR GBORIE</t>
  </si>
  <si>
    <t>DR MOHAMED  SMITH</t>
  </si>
  <si>
    <t xml:space="preserve">DR OKOCHA PATRICIA GAGMAN </t>
  </si>
  <si>
    <t xml:space="preserve">DR HAJA SAFIYATU   SOVULA </t>
  </si>
  <si>
    <t>DR RALPH  OWUSU</t>
  </si>
  <si>
    <t>DR JOHN ANTWI</t>
  </si>
  <si>
    <t>DR ELSIE  ADJACODJOE</t>
  </si>
  <si>
    <t>DR M SUMAYYA</t>
  </si>
  <si>
    <t>DR QUARTEY QUARTEY</t>
  </si>
  <si>
    <t>DR AKOSUA ADALYN</t>
  </si>
  <si>
    <t>DR CHRIS  ADDAE</t>
  </si>
  <si>
    <t>DR IBUCHUKWU ORABUEZE</t>
  </si>
  <si>
    <t>DR ADUSI  POKUYAW</t>
  </si>
  <si>
    <t xml:space="preserve">DR BLOSSOM MADUAFOKWA </t>
  </si>
  <si>
    <t>DR AUGUSTINE KWESI  AMOAKO</t>
  </si>
  <si>
    <t>DR OLUSEYE SOBANDE</t>
  </si>
  <si>
    <t>DR SHERIF  OLANIYI</t>
  </si>
  <si>
    <t>DR MABEL ONWUKA</t>
  </si>
  <si>
    <t>PROF ALBERT AKPALU</t>
  </si>
  <si>
    <t>DR FELICIA  OKON</t>
  </si>
  <si>
    <t>DR SA'ADATU SAMBO</t>
  </si>
  <si>
    <t>DR OGECHUKWU EZEIKE</t>
  </si>
  <si>
    <t>DR MAYOWA ADETOYE</t>
  </si>
  <si>
    <t>DR AKINWUMI OJO</t>
  </si>
  <si>
    <t xml:space="preserve">DR EFFUA  USUF </t>
  </si>
  <si>
    <t xml:space="preserve">DR ADETOLA AYANKOLA </t>
  </si>
  <si>
    <t xml:space="preserve">DR NKECHI  IJEZIE </t>
  </si>
  <si>
    <t>DR MAMUS   MIA OPUTTEH</t>
  </si>
  <si>
    <t xml:space="preserve">DR ARINZE  ULASI </t>
  </si>
  <si>
    <t>DR SHEILA  ILELI</t>
  </si>
  <si>
    <t xml:space="preserve">DR HENRIETTA  UGBENI </t>
  </si>
  <si>
    <t>DR TITILAYO TEMITOPE  ADEOYE</t>
  </si>
  <si>
    <t xml:space="preserve">DR LAMIN ES  JAITEH </t>
  </si>
  <si>
    <t xml:space="preserve">DR SUNDAY MUSA  OGUCHE </t>
  </si>
  <si>
    <t xml:space="preserve">DR IJEOMA  AGBARA </t>
  </si>
  <si>
    <t xml:space="preserve">DR TAIWO  OLUSA </t>
  </si>
  <si>
    <t>DR ADEBIMPE OGUNMODEDE</t>
  </si>
  <si>
    <t>DR SURAYYA SUNUSI</t>
  </si>
  <si>
    <t xml:space="preserve">DR CHINWENDU MARYAM  AMUTA-IGWE </t>
  </si>
  <si>
    <t xml:space="preserve">DR JOAN  AKANDE </t>
  </si>
  <si>
    <t>DR OMODELE AJAYI</t>
  </si>
  <si>
    <t>PROF REGINALD O OBIAKO</t>
  </si>
  <si>
    <t>PROF ASMELL RAMOS CABRERA</t>
  </si>
  <si>
    <t>DR NAA LARTELEY</t>
  </si>
  <si>
    <t>DR Z   ILIYASU</t>
  </si>
  <si>
    <t>DR ONO JOYCE</t>
  </si>
  <si>
    <t>DR BOLANLE OYEDEPO</t>
  </si>
  <si>
    <t xml:space="preserve">PROF YAO TETTEY </t>
  </si>
  <si>
    <t xml:space="preserve">DR AFUA ABRAHAMS </t>
  </si>
  <si>
    <t xml:space="preserve">PROF EDWIN KWAME  WIREDU </t>
  </si>
  <si>
    <t>DR BUNMI TOKUN</t>
  </si>
  <si>
    <t xml:space="preserve">DR OGOCHUKWU  EJESIEME </t>
  </si>
  <si>
    <t xml:space="preserve">DR HILDA CHINWE  AFAKWU-ADIMOHA </t>
  </si>
  <si>
    <t>DR NAFIS ABDULFATAI</t>
  </si>
  <si>
    <t>DR ONYALEWA AGBAJI</t>
  </si>
  <si>
    <t>DR CHIEMERIE ONYEKA</t>
  </si>
  <si>
    <t>DR EWURAA ABENA  MANU</t>
  </si>
  <si>
    <t>PROF EMILIA UDOFIA</t>
  </si>
  <si>
    <t>DR OLOHITA AZEKE</t>
  </si>
  <si>
    <t>DR IBIFIRI HART-OMOAGHE</t>
  </si>
  <si>
    <t xml:space="preserve">DR ROLI  AJUYAH </t>
  </si>
  <si>
    <t>DR SYLVIA ANTHONY-EWEPUTANNA</t>
  </si>
  <si>
    <t>DR EUGENE  BAAFI AMPOFO</t>
  </si>
  <si>
    <t xml:space="preserve">DR ADEOLA OLUWASEUN  ADEKEYE </t>
  </si>
  <si>
    <t>DR OBASI IZUCHUKWU</t>
  </si>
  <si>
    <t>DR GEORGE  EZE</t>
  </si>
  <si>
    <t>DR HALIDU SHEHU</t>
  </si>
  <si>
    <t>PROF CHIOLI CHIJIOKE</t>
  </si>
  <si>
    <t xml:space="preserve">DR CHIOMA  CHUKWUMAEZE </t>
  </si>
  <si>
    <t xml:space="preserve">DR SOMTO NGONADI </t>
  </si>
  <si>
    <t xml:space="preserve">DR PRINCE OFUDU </t>
  </si>
  <si>
    <t>DR MEHANA BRAIMAH</t>
  </si>
  <si>
    <t xml:space="preserve">DR NKEIRUKA  MBADIWE </t>
  </si>
  <si>
    <t>DR ONYINYE NWAZOR</t>
  </si>
  <si>
    <t>PROF YAWO ATAKOUMA</t>
  </si>
  <si>
    <t>PROF GABRIEL OLABIYI  OGUN</t>
  </si>
  <si>
    <t xml:space="preserve">DR OLALEKAN  ADESOKAN </t>
  </si>
  <si>
    <t xml:space="preserve">DR MARIAN OPOKU-AGYAKWA </t>
  </si>
  <si>
    <t>DR YVONNE A DEI-ADOMAKOH</t>
  </si>
  <si>
    <t>DR BILLY BOSU</t>
  </si>
  <si>
    <t>DR TEMI  TAIWO</t>
  </si>
  <si>
    <t>DR KUSPUSBIZI</t>
  </si>
  <si>
    <t>DR YEMI</t>
  </si>
  <si>
    <t>DR ADEIGBE OLANREWAJU</t>
  </si>
  <si>
    <t>DR DELE OYE</t>
  </si>
  <si>
    <t>DR MELVINA</t>
  </si>
  <si>
    <t>DR O HALIYU</t>
  </si>
  <si>
    <t>DR C AKPAMA</t>
  </si>
  <si>
    <t>DR PATRICK COKER</t>
  </si>
  <si>
    <t>DR STEPHEN ENGEMANN</t>
  </si>
  <si>
    <t>DR KOMRA KAY</t>
  </si>
  <si>
    <t>DR SARTIE  KENNEH</t>
  </si>
  <si>
    <t>DR DURODAMI</t>
  </si>
  <si>
    <t>DR B OWUSU</t>
  </si>
  <si>
    <t>DR LIZZY  EBETTIE</t>
  </si>
  <si>
    <t>DR CONTACT NOZEKS</t>
  </si>
  <si>
    <t>DR CUDJOE</t>
  </si>
  <si>
    <t>DR AMOA KOAY</t>
  </si>
  <si>
    <t>DR HELESA</t>
  </si>
  <si>
    <t>DR IYANNE SACKEY</t>
  </si>
  <si>
    <t>DR JERRY</t>
  </si>
  <si>
    <t>DR SHARDEYO BENYS</t>
  </si>
  <si>
    <t>DR ADELINE ASANTE KWABIAH</t>
  </si>
  <si>
    <t>DR PRISCILLIA ADEJEI</t>
  </si>
  <si>
    <t>DR GODSOWN</t>
  </si>
  <si>
    <t>DR ED MAJESTY</t>
  </si>
  <si>
    <t>DR C CUDJOE</t>
  </si>
  <si>
    <t>DR C COREAH</t>
  </si>
  <si>
    <t>DR IVY NIYA</t>
  </si>
  <si>
    <t>FULL NAMES</t>
  </si>
  <si>
    <t>WACP_Online Registration List</t>
  </si>
  <si>
    <t>Title</t>
  </si>
  <si>
    <t>First Name</t>
  </si>
  <si>
    <t>Last Name</t>
  </si>
  <si>
    <t>Dr</t>
  </si>
  <si>
    <t>ABAJE</t>
  </si>
  <si>
    <t>PREMERE.</t>
  </si>
  <si>
    <t>Abalaku Yakubu</t>
  </si>
  <si>
    <t>Obele</t>
  </si>
  <si>
    <t>ABBA KAZA</t>
  </si>
  <si>
    <t>SALEH.</t>
  </si>
  <si>
    <t>Abdou</t>
  </si>
  <si>
    <t>Gai</t>
  </si>
  <si>
    <t>Abdul Wahid</t>
  </si>
  <si>
    <t>Bawa</t>
  </si>
  <si>
    <t>ABDULAZIZ</t>
  </si>
  <si>
    <t>AMINU.</t>
  </si>
  <si>
    <t>Abdulaziz Garba</t>
  </si>
  <si>
    <t>Ahmad</t>
  </si>
  <si>
    <t>Abdulaziz Hadi</t>
  </si>
  <si>
    <t>Ibrahim</t>
  </si>
  <si>
    <t>Abdulfatai Kayode</t>
  </si>
  <si>
    <t>Ogunkunle</t>
  </si>
  <si>
    <t>Abdul-Ganiyu</t>
  </si>
  <si>
    <t>Edun</t>
  </si>
  <si>
    <t>Abdullahi</t>
  </si>
  <si>
    <t>Mohammed Chado</t>
  </si>
  <si>
    <t>Mohammed Lawal</t>
  </si>
  <si>
    <t>ABDULLAHI OTEIKWU</t>
  </si>
  <si>
    <t>AMALI.</t>
  </si>
  <si>
    <t>Abdulmumin</t>
  </si>
  <si>
    <t>Yakubu</t>
  </si>
  <si>
    <t>Abdulrahman</t>
  </si>
  <si>
    <t>SALIHU</t>
  </si>
  <si>
    <t>ABDULRAHMAN OLAJIRE</t>
  </si>
  <si>
    <t xml:space="preserve">LAWAL </t>
  </si>
  <si>
    <t>ABDULSALAM</t>
  </si>
  <si>
    <t>ABDULMALIK</t>
  </si>
  <si>
    <t>Abdurrahman</t>
  </si>
  <si>
    <t>Saddiq</t>
  </si>
  <si>
    <t>Abdurrahman Ahmad</t>
  </si>
  <si>
    <t>Sadiq</t>
  </si>
  <si>
    <t>Abednego</t>
  </si>
  <si>
    <t>Attoh</t>
  </si>
  <si>
    <t>Abena kaare</t>
  </si>
  <si>
    <t>Aduful</t>
  </si>
  <si>
    <t>ABIMBOLA</t>
  </si>
  <si>
    <t>ABOLUWARIN</t>
  </si>
  <si>
    <t>ABIODUN ABIOYE</t>
  </si>
  <si>
    <t>OLAGUNJU</t>
  </si>
  <si>
    <t>Abiola Oladele</t>
  </si>
  <si>
    <t>Adegbola</t>
  </si>
  <si>
    <t>ABISOLA OLUWATOYIN</t>
  </si>
  <si>
    <t>OMOBOYEJE</t>
  </si>
  <si>
    <t>Abraham</t>
  </si>
  <si>
    <t>Fifen</t>
  </si>
  <si>
    <t>ABUBAKAR .</t>
  </si>
  <si>
    <t>KARIMA</t>
  </si>
  <si>
    <t>Abubakar Sadiq</t>
  </si>
  <si>
    <t>Muhammad</t>
  </si>
  <si>
    <t>Abubakar</t>
  </si>
  <si>
    <t>ABUBKAR</t>
  </si>
  <si>
    <t>ABDULLAH</t>
  </si>
  <si>
    <t>Aburu Ndim</t>
  </si>
  <si>
    <t>Araga</t>
  </si>
  <si>
    <t>Adaeze</t>
  </si>
  <si>
    <t>Onyekwena</t>
  </si>
  <si>
    <t>Obiegbu</t>
  </si>
  <si>
    <t>Adaku Binah</t>
  </si>
  <si>
    <t>Nwadike</t>
  </si>
  <si>
    <t>ADAM BABA</t>
  </si>
  <si>
    <t>GEIDAM</t>
  </si>
  <si>
    <t>Adamu Abba</t>
  </si>
  <si>
    <t>Adamu</t>
  </si>
  <si>
    <t>Adamu Girei</t>
  </si>
  <si>
    <t>Bakari</t>
  </si>
  <si>
    <t>ADAMU UMAR .</t>
  </si>
  <si>
    <t>YAHAYA</t>
  </si>
  <si>
    <t>Adanma</t>
  </si>
  <si>
    <t>Ekenna</t>
  </si>
  <si>
    <t>Adaobi Maureen</t>
  </si>
  <si>
    <t>Mbamalu</t>
  </si>
  <si>
    <t>Adaugo Justina C.</t>
  </si>
  <si>
    <t>Enyinnaya</t>
  </si>
  <si>
    <t>Adebimpe Funmilola</t>
  </si>
  <si>
    <t>Ogunmodede</t>
  </si>
  <si>
    <t>Adebisi Olusola</t>
  </si>
  <si>
    <t>Omotayo</t>
  </si>
  <si>
    <t>Adedapo Oluwarotimi</t>
  </si>
  <si>
    <t>Adeyemo</t>
  </si>
  <si>
    <t>ADEDEJI .</t>
  </si>
  <si>
    <t>ADEYEYE</t>
  </si>
  <si>
    <t>ADEDEJI ADEBAYO .</t>
  </si>
  <si>
    <t>MOJEED</t>
  </si>
  <si>
    <t>Adedoyin Catherine</t>
  </si>
  <si>
    <t>Adeniyi</t>
  </si>
  <si>
    <t>Adejoke Aderinsola</t>
  </si>
  <si>
    <t>Aiyenigba</t>
  </si>
  <si>
    <t>Adekemi</t>
  </si>
  <si>
    <t>Aikomo</t>
  </si>
  <si>
    <t>ADEKEMI .</t>
  </si>
  <si>
    <t>FADIPE</t>
  </si>
  <si>
    <t>Adelaide Ankomaa</t>
  </si>
  <si>
    <t>Asante</t>
  </si>
  <si>
    <t>Adeleke Yakubu</t>
  </si>
  <si>
    <t>Ademola</t>
  </si>
  <si>
    <t>Ademola Adesina</t>
  </si>
  <si>
    <t>Bajowa</t>
  </si>
  <si>
    <t>Adeniran Olushola</t>
  </si>
  <si>
    <t>Aduwo</t>
  </si>
  <si>
    <t>Adeola Oluwaseun</t>
  </si>
  <si>
    <t>Adekeye</t>
  </si>
  <si>
    <t>Adetola</t>
  </si>
  <si>
    <t>Ayankola</t>
  </si>
  <si>
    <t>Adewunmi Adedamola</t>
  </si>
  <si>
    <t>Oladosu-Adedoyin</t>
  </si>
  <si>
    <t>ADEYEMI ALAMI</t>
  </si>
  <si>
    <t>ABOLADE,</t>
  </si>
  <si>
    <t>AFFIONG EMEM</t>
  </si>
  <si>
    <t>BASSEY.</t>
  </si>
  <si>
    <t>Afolabi</t>
  </si>
  <si>
    <t>Lesi</t>
  </si>
  <si>
    <t>Afua Boatemaa</t>
  </si>
  <si>
    <t>Owusu</t>
  </si>
  <si>
    <t>Afua O. D.</t>
  </si>
  <si>
    <t>Abrahams</t>
  </si>
  <si>
    <t>Aghimien</t>
  </si>
  <si>
    <t>Raymond</t>
  </si>
  <si>
    <t>Agnes</t>
  </si>
  <si>
    <t>Ashley</t>
  </si>
  <si>
    <t>Ahmed</t>
  </si>
  <si>
    <t>Ismail</t>
  </si>
  <si>
    <t>Ahmed Opeyemi</t>
  </si>
  <si>
    <t>Ishola</t>
  </si>
  <si>
    <t>Aisha</t>
  </si>
  <si>
    <t>Bolarinwa</t>
  </si>
  <si>
    <t>Aisha Abdullahi</t>
  </si>
  <si>
    <t>Haruna</t>
  </si>
  <si>
    <t>AISHA AHMAD .</t>
  </si>
  <si>
    <t>Rabiu</t>
  </si>
  <si>
    <t>AISHA ALIYU</t>
  </si>
  <si>
    <t>ABDULFATHI.</t>
  </si>
  <si>
    <t>Aisha Aminu</t>
  </si>
  <si>
    <t>Lawwal</t>
  </si>
  <si>
    <t>AISHA KABIR</t>
  </si>
  <si>
    <t>TURAKI</t>
  </si>
  <si>
    <t>Aisha Muhammad</t>
  </si>
  <si>
    <t>Pindiga</t>
  </si>
  <si>
    <t>AISHA MUHAMMAD.</t>
  </si>
  <si>
    <t>TIJANI</t>
  </si>
  <si>
    <t>Aisha Mustafa</t>
  </si>
  <si>
    <t>Bulu</t>
  </si>
  <si>
    <t>Aisha Suleiman</t>
  </si>
  <si>
    <t>Kumo</t>
  </si>
  <si>
    <t>Aisha Ummi</t>
  </si>
  <si>
    <t>Satomi</t>
  </si>
  <si>
    <t>AISOSA.</t>
  </si>
  <si>
    <t>OLANIYONU</t>
  </si>
  <si>
    <t>Ajibolu Adeniran</t>
  </si>
  <si>
    <t>OKE</t>
  </si>
  <si>
    <t>Akeem Oyewale</t>
  </si>
  <si>
    <t>Jimoh</t>
  </si>
  <si>
    <t>Akhere Charity</t>
  </si>
  <si>
    <t>Ernest Ekwe</t>
  </si>
  <si>
    <t>AKINWALE</t>
  </si>
  <si>
    <t>Moses</t>
  </si>
  <si>
    <t>Akinwumi Isaac</t>
  </si>
  <si>
    <t>Ojo</t>
  </si>
  <si>
    <t>Akorfa Ama</t>
  </si>
  <si>
    <t>Wotordzor</t>
  </si>
  <si>
    <t>Akosua Agyeiwaa</t>
  </si>
  <si>
    <t>Owusu-Sarpong</t>
  </si>
  <si>
    <t>Akosua Gyamfua</t>
  </si>
  <si>
    <t>Appiah</t>
  </si>
  <si>
    <t>Akosua Nfodwaa</t>
  </si>
  <si>
    <t>Opoku Asare</t>
  </si>
  <si>
    <t>Akua Dufie</t>
  </si>
  <si>
    <t>Obeng</t>
  </si>
  <si>
    <t>Akuorkor</t>
  </si>
  <si>
    <t>Quartey</t>
  </si>
  <si>
    <t xml:space="preserve">Akwasi </t>
  </si>
  <si>
    <t>Osei</t>
  </si>
  <si>
    <t>Alaoma</t>
  </si>
  <si>
    <t>Kawa</t>
  </si>
  <si>
    <t>Albert</t>
  </si>
  <si>
    <t>Akpalu</t>
  </si>
  <si>
    <t>Agbi</t>
  </si>
  <si>
    <t>Aleruchi</t>
  </si>
  <si>
    <t>Wala</t>
  </si>
  <si>
    <t>Alexandra Uzochikwa</t>
  </si>
  <si>
    <t>Akudolu</t>
  </si>
  <si>
    <t>ALHASSAN ABDULLAHI</t>
  </si>
  <si>
    <t>SHARIF</t>
  </si>
  <si>
    <t>Alhassan Mansur</t>
  </si>
  <si>
    <t>Libata</t>
  </si>
  <si>
    <t>Alice T. Kron</t>
  </si>
  <si>
    <t>Jaih</t>
  </si>
  <si>
    <t>ALIE AMIN</t>
  </si>
  <si>
    <t>SESAY</t>
  </si>
  <si>
    <t>Aliyu</t>
  </si>
  <si>
    <t>Babayo Aliyu</t>
  </si>
  <si>
    <t>Ama Kyerewaa</t>
  </si>
  <si>
    <t>Afrani</t>
  </si>
  <si>
    <t>AMAKA Pamela</t>
  </si>
  <si>
    <t>ONYEKWERE.</t>
  </si>
  <si>
    <t>Amanda</t>
  </si>
  <si>
    <t>Fofie</t>
  </si>
  <si>
    <t>AMARACHI ALEX</t>
  </si>
  <si>
    <t>EWUZIE.</t>
  </si>
  <si>
    <t>Amarachukwu Agnes</t>
  </si>
  <si>
    <t>Ezinwa</t>
  </si>
  <si>
    <t>Amatu</t>
  </si>
  <si>
    <t>Babakura Imam</t>
  </si>
  <si>
    <t>Amie</t>
  </si>
  <si>
    <t>Conteh</t>
  </si>
  <si>
    <t>Amina</t>
  </si>
  <si>
    <t>Gambo</t>
  </si>
  <si>
    <t>Amina Bala</t>
  </si>
  <si>
    <t>AMINA Hussaini</t>
  </si>
  <si>
    <t>MANSUR</t>
  </si>
  <si>
    <t>Aminat</t>
  </si>
  <si>
    <t>Ibrahim-Saad</t>
  </si>
  <si>
    <t>AMIRA</t>
  </si>
  <si>
    <t>BELLO.</t>
  </si>
  <si>
    <t xml:space="preserve">Amirah Adeola </t>
  </si>
  <si>
    <t>Sanni</t>
  </si>
  <si>
    <t>Amirah Ahmad</t>
  </si>
  <si>
    <t>Babajo</t>
  </si>
  <si>
    <t>Amma</t>
  </si>
  <si>
    <t>Benneh- Akwasi Kuma</t>
  </si>
  <si>
    <t>Amma Konadu</t>
  </si>
  <si>
    <t>Baah</t>
  </si>
  <si>
    <t>Amobi</t>
  </si>
  <si>
    <t>Omoha</t>
  </si>
  <si>
    <t>Amsa Baba</t>
  </si>
  <si>
    <t>Mairami</t>
  </si>
  <si>
    <t>Andrew</t>
  </si>
  <si>
    <t>Agbeje</t>
  </si>
  <si>
    <t>ANGELA Teteki</t>
  </si>
  <si>
    <t>ESIAPE</t>
  </si>
  <si>
    <t>ANIAGBOSO UCHECHUKU</t>
  </si>
  <si>
    <t>Ukamaka</t>
  </si>
  <si>
    <t>ANIEDI JAMES.</t>
  </si>
  <si>
    <t>IDANG</t>
  </si>
  <si>
    <t>Aniekan</t>
  </si>
  <si>
    <t>Dickson</t>
  </si>
  <si>
    <t>Anita Ago</t>
  </si>
  <si>
    <t>Asare</t>
  </si>
  <si>
    <t>Anna</t>
  </si>
  <si>
    <t>Fokuoh-Boadu</t>
  </si>
  <si>
    <t>Anthony</t>
  </si>
  <si>
    <t>Anigbogu</t>
  </si>
  <si>
    <t>Emoitologa</t>
  </si>
  <si>
    <t>ANTHONY .</t>
  </si>
  <si>
    <t>AGBO</t>
  </si>
  <si>
    <t>Anthony Ewere</t>
  </si>
  <si>
    <t>Okoh</t>
  </si>
  <si>
    <t>Anthony Gbenga</t>
  </si>
  <si>
    <t>Anifowose</t>
  </si>
  <si>
    <t>ANTOINETTE</t>
  </si>
  <si>
    <t>OFILI.</t>
  </si>
  <si>
    <t>ARCHIBONG IMOH</t>
  </si>
  <si>
    <t>ANIEKAN.</t>
  </si>
  <si>
    <t>Arinze</t>
  </si>
  <si>
    <t>Ulasi</t>
  </si>
  <si>
    <t>Asabe Comfort</t>
  </si>
  <si>
    <t>Omokaro</t>
  </si>
  <si>
    <t>Asmau Belko</t>
  </si>
  <si>
    <t>Nuruddeen</t>
  </si>
  <si>
    <t>Asmau Ummi</t>
  </si>
  <si>
    <t>Bello</t>
  </si>
  <si>
    <t>Asmell</t>
  </si>
  <si>
    <t>Ramos Cabrera</t>
  </si>
  <si>
    <t>Assumpta</t>
  </si>
  <si>
    <t>AHAM</t>
  </si>
  <si>
    <t>Attahir Mustapha</t>
  </si>
  <si>
    <t>Dan-Ali</t>
  </si>
  <si>
    <t>Augusta Unoma</t>
  </si>
  <si>
    <t>Eneh</t>
  </si>
  <si>
    <t>Augustine Kwesi</t>
  </si>
  <si>
    <t>Amoako</t>
  </si>
  <si>
    <t>Austine</t>
  </si>
  <si>
    <t>Osagbaekhoe</t>
  </si>
  <si>
    <t>AUWAL TIJJANI .</t>
  </si>
  <si>
    <t>SHUAIBU</t>
  </si>
  <si>
    <t>Auwalu Shehu</t>
  </si>
  <si>
    <t>Tangaza</t>
  </si>
  <si>
    <t>Avwarute</t>
  </si>
  <si>
    <t>Olomu-Ochei</t>
  </si>
  <si>
    <t>AYEBO.</t>
  </si>
  <si>
    <t>SADOH</t>
  </si>
  <si>
    <t>AYEGBA .</t>
  </si>
  <si>
    <t>ONU</t>
  </si>
  <si>
    <t>Ayodeji Samuel</t>
  </si>
  <si>
    <t>Bakare</t>
  </si>
  <si>
    <t>Ayodeji Stephen</t>
  </si>
  <si>
    <t>Adekolade</t>
  </si>
  <si>
    <t>Ayomide Esther</t>
  </si>
  <si>
    <t>Oni-Orisan</t>
  </si>
  <si>
    <t>Azeezat</t>
  </si>
  <si>
    <t>Aina</t>
  </si>
  <si>
    <t>Azeezat Olasunmbo</t>
  </si>
  <si>
    <t>Braheem</t>
  </si>
  <si>
    <t>Azivudnu</t>
  </si>
  <si>
    <t>Onuoha</t>
  </si>
  <si>
    <t>Babajide Waziri</t>
  </si>
  <si>
    <t>Telufusi</t>
  </si>
  <si>
    <t>Babatunde</t>
  </si>
  <si>
    <t>Olasode</t>
  </si>
  <si>
    <t>Barachel Ekor</t>
  </si>
  <si>
    <t>Akpe-Ushie</t>
  </si>
  <si>
    <t>Paid for Non AGSM Attendance fee</t>
  </si>
  <si>
    <t>Barbara</t>
  </si>
  <si>
    <t>Addai Owusu</t>
  </si>
  <si>
    <t>Otaigbe</t>
  </si>
  <si>
    <t>Bartholomew Ekpe</t>
  </si>
  <si>
    <t>Ntui</t>
  </si>
  <si>
    <t>Bashir Dansanda</t>
  </si>
  <si>
    <t>BASHIR TAIYE</t>
  </si>
  <si>
    <t>AMINu</t>
  </si>
  <si>
    <t>Bashirat Titilayo</t>
  </si>
  <si>
    <t>Batula</t>
  </si>
  <si>
    <t>Bishara Daggash</t>
  </si>
  <si>
    <t>BEAUTY Maxwell</t>
  </si>
  <si>
    <t>TOBIN</t>
  </si>
  <si>
    <t>Belinda Oluwatosin</t>
  </si>
  <si>
    <t>Jolayemi</t>
  </si>
  <si>
    <t>Benedicta Amenze</t>
  </si>
  <si>
    <t>Ihuemwinese</t>
  </si>
  <si>
    <t>Benetta C.</t>
  </si>
  <si>
    <t>Andrews</t>
  </si>
  <si>
    <t>BENJAMIN SUNDAY CHUDI</t>
  </si>
  <si>
    <t>UZOCHUKWU.</t>
  </si>
  <si>
    <t>Benson</t>
  </si>
  <si>
    <t>Udu</t>
  </si>
  <si>
    <t>Bernadette Chinagorom</t>
  </si>
  <si>
    <t>Ihegbu</t>
  </si>
  <si>
    <t>Bernice T.</t>
  </si>
  <si>
    <t>Dshn</t>
  </si>
  <si>
    <t>Best</t>
  </si>
  <si>
    <t>Asuquo</t>
  </si>
  <si>
    <t>Betty</t>
  </si>
  <si>
    <t>Ayisi</t>
  </si>
  <si>
    <t>BIBILOLA .</t>
  </si>
  <si>
    <t>OLADEJI</t>
  </si>
  <si>
    <t>BINTU</t>
  </si>
  <si>
    <t>KAUMI KYARI</t>
  </si>
  <si>
    <t>Bismark</t>
  </si>
  <si>
    <t>BLESSING ADEOLUWA</t>
  </si>
  <si>
    <t xml:space="preserve">OWADOKUN </t>
  </si>
  <si>
    <t>Blessing Chinenye</t>
  </si>
  <si>
    <t>AGBARAKWE</t>
  </si>
  <si>
    <t>Blessing Joseph</t>
  </si>
  <si>
    <t>Ukam</t>
  </si>
  <si>
    <t>Blossom</t>
  </si>
  <si>
    <t>Maduafokwa</t>
  </si>
  <si>
    <t>Bolanle Comfort</t>
  </si>
  <si>
    <t>Oyedepo</t>
  </si>
  <si>
    <t>BOLATITO MARY.</t>
  </si>
  <si>
    <t xml:space="preserve">FAJUYIGBE </t>
  </si>
  <si>
    <t>Boli</t>
  </si>
  <si>
    <t>BILLAMBO</t>
  </si>
  <si>
    <t>Bosu</t>
  </si>
  <si>
    <t>Williams</t>
  </si>
  <si>
    <t>240.70</t>
  </si>
  <si>
    <t>Boubacar</t>
  </si>
  <si>
    <t>Sonfo</t>
  </si>
  <si>
    <t>Brenda Chukwufunanya</t>
  </si>
  <si>
    <t>Isikekpei</t>
  </si>
  <si>
    <t>Brenda Oppong</t>
  </si>
  <si>
    <t>Bawuah</t>
  </si>
  <si>
    <t>BUBA MUAZU.</t>
  </si>
  <si>
    <t>ABUBAKAR</t>
  </si>
  <si>
    <t>Bubacar</t>
  </si>
  <si>
    <t>Susso</t>
  </si>
  <si>
    <t>BUKAR ALI</t>
  </si>
  <si>
    <t>SHETTIMA.</t>
  </si>
  <si>
    <t>BUKOLA OMOWUNMI</t>
  </si>
  <si>
    <t xml:space="preserve"> JEGEDE</t>
  </si>
  <si>
    <t>BURABARI .</t>
  </si>
  <si>
    <t>KEMSI</t>
  </si>
  <si>
    <t>Busayo Kolade</t>
  </si>
  <si>
    <t>Akerele</t>
  </si>
  <si>
    <t>Byencit Binchen</t>
  </si>
  <si>
    <t>Tali</t>
  </si>
  <si>
    <t>Caleb Chukwuma</t>
  </si>
  <si>
    <t>Amaefuna</t>
  </si>
  <si>
    <t>Charity Ojong</t>
  </si>
  <si>
    <t>Ajake</t>
  </si>
  <si>
    <t>Charlene</t>
  </si>
  <si>
    <t>French-Cudjoe</t>
  </si>
  <si>
    <t>Charles Onyedikachi</t>
  </si>
  <si>
    <t>Okorie</t>
  </si>
  <si>
    <t>Charles Oyom</t>
  </si>
  <si>
    <t>Oguni</t>
  </si>
  <si>
    <t>CHERIMA JOEL.</t>
  </si>
  <si>
    <t>YAKUBU</t>
  </si>
  <si>
    <t>Chetachi</t>
  </si>
  <si>
    <t>Chukwumerije</t>
  </si>
  <si>
    <t>Chiamaka Perpetua</t>
  </si>
  <si>
    <t>Chidozie</t>
  </si>
  <si>
    <t>Chibuzo Chiamaka</t>
  </si>
  <si>
    <t>Ajaero</t>
  </si>
  <si>
    <t>Chidi Clement</t>
  </si>
  <si>
    <t>Dike</t>
  </si>
  <si>
    <t>Chidimma Anulika</t>
  </si>
  <si>
    <t>Ahaneku</t>
  </si>
  <si>
    <t>Chiemerie Adaeze</t>
  </si>
  <si>
    <t>Onyeka</t>
  </si>
  <si>
    <t>CHIJIOKE LAWRENCE</t>
  </si>
  <si>
    <t>OGUNO.</t>
  </si>
  <si>
    <t>Chika</t>
  </si>
  <si>
    <t>Nwaezike-Okafor</t>
  </si>
  <si>
    <t>CHIKA Ugonna</t>
  </si>
  <si>
    <t>NWABUEZE.</t>
  </si>
  <si>
    <t>Chikambinaka Patricia</t>
  </si>
  <si>
    <t>Ngu</t>
  </si>
  <si>
    <t>CHIKAODI IJEOMA</t>
  </si>
  <si>
    <t>OGWUDIRE</t>
  </si>
  <si>
    <t>Chimaroke Ukachi</t>
  </si>
  <si>
    <t>CHIKEKA</t>
  </si>
  <si>
    <t>Chinazom</t>
  </si>
  <si>
    <t>Efeturi-Odele</t>
  </si>
  <si>
    <t>CHINEDU</t>
  </si>
  <si>
    <t>NWOSU</t>
  </si>
  <si>
    <t>CHINEDU OBASI</t>
  </si>
  <si>
    <t>AKPA</t>
  </si>
  <si>
    <t>Chinelo Ozoamaka</t>
  </si>
  <si>
    <t>Onochie</t>
  </si>
  <si>
    <t>Chinenye Merian</t>
  </si>
  <si>
    <t>Chukwu</t>
  </si>
  <si>
    <t>Chinino Mary</t>
  </si>
  <si>
    <t>Agrippa</t>
  </si>
  <si>
    <t>Chinomso Ihuoma</t>
  </si>
  <si>
    <t>Ejiaku</t>
  </si>
  <si>
    <t>Chinonso</t>
  </si>
  <si>
    <t>CHINONSO THEOPHILUS.</t>
  </si>
  <si>
    <t>IGWE</t>
  </si>
  <si>
    <t>Chinwe</t>
  </si>
  <si>
    <t>Ogbonnaa-Njoku</t>
  </si>
  <si>
    <t>Chinwendu Maryam</t>
  </si>
  <si>
    <t>Amuta-Igwe</t>
  </si>
  <si>
    <t>CHINYERE</t>
  </si>
  <si>
    <t>OKAFOR.</t>
  </si>
  <si>
    <t>CHINYERE VICTORIA.</t>
  </si>
  <si>
    <t xml:space="preserve">ELE </t>
  </si>
  <si>
    <t>Chioli</t>
  </si>
  <si>
    <t>Chijioke</t>
  </si>
  <si>
    <t>CHIOMA Grace</t>
  </si>
  <si>
    <t>ANAUKWU</t>
  </si>
  <si>
    <t>CHIOMA LOVELINE</t>
  </si>
  <si>
    <t>CHIJIOKE-ANIAGU</t>
  </si>
  <si>
    <t>Chioma Rosemary</t>
  </si>
  <si>
    <t>Chukwumaeze</t>
  </si>
  <si>
    <t>CHISOM Udo</t>
  </si>
  <si>
    <t>EZEOKAFOR</t>
  </si>
  <si>
    <t>CHIZIMAKO TOCHUKWU</t>
  </si>
  <si>
    <t>NNAJI</t>
  </si>
  <si>
    <t>Chizomam</t>
  </si>
  <si>
    <t>Emeribe</t>
  </si>
  <si>
    <t>Chris</t>
  </si>
  <si>
    <t>Mbubah</t>
  </si>
  <si>
    <t>Christian</t>
  </si>
  <si>
    <t>Addae</t>
  </si>
  <si>
    <t>CHRISTIAN OKOROBIA</t>
  </si>
  <si>
    <t>ONUKWUE</t>
  </si>
  <si>
    <t>CHRISTIANA Chinyere</t>
  </si>
  <si>
    <t>OLOGWU</t>
  </si>
  <si>
    <t>Christiana Lane</t>
  </si>
  <si>
    <t>Simon</t>
  </si>
  <si>
    <t>Christina</t>
  </si>
  <si>
    <t>Osei-Yeboah</t>
  </si>
  <si>
    <t>Christine Ewemade</t>
  </si>
  <si>
    <t>Ogbebor</t>
  </si>
  <si>
    <t>Christopher</t>
  </si>
  <si>
    <t>Christopher Obiaderi</t>
  </si>
  <si>
    <t>Okoro</t>
  </si>
  <si>
    <t>Chukwudi mcedwards</t>
  </si>
  <si>
    <t>Nworie</t>
  </si>
  <si>
    <t>Chukwuebuka Okechukwu</t>
  </si>
  <si>
    <t>Ndukwulueze</t>
  </si>
  <si>
    <t>Chukwuemeka Joseph</t>
  </si>
  <si>
    <t>Nwoye</t>
  </si>
  <si>
    <t>Chukwuemeka obioha</t>
  </si>
  <si>
    <t>Eze</t>
  </si>
  <si>
    <t>Chukwuma</t>
  </si>
  <si>
    <t>Oraegbunam</t>
  </si>
  <si>
    <t>Chukwuyem Lynda</t>
  </si>
  <si>
    <t>Nwanne</t>
  </si>
  <si>
    <t>CLEMENT C..</t>
  </si>
  <si>
    <t>EZECHUKWU</t>
  </si>
  <si>
    <t>Clement Peter</t>
  </si>
  <si>
    <t>Lugala</t>
  </si>
  <si>
    <t>COLLINS</t>
  </si>
  <si>
    <t>KOKURO</t>
  </si>
  <si>
    <t>Comfort</t>
  </si>
  <si>
    <t>Danso</t>
  </si>
  <si>
    <t>Comfort Adeole</t>
  </si>
  <si>
    <t>Ugo-Dike</t>
  </si>
  <si>
    <t>CONFIDENCE UJU.</t>
  </si>
  <si>
    <t>AHUNWA</t>
  </si>
  <si>
    <t>CORNELIA EBERE</t>
  </si>
  <si>
    <t>UME.</t>
  </si>
  <si>
    <t>Cuallau Lillian</t>
  </si>
  <si>
    <t>Jabbeh-Howe</t>
  </si>
  <si>
    <t>CYRIL OGBONNA</t>
  </si>
  <si>
    <t>UZOKE .</t>
  </si>
  <si>
    <t>Damaris</t>
  </si>
  <si>
    <t>Moneke</t>
  </si>
  <si>
    <t>Damilola</t>
  </si>
  <si>
    <t>Okusaga-Arthur</t>
  </si>
  <si>
    <t>Daniel</t>
  </si>
  <si>
    <t>Amenu</t>
  </si>
  <si>
    <t>Daniella</t>
  </si>
  <si>
    <t>Akrasi-Sarpong</t>
  </si>
  <si>
    <t>Darlinda Fatmata</t>
  </si>
  <si>
    <t>Jiba</t>
  </si>
  <si>
    <t>Darwin Abaanamkadila</t>
  </si>
  <si>
    <t>Awog-badek</t>
  </si>
  <si>
    <t>DAVID</t>
  </si>
  <si>
    <t>UTIBE</t>
  </si>
  <si>
    <t>David</t>
  </si>
  <si>
    <t>Bening</t>
  </si>
  <si>
    <t>Darkwah</t>
  </si>
  <si>
    <t>Kekulah, Sr.</t>
  </si>
  <si>
    <t>David Adu Kobina</t>
  </si>
  <si>
    <t>Biney</t>
  </si>
  <si>
    <t>Deborah</t>
  </si>
  <si>
    <t>Uanzekin</t>
  </si>
  <si>
    <t>Gasper</t>
  </si>
  <si>
    <t>DEBORAH .</t>
  </si>
  <si>
    <t>SULEMAN</t>
  </si>
  <si>
    <t>Desrie</t>
  </si>
  <si>
    <t>Delsol-Gyan</t>
  </si>
  <si>
    <t>Diane Nkechi</t>
  </si>
  <si>
    <t>Momoh</t>
  </si>
  <si>
    <t>DIFIRWITI HARIFARTA</t>
  </si>
  <si>
    <t>Claphton</t>
  </si>
  <si>
    <t>DIMLONG MANSHAK</t>
  </si>
  <si>
    <t>ILIYA.</t>
  </si>
  <si>
    <t>Diomande</t>
  </si>
  <si>
    <t>Moheni</t>
  </si>
  <si>
    <t>Divine Aseye Yao</t>
  </si>
  <si>
    <t>Amenuke</t>
  </si>
  <si>
    <t>Dokedensi</t>
  </si>
  <si>
    <t>Uya</t>
  </si>
  <si>
    <t>Dorcas Agbenu</t>
  </si>
  <si>
    <t>Ojobo</t>
  </si>
  <si>
    <t>DUKE KWAKU</t>
  </si>
  <si>
    <t>AGBODEKA</t>
  </si>
  <si>
    <t>Durodami</t>
  </si>
  <si>
    <t>Lisk</t>
  </si>
  <si>
    <t>Dzifa</t>
  </si>
  <si>
    <t>Dellor</t>
  </si>
  <si>
    <t>Ebele Lucy</t>
  </si>
  <si>
    <t>Nwafor</t>
  </si>
  <si>
    <t>Eberechukwu vivian</t>
  </si>
  <si>
    <t>Nwalozie</t>
  </si>
  <si>
    <t>Ebikon</t>
  </si>
  <si>
    <t>Igbapike</t>
  </si>
  <si>
    <t xml:space="preserve">Ebrima </t>
  </si>
  <si>
    <t>Saidy Jah</t>
  </si>
  <si>
    <t>Edem</t>
  </si>
  <si>
    <t>Lodoh</t>
  </si>
  <si>
    <t>EDET</t>
  </si>
  <si>
    <t>USUN</t>
  </si>
  <si>
    <t>Edith Oluwaseun</t>
  </si>
  <si>
    <t>Salau</t>
  </si>
  <si>
    <t>Edmund</t>
  </si>
  <si>
    <t>Dzisi</t>
  </si>
  <si>
    <t>Edward</t>
  </si>
  <si>
    <t>Addo dankwa</t>
  </si>
  <si>
    <t>EDWARD OMATSEYIN</t>
  </si>
  <si>
    <t>CARPE</t>
  </si>
  <si>
    <t>EDWIN KWAME</t>
  </si>
  <si>
    <t>WIREDU</t>
  </si>
  <si>
    <t>Efemena</t>
  </si>
  <si>
    <t>Onowugbeda</t>
  </si>
  <si>
    <t>Effua</t>
  </si>
  <si>
    <t>Usuf</t>
  </si>
  <si>
    <t>Efosa Emmanuel</t>
  </si>
  <si>
    <t>Aimien</t>
  </si>
  <si>
    <t>Efua</t>
  </si>
  <si>
    <t>Yankah</t>
  </si>
  <si>
    <t>Ehinor</t>
  </si>
  <si>
    <t>Ikhifa-Unuane</t>
  </si>
  <si>
    <t>EHIREME Onoguekhian</t>
  </si>
  <si>
    <t>KPAKPAWO-OKETE</t>
  </si>
  <si>
    <t>Ejemhen Isoya</t>
  </si>
  <si>
    <t>Ojie</t>
  </si>
  <si>
    <t>Ejiroghene Pauline</t>
  </si>
  <si>
    <t>Arhere</t>
  </si>
  <si>
    <t>Ekaobong Abang</t>
  </si>
  <si>
    <t>Otu</t>
  </si>
  <si>
    <t>Ekele</t>
  </si>
  <si>
    <t>Amadi-Robert</t>
  </si>
  <si>
    <t>EKEMINI</t>
  </si>
  <si>
    <t>EKPE</t>
  </si>
  <si>
    <t>EKPENYONG EKPO.</t>
  </si>
  <si>
    <t>OTU</t>
  </si>
  <si>
    <t>Ekua</t>
  </si>
  <si>
    <t>Afful</t>
  </si>
  <si>
    <t>ELIJAH AKER</t>
  </si>
  <si>
    <t>IGBASHIO</t>
  </si>
  <si>
    <t>Elizabeth</t>
  </si>
  <si>
    <t>Aberuagba</t>
  </si>
  <si>
    <t>Elizabeth Kassem</t>
  </si>
  <si>
    <t>Azi</t>
  </si>
  <si>
    <t>Elizabeth Temitope</t>
  </si>
  <si>
    <t>Owolabi</t>
  </si>
  <si>
    <t>Elsie Esinam</t>
  </si>
  <si>
    <t>Adjacodjoe</t>
  </si>
  <si>
    <t>Emefa</t>
  </si>
  <si>
    <t>Dzordzorme</t>
  </si>
  <si>
    <t>EMEKA JOHN.</t>
  </si>
  <si>
    <t>ANEKE</t>
  </si>
  <si>
    <t>Emelda Edem Adzo</t>
  </si>
  <si>
    <t>Asem-Ahiablee</t>
  </si>
  <si>
    <t>Emilia</t>
  </si>
  <si>
    <t>Udofia</t>
  </si>
  <si>
    <t>Emmanuel</t>
  </si>
  <si>
    <t>Tweneboah</t>
  </si>
  <si>
    <t>EMMANUEL ANKRAH</t>
  </si>
  <si>
    <t>ODAME</t>
  </si>
  <si>
    <t>Emmanuel Egwu</t>
  </si>
  <si>
    <t>Ominyi</t>
  </si>
  <si>
    <t>Emmanuel Kweku</t>
  </si>
  <si>
    <t>Ekyinabah</t>
  </si>
  <si>
    <t>Emmanuel Nsor-yinne</t>
  </si>
  <si>
    <t>Anafo</t>
  </si>
  <si>
    <t>Emmanuel Ovundah</t>
  </si>
  <si>
    <t>Nyeche</t>
  </si>
  <si>
    <t>EMMANUEL TOPE</t>
  </si>
  <si>
    <t>AMUPITAN.</t>
  </si>
  <si>
    <t>Emmanuella</t>
  </si>
  <si>
    <t>Ekedum</t>
  </si>
  <si>
    <t>Nwamu</t>
  </si>
  <si>
    <t>EMPRESS IZIEGBE.</t>
  </si>
  <si>
    <t>ETSENUMHE</t>
  </si>
  <si>
    <t>ENE EMMANUELLA.</t>
  </si>
  <si>
    <t>OCHIGBO</t>
  </si>
  <si>
    <t>Enita Judith</t>
  </si>
  <si>
    <t>Obanovwe</t>
  </si>
  <si>
    <t>Eno Abasi Imeh</t>
  </si>
  <si>
    <t>Udoh</t>
  </si>
  <si>
    <t>Ephraim Chukwunonso</t>
  </si>
  <si>
    <t>Nnadi</t>
  </si>
  <si>
    <t>Ernest</t>
  </si>
  <si>
    <t>Nwaigbo</t>
  </si>
  <si>
    <t>Ese Ushera</t>
  </si>
  <si>
    <t>Ogudo</t>
  </si>
  <si>
    <t>Eseohe Ejehiokhin</t>
  </si>
  <si>
    <t>Ebu</t>
  </si>
  <si>
    <t>Eseosa</t>
  </si>
  <si>
    <t>EDE-EDOKPOLOR.</t>
  </si>
  <si>
    <t>Esere</t>
  </si>
  <si>
    <t>Obodo</t>
  </si>
  <si>
    <t>Esin</t>
  </si>
  <si>
    <t>Nkereuwem</t>
  </si>
  <si>
    <t>ESSIEN KINGSLEY</t>
  </si>
  <si>
    <t>ANTIGHA.</t>
  </si>
  <si>
    <t>Esther  Anawureyi</t>
  </si>
  <si>
    <t>Demide</t>
  </si>
  <si>
    <t>Etimkpo</t>
  </si>
  <si>
    <t>Ndaeyo</t>
  </si>
  <si>
    <t>Etubi Alexander</t>
  </si>
  <si>
    <t>Eugene</t>
  </si>
  <si>
    <t>Ayiga</t>
  </si>
  <si>
    <t>EUGENE BAAFI</t>
  </si>
  <si>
    <t>AMPOFO</t>
  </si>
  <si>
    <t>EVANGEL ILOBA</t>
  </si>
  <si>
    <t>AJIDUE</t>
  </si>
  <si>
    <t>Evezi Oghene-Othuke</t>
  </si>
  <si>
    <t>Quao</t>
  </si>
  <si>
    <t>Ewere Marie</t>
  </si>
  <si>
    <t>Ogbimi</t>
  </si>
  <si>
    <t>Ewura Afua</t>
  </si>
  <si>
    <t>Blankson</t>
  </si>
  <si>
    <t>Ewuraa Abena Owusaa</t>
  </si>
  <si>
    <t>Manu</t>
  </si>
  <si>
    <t>EZE CHUKWUEMEKA</t>
  </si>
  <si>
    <t>OBIOHA.</t>
  </si>
  <si>
    <t>EZE NDUBUISI</t>
  </si>
  <si>
    <t>Simeon</t>
  </si>
  <si>
    <t>Ezekiel</t>
  </si>
  <si>
    <t>Ojimadu</t>
  </si>
  <si>
    <t>EZEOKAFOR CHISOM..</t>
  </si>
  <si>
    <t>Eziamaka Gloria</t>
  </si>
  <si>
    <t>FAITH</t>
  </si>
  <si>
    <t>ISEI</t>
  </si>
  <si>
    <t>Faiza</t>
  </si>
  <si>
    <t>Dahiru</t>
  </si>
  <si>
    <t>Famba Daniel</t>
  </si>
  <si>
    <t>Famba</t>
  </si>
  <si>
    <t>Farida</t>
  </si>
  <si>
    <t>Abdullahi Yelwa</t>
  </si>
  <si>
    <t>Farida Babangida</t>
  </si>
  <si>
    <t>Faruq Faruq</t>
  </si>
  <si>
    <t>Umar</t>
  </si>
  <si>
    <t>FATI ELEOJO</t>
  </si>
  <si>
    <t>AKUNAEZIRI</t>
  </si>
  <si>
    <t>Fatima</t>
  </si>
  <si>
    <t>Mallum</t>
  </si>
  <si>
    <t>Fatima Abdulsalam</t>
  </si>
  <si>
    <t>Mustapha</t>
  </si>
  <si>
    <t>Fatima Bello</t>
  </si>
  <si>
    <t>Tilli</t>
  </si>
  <si>
    <t xml:space="preserve">Fatima Bello </t>
  </si>
  <si>
    <t>Liman</t>
  </si>
  <si>
    <t>Fatima Ibrahim</t>
  </si>
  <si>
    <t>FATIMA LAWAN</t>
  </si>
  <si>
    <t>BUKAR</t>
  </si>
  <si>
    <t>Fatima Umar</t>
  </si>
  <si>
    <t>FATIMA UMAR</t>
  </si>
  <si>
    <t>FARUK</t>
  </si>
  <si>
    <t>Fatimo Adenike</t>
  </si>
  <si>
    <t>Adegoke</t>
  </si>
  <si>
    <t>Fauzia</t>
  </si>
  <si>
    <t>Amidu</t>
  </si>
  <si>
    <t>Fauziyyah  Malami</t>
  </si>
  <si>
    <t>Shehu</t>
  </si>
  <si>
    <t>Felicia</t>
  </si>
  <si>
    <t>Okon</t>
  </si>
  <si>
    <t>FERDINAND CHUKWUDOLUE</t>
  </si>
  <si>
    <t>OBI</t>
  </si>
  <si>
    <t>Fidelis Filibus</t>
  </si>
  <si>
    <t>Linga</t>
  </si>
  <si>
    <t>Finest</t>
  </si>
  <si>
    <t>Woke</t>
  </si>
  <si>
    <t>Flinhway</t>
  </si>
  <si>
    <t>Hessou Dickson</t>
  </si>
  <si>
    <t>Florence</t>
  </si>
  <si>
    <t>Agboola</t>
  </si>
  <si>
    <t>Florence Abosede</t>
  </si>
  <si>
    <t>Soyemi</t>
  </si>
  <si>
    <t>Florence Kalamama</t>
  </si>
  <si>
    <t>Briggs</t>
  </si>
  <si>
    <t>Florence Nathalie Yacoba</t>
  </si>
  <si>
    <t>Alihonou</t>
  </si>
  <si>
    <t>Foday</t>
  </si>
  <si>
    <t>Sahr</t>
  </si>
  <si>
    <t>Folasade Alorye</t>
  </si>
  <si>
    <t>Oji</t>
  </si>
  <si>
    <t>Folasade Tinuke</t>
  </si>
  <si>
    <t>Amosun</t>
  </si>
  <si>
    <t>Folashade Florence</t>
  </si>
  <si>
    <t>Alege</t>
  </si>
  <si>
    <t>Frances Ngozi</t>
  </si>
  <si>
    <t>Onyia</t>
  </si>
  <si>
    <t>Francis</t>
  </si>
  <si>
    <t>Calya</t>
  </si>
  <si>
    <t>Francis Adenortey</t>
  </si>
  <si>
    <t>Agbovie</t>
  </si>
  <si>
    <t>Francis Nnamdi</t>
  </si>
  <si>
    <t>FRANCISCA Akosua</t>
  </si>
  <si>
    <t>BOATENG</t>
  </si>
  <si>
    <t>Franklin</t>
  </si>
  <si>
    <t>Okafor</t>
  </si>
  <si>
    <t>Frederick Kwarteng</t>
  </si>
  <si>
    <t>Funmilayo Maryam</t>
  </si>
  <si>
    <t>Oseni</t>
  </si>
  <si>
    <t>Funmilola Aishat</t>
  </si>
  <si>
    <t>Bello-Taslim</t>
  </si>
  <si>
    <t>Fuzaila</t>
  </si>
  <si>
    <t>Saaka-Dumba</t>
  </si>
  <si>
    <t>Gabriel</t>
  </si>
  <si>
    <t>Ofovwe</t>
  </si>
  <si>
    <t>Gabriel Enema</t>
  </si>
  <si>
    <t>Paul</t>
  </si>
  <si>
    <t>Gabriel Olabiyi</t>
  </si>
  <si>
    <t>Ogun</t>
  </si>
  <si>
    <t>Gabriella Jessy</t>
  </si>
  <si>
    <t>Bedu-Addo</t>
  </si>
  <si>
    <t>George</t>
  </si>
  <si>
    <t>GEORGETTA</t>
  </si>
  <si>
    <t>ADEYIGA</t>
  </si>
  <si>
    <t>GESITARI</t>
  </si>
  <si>
    <t>DIRIYAI</t>
  </si>
  <si>
    <t>Gideon</t>
  </si>
  <si>
    <t>Assan</t>
  </si>
  <si>
    <t>Gideon Abaka</t>
  </si>
  <si>
    <t>Quagraine</t>
  </si>
  <si>
    <t>Godiya</t>
  </si>
  <si>
    <t>GODSLOVE AKHARAME</t>
  </si>
  <si>
    <t>KWEMEZI</t>
  </si>
  <si>
    <t>GODWIN</t>
  </si>
  <si>
    <t>IKEADUM</t>
  </si>
  <si>
    <t>Godwin</t>
  </si>
  <si>
    <t>Mark</t>
  </si>
  <si>
    <t>Godwin Adamba</t>
  </si>
  <si>
    <t>Ewu</t>
  </si>
  <si>
    <t>Grace</t>
  </si>
  <si>
    <t>Offo</t>
  </si>
  <si>
    <t>GRACE ADEBIMBE</t>
  </si>
  <si>
    <t>AKEREDOLU</t>
  </si>
  <si>
    <t>Grace Gyaga</t>
  </si>
  <si>
    <t>Kyunni</t>
  </si>
  <si>
    <t>HABIBA MUHAMMAD</t>
  </si>
  <si>
    <t>RABIU</t>
  </si>
  <si>
    <t>Habibat Olaitan</t>
  </si>
  <si>
    <t>Olarewaju</t>
  </si>
  <si>
    <t>Habibu A</t>
  </si>
  <si>
    <t>Galadanci</t>
  </si>
  <si>
    <t>Hadiza</t>
  </si>
  <si>
    <t>Tukur</t>
  </si>
  <si>
    <t>Hadiza Ali</t>
  </si>
  <si>
    <t>Hussaini</t>
  </si>
  <si>
    <t>HADIZA LAWAN</t>
  </si>
  <si>
    <t>Hafsat</t>
  </si>
  <si>
    <t>Jinjiri Dutse</t>
  </si>
  <si>
    <t>Hafsatu</t>
  </si>
  <si>
    <t>IBRAHIM</t>
  </si>
  <si>
    <t>Ciroma-Ibrahim</t>
  </si>
  <si>
    <t>Haja Abibatu</t>
  </si>
  <si>
    <t>Jalloh</t>
  </si>
  <si>
    <t>Haja Safiyatu</t>
  </si>
  <si>
    <t>Sovula</t>
  </si>
  <si>
    <t>Hajara Inna</t>
  </si>
  <si>
    <t>Futa</t>
  </si>
  <si>
    <t>Hakeem</t>
  </si>
  <si>
    <t xml:space="preserve">GBADAMOSI </t>
  </si>
  <si>
    <t>Halima</t>
  </si>
  <si>
    <t>HAMAMATU UMAR</t>
  </si>
  <si>
    <t>OSEZE</t>
  </si>
  <si>
    <t>harifarta</t>
  </si>
  <si>
    <t>difirwiti</t>
  </si>
  <si>
    <t>Harris</t>
  </si>
  <si>
    <t>Osei-Mensah</t>
  </si>
  <si>
    <t>HASSAN</t>
  </si>
  <si>
    <t>BUKA</t>
  </si>
  <si>
    <t>Hassan Abba</t>
  </si>
  <si>
    <t>Mohammed</t>
  </si>
  <si>
    <t>Hassan Farouk</t>
  </si>
  <si>
    <t>Hassan</t>
  </si>
  <si>
    <t>Hassan sunusi</t>
  </si>
  <si>
    <t>Ishaq</t>
  </si>
  <si>
    <t>Hauwa</t>
  </si>
  <si>
    <t>Abdullahi MUHAMMAD</t>
  </si>
  <si>
    <t>Nataala</t>
  </si>
  <si>
    <t>Hauwa Ali</t>
  </si>
  <si>
    <t>Toko</t>
  </si>
  <si>
    <t>Hauwa Ibrahim</t>
  </si>
  <si>
    <t>Milgoma</t>
  </si>
  <si>
    <t>Hauwa Sa'ad</t>
  </si>
  <si>
    <t>Baba</t>
  </si>
  <si>
    <t>Helena  Serwaa</t>
  </si>
  <si>
    <t>APPIAGYEI</t>
  </si>
  <si>
    <t>Henrietta Elolen</t>
  </si>
  <si>
    <t>Ugbeni</t>
  </si>
  <si>
    <t>Henry</t>
  </si>
  <si>
    <t>Carter</t>
  </si>
  <si>
    <t xml:space="preserve">Henry </t>
  </si>
  <si>
    <t>Lawson</t>
  </si>
  <si>
    <t>HENRY CHUKWUKA</t>
  </si>
  <si>
    <t>Okoroji</t>
  </si>
  <si>
    <t>Henry Tochukwu</t>
  </si>
  <si>
    <t>HILARY NOSA</t>
  </si>
  <si>
    <t xml:space="preserve">OKUNBOR </t>
  </si>
  <si>
    <t>Hilda Chinwe</t>
  </si>
  <si>
    <t>Afakwu-Adimoha</t>
  </si>
  <si>
    <t>HOPE OWHONDAA</t>
  </si>
  <si>
    <t>AVUNDAA.</t>
  </si>
  <si>
    <t>Hourouna</t>
  </si>
  <si>
    <t>Sow</t>
  </si>
  <si>
    <t>HUSSAINA MOHAMMED</t>
  </si>
  <si>
    <t>ADAM</t>
  </si>
  <si>
    <t>Ian</t>
  </si>
  <si>
    <t>Wachekwa</t>
  </si>
  <si>
    <t>Iberedem</t>
  </si>
  <si>
    <t>David Clinton</t>
  </si>
  <si>
    <t>Ibifiri Ibilanyeofori</t>
  </si>
  <si>
    <t>Hart-Omoaghe</t>
  </si>
  <si>
    <t>Ibinabo Franklin</t>
  </si>
  <si>
    <t>Gbelabo</t>
  </si>
  <si>
    <t>Ibinabo Promise</t>
  </si>
  <si>
    <t>Amachree</t>
  </si>
  <si>
    <t>Ibrahim Abdullahi</t>
  </si>
  <si>
    <t>Haladu</t>
  </si>
  <si>
    <t>Ibrahim Ali</t>
  </si>
  <si>
    <t>Dodo</t>
  </si>
  <si>
    <t>Ibrahim Banaru</t>
  </si>
  <si>
    <t>Ibuchukwu Nkeoyenasoya</t>
  </si>
  <si>
    <t>Orabueze</t>
  </si>
  <si>
    <t>Idowu</t>
  </si>
  <si>
    <t>Enock</t>
  </si>
  <si>
    <t>IDRIS SULEIMAN</t>
  </si>
  <si>
    <t>UMAR</t>
  </si>
  <si>
    <t>Ifeanyi</t>
  </si>
  <si>
    <t>Onyejiaka</t>
  </si>
  <si>
    <t>Ifeanyi Magnus</t>
  </si>
  <si>
    <t>Nwachukwu</t>
  </si>
  <si>
    <t>Ifedayo</t>
  </si>
  <si>
    <t>Ajayi</t>
  </si>
  <si>
    <t>IFEOLUWA ESTHER</t>
  </si>
  <si>
    <t xml:space="preserve">DANIEL </t>
  </si>
  <si>
    <t>IFEOMA</t>
  </si>
  <si>
    <t>EGBUONU.</t>
  </si>
  <si>
    <t>Ifeoma</t>
  </si>
  <si>
    <t>Ude</t>
  </si>
  <si>
    <t xml:space="preserve">Ifeoma </t>
  </si>
  <si>
    <t>Anochie</t>
  </si>
  <si>
    <t>IFEOMA CALISTA</t>
  </si>
  <si>
    <t>OGBU</t>
  </si>
  <si>
    <t>Ifeoma Claire</t>
  </si>
  <si>
    <t>Ibenegbu-okonkwo</t>
  </si>
  <si>
    <t>Ifeoma Miriam</t>
  </si>
  <si>
    <t>Edeh</t>
  </si>
  <si>
    <t>Ifeyinwa</t>
  </si>
  <si>
    <t>Nwankwo</t>
  </si>
  <si>
    <t>Ifunanya</t>
  </si>
  <si>
    <t>Tom-George</t>
  </si>
  <si>
    <t>IGBAPIKE EBIKON</t>
  </si>
  <si>
    <t>BROWN</t>
  </si>
  <si>
    <t>IGWENYI</t>
  </si>
  <si>
    <t>CHIKAODIRI.</t>
  </si>
  <si>
    <t>IJEOMA</t>
  </si>
  <si>
    <t>ONONIWU</t>
  </si>
  <si>
    <t>Ijeoma Christiana</t>
  </si>
  <si>
    <t>Agbara</t>
  </si>
  <si>
    <t>IJEOMA NGOZI .N.</t>
  </si>
  <si>
    <t>NWOKE</t>
  </si>
  <si>
    <t>Ike</t>
  </si>
  <si>
    <t>Kenechukwu</t>
  </si>
  <si>
    <t>Ikechukwu</t>
  </si>
  <si>
    <t>Orakwue</t>
  </si>
  <si>
    <t>Orji</t>
  </si>
  <si>
    <t>ILIYASU</t>
  </si>
  <si>
    <t>YUSUF</t>
  </si>
  <si>
    <t>Imaobong Maurice</t>
  </si>
  <si>
    <t>Imoh</t>
  </si>
  <si>
    <t>Archibong</t>
  </si>
  <si>
    <t>ISAAC</t>
  </si>
  <si>
    <t>IHINMIKAYE</t>
  </si>
  <si>
    <t>Isaac</t>
  </si>
  <si>
    <t>Kekulah</t>
  </si>
  <si>
    <t>Isaac Newton</t>
  </si>
  <si>
    <t>Omoregbe</t>
  </si>
  <si>
    <t>ISMAEL.</t>
  </si>
  <si>
    <t>AROGUNDADE</t>
  </si>
  <si>
    <t>Israel Ebubechukwu</t>
  </si>
  <si>
    <t>Okeke</t>
  </si>
  <si>
    <t>Ivan. F.</t>
  </si>
  <si>
    <t>Camanor</t>
  </si>
  <si>
    <t>Ivy</t>
  </si>
  <si>
    <t>Ekem</t>
  </si>
  <si>
    <t>Ivy Arikpi</t>
  </si>
  <si>
    <t>Omaagaba-Daniel</t>
  </si>
  <si>
    <t>Izuchukwu</t>
  </si>
  <si>
    <t>Obasi</t>
  </si>
  <si>
    <t>IZUU-UMEIKE AUGUSTINA .</t>
  </si>
  <si>
    <t>OGOCHUKWU</t>
  </si>
  <si>
    <t>James</t>
  </si>
  <si>
    <t>Onuh</t>
  </si>
  <si>
    <t>Jamila</t>
  </si>
  <si>
    <t>Bashir</t>
  </si>
  <si>
    <t>Jamilat</t>
  </si>
  <si>
    <t>Jamillah</t>
  </si>
  <si>
    <t>Okpatuma</t>
  </si>
  <si>
    <t>Janet</t>
  </si>
  <si>
    <t>Djangmah</t>
  </si>
  <si>
    <t>JEMILA YUNUSA</t>
  </si>
  <si>
    <t>SEKULA</t>
  </si>
  <si>
    <t>Jennifer Onyenweuwa</t>
  </si>
  <si>
    <t>Onuzulike</t>
  </si>
  <si>
    <t>Jeremiah</t>
  </si>
  <si>
    <t>iheonkhan</t>
  </si>
  <si>
    <t>Jeremiah Samuel</t>
  </si>
  <si>
    <t>Alli</t>
  </si>
  <si>
    <t>Jesutofunmi Ajibola</t>
  </si>
  <si>
    <t>AFOLABI</t>
  </si>
  <si>
    <t>JIBRIL</t>
  </si>
  <si>
    <t>ABUBAKAR.</t>
  </si>
  <si>
    <t>Jitendra</t>
  </si>
  <si>
    <t>Singh</t>
  </si>
  <si>
    <t>Joan</t>
  </si>
  <si>
    <t>Akande</t>
  </si>
  <si>
    <t>Joana Adiya</t>
  </si>
  <si>
    <t>Amankwa-Kyeremeh</t>
  </si>
  <si>
    <t>JOEL DJANGMA</t>
  </si>
  <si>
    <t>AKWETEY</t>
  </si>
  <si>
    <t>John Otsanya</t>
  </si>
  <si>
    <t>Orinya</t>
  </si>
  <si>
    <t>John Yaw</t>
  </si>
  <si>
    <t>Antwi</t>
  </si>
  <si>
    <t>JOHNNY  Chigozie</t>
  </si>
  <si>
    <t>EKEUDA</t>
  </si>
  <si>
    <t>Johnson</t>
  </si>
  <si>
    <t>Jonathan</t>
  </si>
  <si>
    <t>odiru</t>
  </si>
  <si>
    <t>JOSEPH</t>
  </si>
  <si>
    <t>AYINDE</t>
  </si>
  <si>
    <t>Joseph</t>
  </si>
  <si>
    <t>Awotwi</t>
  </si>
  <si>
    <t>AJANWENYI</t>
  </si>
  <si>
    <t>Golbador</t>
  </si>
  <si>
    <t>JOSEPH .</t>
  </si>
  <si>
    <t>KALU</t>
  </si>
  <si>
    <t>Joseph Awuah</t>
  </si>
  <si>
    <t>Menkah</t>
  </si>
  <si>
    <t>Joseph Onyilo</t>
  </si>
  <si>
    <t>Oche</t>
  </si>
  <si>
    <t>Josephine</t>
  </si>
  <si>
    <t>Josephine Eyaal Esereghi</t>
  </si>
  <si>
    <t>Sokolo</t>
  </si>
  <si>
    <t>Joshua Alexander</t>
  </si>
  <si>
    <t>Usuah</t>
  </si>
  <si>
    <t>Joy</t>
  </si>
  <si>
    <t>Oluwatunbi</t>
  </si>
  <si>
    <t>Joy Hyelni</t>
  </si>
  <si>
    <t>Zoakah</t>
  </si>
  <si>
    <t>Joy Ibanga</t>
  </si>
  <si>
    <t>Bulor-Anthony</t>
  </si>
  <si>
    <t>Joyce</t>
  </si>
  <si>
    <t>Bartekwa-Gwaikolo</t>
  </si>
  <si>
    <t>Jude Isha</t>
  </si>
  <si>
    <t>Yekpowudu</t>
  </si>
  <si>
    <t>Judith Uchenna</t>
  </si>
  <si>
    <t>Juliet</t>
  </si>
  <si>
    <t>Opoku</t>
  </si>
  <si>
    <t>Justice</t>
  </si>
  <si>
    <t>Igbiti</t>
  </si>
  <si>
    <t>Kalilu</t>
  </si>
  <si>
    <t>Jagne</t>
  </si>
  <si>
    <t>Kamal Abdulkareem</t>
  </si>
  <si>
    <t>Kamaldeen</t>
  </si>
  <si>
    <t>Abdulraheem</t>
  </si>
  <si>
    <t>KARAGBARA MICHAEL BARIYERE .</t>
  </si>
  <si>
    <t>MORRISON</t>
  </si>
  <si>
    <t>Karen</t>
  </si>
  <si>
    <t>Forrest</t>
  </si>
  <si>
    <t>Kayode Innocent</t>
  </si>
  <si>
    <t>Adesola</t>
  </si>
  <si>
    <t>Kelechi Chimezie</t>
  </si>
  <si>
    <t>Nwosu</t>
  </si>
  <si>
    <t>KELECHI Nwaeze</t>
  </si>
  <si>
    <t>IKONNE.</t>
  </si>
  <si>
    <t>Kenneth</t>
  </si>
  <si>
    <t>Onyeocha</t>
  </si>
  <si>
    <t>Keturah Amos</t>
  </si>
  <si>
    <t>Dikwal</t>
  </si>
  <si>
    <t xml:space="preserve">Kevwe Mercy </t>
  </si>
  <si>
    <t>Ota</t>
  </si>
  <si>
    <t xml:space="preserve">Khadija </t>
  </si>
  <si>
    <t>Mormoni</t>
  </si>
  <si>
    <t>Khadija Abba</t>
  </si>
  <si>
    <t>Abdulwali</t>
  </si>
  <si>
    <t>Khadija Adamu</t>
  </si>
  <si>
    <t>Abdurraheem</t>
  </si>
  <si>
    <t>Khalid Awotu</t>
  </si>
  <si>
    <t>Ari</t>
  </si>
  <si>
    <t>Kiran</t>
  </si>
  <si>
    <t>Ekochin</t>
  </si>
  <si>
    <t>Kodichimma</t>
  </si>
  <si>
    <t>Onwuka</t>
  </si>
  <si>
    <t>Kofi</t>
  </si>
  <si>
    <t>Abaidoo-Ayin</t>
  </si>
  <si>
    <t>Kofi Tekyi</t>
  </si>
  <si>
    <t>Asamoah</t>
  </si>
  <si>
    <t>KUNU</t>
  </si>
  <si>
    <t>Phillet</t>
  </si>
  <si>
    <t>kussiy</t>
  </si>
  <si>
    <t>kwaala</t>
  </si>
  <si>
    <t>Kuyet Keith</t>
  </si>
  <si>
    <t>Gwafan</t>
  </si>
  <si>
    <t>Kwadwo Faka</t>
  </si>
  <si>
    <t>Gyan</t>
  </si>
  <si>
    <t>KWAME</t>
  </si>
  <si>
    <t>AKOI</t>
  </si>
  <si>
    <t>KWASI BAAFUOR</t>
  </si>
  <si>
    <t>KYEI-OWUSU</t>
  </si>
  <si>
    <t>Kweku Bedu</t>
  </si>
  <si>
    <t>Tetteh</t>
  </si>
  <si>
    <t>Lalya Francis</t>
  </si>
  <si>
    <t>Honorat</t>
  </si>
  <si>
    <t>Lamin ES</t>
  </si>
  <si>
    <t>Jaiteh</t>
  </si>
  <si>
    <t>Lilian ifechukwude</t>
  </si>
  <si>
    <t>Ojiaku</t>
  </si>
  <si>
    <t>Linda A.</t>
  </si>
  <si>
    <t>Birch</t>
  </si>
  <si>
    <t>Lisa</t>
  </si>
  <si>
    <t>Orianwo</t>
  </si>
  <si>
    <t>LOVINA</t>
  </si>
  <si>
    <t>UDOH</t>
  </si>
  <si>
    <t>Lucy Chiugo</t>
  </si>
  <si>
    <t>Uwah</t>
  </si>
  <si>
    <t>Lyanne Dede Sika</t>
  </si>
  <si>
    <t>Boateng</t>
  </si>
  <si>
    <t>Maame Amankwaa</t>
  </si>
  <si>
    <t>Ofori-Asumadu</t>
  </si>
  <si>
    <t>Mabel Obiageli</t>
  </si>
  <si>
    <t>MACLEAN</t>
  </si>
  <si>
    <t>MADAKI J.K.</t>
  </si>
  <si>
    <t>ABOI.</t>
  </si>
  <si>
    <t>Magdaline Yaa Amoakoa</t>
  </si>
  <si>
    <t>Ansah</t>
  </si>
  <si>
    <t>Maldwyn</t>
  </si>
  <si>
    <t>MAMUS MIA</t>
  </si>
  <si>
    <t>OPUTTEH</t>
  </si>
  <si>
    <t>Mansur</t>
  </si>
  <si>
    <t>Abdullahi Maikano</t>
  </si>
  <si>
    <t>Mariam</t>
  </si>
  <si>
    <t>Galadima</t>
  </si>
  <si>
    <t>Jaw</t>
  </si>
  <si>
    <t>Mariama A</t>
  </si>
  <si>
    <t>Jallow</t>
  </si>
  <si>
    <t>Mariama Posseh</t>
  </si>
  <si>
    <t>Turay</t>
  </si>
  <si>
    <t>Marian</t>
  </si>
  <si>
    <t>Opoku-Agyakwa</t>
  </si>
  <si>
    <t xml:space="preserve">Marie Louise </t>
  </si>
  <si>
    <t>Gomez</t>
  </si>
  <si>
    <t>Marilyn Ete</t>
  </si>
  <si>
    <t>Dafeta</t>
  </si>
  <si>
    <t>MARIYA MUKHTAR</t>
  </si>
  <si>
    <t>YOLA.</t>
  </si>
  <si>
    <t>MARTHA</t>
  </si>
  <si>
    <t>AGBEDO.</t>
  </si>
  <si>
    <t>Maryam</t>
  </si>
  <si>
    <t>MARYAM</t>
  </si>
  <si>
    <t>ALHASSAN.</t>
  </si>
  <si>
    <t>MARYROSE PEJI.</t>
  </si>
  <si>
    <t>NKECHI</t>
  </si>
  <si>
    <t>MASHKURAH</t>
  </si>
  <si>
    <t>ABDULHAMID.</t>
  </si>
  <si>
    <t>Matilda Koryoe</t>
  </si>
  <si>
    <t>Amissah</t>
  </si>
  <si>
    <t>Mauda</t>
  </si>
  <si>
    <t>Adum-Atta</t>
  </si>
  <si>
    <t>Mawufemor Afi</t>
  </si>
  <si>
    <t>Bekui</t>
  </si>
  <si>
    <t>Mayflower Osayimobor</t>
  </si>
  <si>
    <t>Oziegbe</t>
  </si>
  <si>
    <t>Mayowa Mary</t>
  </si>
  <si>
    <t>Adetoye</t>
  </si>
  <si>
    <t>Mbadiwe</t>
  </si>
  <si>
    <t>Nkeiruka</t>
  </si>
  <si>
    <t>MCEDWARDS CHUKWUDI</t>
  </si>
  <si>
    <t>NWORIE</t>
  </si>
  <si>
    <t>MEDINA BOLA</t>
  </si>
  <si>
    <t>ZUBAIR</t>
  </si>
  <si>
    <t>Mehana Oluwatosin</t>
  </si>
  <si>
    <t>Braimah</t>
  </si>
  <si>
    <t>Melanie Ngozi</t>
  </si>
  <si>
    <t>Nwabueze</t>
  </si>
  <si>
    <t>Melvina C</t>
  </si>
  <si>
    <t>Thompson</t>
  </si>
  <si>
    <t>MGBOAWAJIOGAK</t>
  </si>
  <si>
    <t>ABUBOR</t>
  </si>
  <si>
    <t>Michael</t>
  </si>
  <si>
    <t>MICHAEL JOSEPH</t>
  </si>
  <si>
    <t>KOROMA</t>
  </si>
  <si>
    <t>Michael Sunday</t>
  </si>
  <si>
    <t>Michael Tanu</t>
  </si>
  <si>
    <t>Brima</t>
  </si>
  <si>
    <t>Michelle</t>
  </si>
  <si>
    <t>Gyasi</t>
  </si>
  <si>
    <t>Mine Rachael</t>
  </si>
  <si>
    <t>JOHNSON</t>
  </si>
  <si>
    <t>Minka Cornelia</t>
  </si>
  <si>
    <t>Ndifon</t>
  </si>
  <si>
    <t>Mobolaji Adebisi</t>
  </si>
  <si>
    <t>AGUNBIADE-0LU</t>
  </si>
  <si>
    <t>Moboluwape</t>
  </si>
  <si>
    <t>Ojekunle</t>
  </si>
  <si>
    <t>Modestus</t>
  </si>
  <si>
    <t>Atueyi</t>
  </si>
  <si>
    <t>Modou</t>
  </si>
  <si>
    <t>Jobe</t>
  </si>
  <si>
    <t>MODUPE OMOWUNMI</t>
  </si>
  <si>
    <t>EGUNJOBI</t>
  </si>
  <si>
    <t>Mohamed</t>
  </si>
  <si>
    <t>Smith</t>
  </si>
  <si>
    <t>Mohammadou Kabir</t>
  </si>
  <si>
    <t>Cham</t>
  </si>
  <si>
    <t>Mohammed Kudus</t>
  </si>
  <si>
    <t>Moro</t>
  </si>
  <si>
    <t>Momodou Lamin</t>
  </si>
  <si>
    <t>Jobarteh</t>
  </si>
  <si>
    <t>Momodu</t>
  </si>
  <si>
    <t>Sesay</t>
  </si>
  <si>
    <t>Mona</t>
  </si>
  <si>
    <t>Torto</t>
  </si>
  <si>
    <t>Monday Jacob</t>
  </si>
  <si>
    <t>ZACCHEAUS</t>
  </si>
  <si>
    <t>Mordecai Mawuli</t>
  </si>
  <si>
    <t>Morufat Titilope</t>
  </si>
  <si>
    <t>Moses K.</t>
  </si>
  <si>
    <t>Jeuronlon</t>
  </si>
  <si>
    <t>Moses Ofosu</t>
  </si>
  <si>
    <t>Motunrayo Alolade</t>
  </si>
  <si>
    <t>Ibiloye</t>
  </si>
  <si>
    <t>Moyosoluwa Okikijesu</t>
  </si>
  <si>
    <t>Omokanye</t>
  </si>
  <si>
    <t>Msoo Immanuel</t>
  </si>
  <si>
    <t>Bitto</t>
  </si>
  <si>
    <t>Ibrahim Jalo</t>
  </si>
  <si>
    <t>Muhammad Awwal</t>
  </si>
  <si>
    <t>MUHAMMAD SHAMSUDDEEN</t>
  </si>
  <si>
    <t>Muhammad Tahir</t>
  </si>
  <si>
    <t>Muhammed-Jamiu Adinoyi</t>
  </si>
  <si>
    <t>Yusuf</t>
  </si>
  <si>
    <t>MUHYIDEEN Alhassan</t>
  </si>
  <si>
    <t>BASHIR</t>
  </si>
  <si>
    <t>MUIDEEN</t>
  </si>
  <si>
    <t>OGUNYODE</t>
  </si>
  <si>
    <t>Mukhtar</t>
  </si>
  <si>
    <t>Mahmud</t>
  </si>
  <si>
    <t>Murjanatu Gulma</t>
  </si>
  <si>
    <t>MUSA</t>
  </si>
  <si>
    <t>JIBRIL.</t>
  </si>
  <si>
    <t>Musa</t>
  </si>
  <si>
    <t>MUSA .</t>
  </si>
  <si>
    <t>DANKYAU</t>
  </si>
  <si>
    <t>Musa Karaji</t>
  </si>
  <si>
    <t>Modu</t>
  </si>
  <si>
    <t>Musa Salieu</t>
  </si>
  <si>
    <t>Kamara</t>
  </si>
  <si>
    <t>Musbau Olanrewaju</t>
  </si>
  <si>
    <t>Olawale</t>
  </si>
  <si>
    <t>Komrabai Kanu</t>
  </si>
  <si>
    <t>Musu J.</t>
  </si>
  <si>
    <t>Duworko</t>
  </si>
  <si>
    <t>Mutiu</t>
  </si>
  <si>
    <t>Kareem</t>
  </si>
  <si>
    <t>Naa Larteley</t>
  </si>
  <si>
    <t>Quarcoo</t>
  </si>
  <si>
    <t>Nadiya</t>
  </si>
  <si>
    <t>Abba Mahmud</t>
  </si>
  <si>
    <t>Nafisat Eniola</t>
  </si>
  <si>
    <t>Abdulfatai-Adedeji</t>
  </si>
  <si>
    <t>Nafisatu</t>
  </si>
  <si>
    <t>Mamoon</t>
  </si>
  <si>
    <t>Nana Ama</t>
  </si>
  <si>
    <t>Agyemang</t>
  </si>
  <si>
    <t>Nana Yaa Saka</t>
  </si>
  <si>
    <t>Dwomoh</t>
  </si>
  <si>
    <t>Nanribet Bridget</t>
  </si>
  <si>
    <t>Dakwom</t>
  </si>
  <si>
    <t>Naomi Bulum</t>
  </si>
  <si>
    <t>Fali</t>
  </si>
  <si>
    <t>Ndidiamaka Mabel</t>
  </si>
  <si>
    <t>NELLY CHIGOZIE</t>
  </si>
  <si>
    <t>OSAKWE</t>
  </si>
  <si>
    <t>Nemile Mike</t>
  </si>
  <si>
    <t>Idenyi</t>
  </si>
  <si>
    <t>NENTAWE</t>
  </si>
  <si>
    <t>GONTOR.</t>
  </si>
  <si>
    <t>Ngozi</t>
  </si>
  <si>
    <t>Mmamelu</t>
  </si>
  <si>
    <t>Ngozika Blessing</t>
  </si>
  <si>
    <t>Nicholas Chukwunweike</t>
  </si>
  <si>
    <t>Otonoh</t>
  </si>
  <si>
    <t>Nicole</t>
  </si>
  <si>
    <t>Cooper</t>
  </si>
  <si>
    <t>NIMARKO ANTWI</t>
  </si>
  <si>
    <t xml:space="preserve"> KWAME</t>
  </si>
  <si>
    <t>Niyi isaiah</t>
  </si>
  <si>
    <t>Oyetunji</t>
  </si>
  <si>
    <t>Nkechi</t>
  </si>
  <si>
    <t>NWODO Okezie</t>
  </si>
  <si>
    <t>Nkechi Appolonia</t>
  </si>
  <si>
    <t>Ijezie</t>
  </si>
  <si>
    <t>Nkechi Mary Rose</t>
  </si>
  <si>
    <t>Peji</t>
  </si>
  <si>
    <t>Nkechinyere</t>
  </si>
  <si>
    <t xml:space="preserve">Nkechinyere Anulika </t>
  </si>
  <si>
    <t>CHUKWUMOBI</t>
  </si>
  <si>
    <t>NKEMJIKA Leslie</t>
  </si>
  <si>
    <t>UDO-INYANG</t>
  </si>
  <si>
    <t>NKIRUKA</t>
  </si>
  <si>
    <t>AHIAKWO</t>
  </si>
  <si>
    <t>Nkiruka Eucharia</t>
  </si>
  <si>
    <t>Nwagbara</t>
  </si>
  <si>
    <t>NNAJI CHIZIMAKO</t>
  </si>
  <si>
    <t>TOCHUKWU.</t>
  </si>
  <si>
    <t>Nnamdi Lucky</t>
  </si>
  <si>
    <t>Nneka</t>
  </si>
  <si>
    <t>Udora</t>
  </si>
  <si>
    <t>Nneka Teresa</t>
  </si>
  <si>
    <t>Onelum</t>
  </si>
  <si>
    <t>NNENNA</t>
  </si>
  <si>
    <t>OKAFOR</t>
  </si>
  <si>
    <t>Nonye</t>
  </si>
  <si>
    <t>Ezeonyejiaku</t>
  </si>
  <si>
    <t>Nuhu</t>
  </si>
  <si>
    <t>Nura</t>
  </si>
  <si>
    <t>Nurat Adejoke</t>
  </si>
  <si>
    <t>Nurudeen</t>
  </si>
  <si>
    <t>Gbadamosi</t>
  </si>
  <si>
    <t>NWABUEZE UCHECHUKWU</t>
  </si>
  <si>
    <t>FRANCA.</t>
  </si>
  <si>
    <t>NYAMALI VERONICA</t>
  </si>
  <si>
    <t>Oluyemesi</t>
  </si>
  <si>
    <t>Obed</t>
  </si>
  <si>
    <t>Bamfo</t>
  </si>
  <si>
    <t>OBIOMA C .</t>
  </si>
  <si>
    <t>UCHENDU</t>
  </si>
  <si>
    <t>Odell Wannie</t>
  </si>
  <si>
    <t>Kumeh</t>
  </si>
  <si>
    <t>OGECHI</t>
  </si>
  <si>
    <t>EZERIOHA</t>
  </si>
  <si>
    <t>OGECHI MARYANN</t>
  </si>
  <si>
    <t xml:space="preserve">NWEZE </t>
  </si>
  <si>
    <t>Ogechukwu Andrea</t>
  </si>
  <si>
    <t>Ezeike</t>
  </si>
  <si>
    <t>Ogechukwu Nonyelum</t>
  </si>
  <si>
    <t>Ozugha</t>
  </si>
  <si>
    <t>Ogochukwu</t>
  </si>
  <si>
    <t>Ogochukwu Comfort</t>
  </si>
  <si>
    <t>Ejesieme</t>
  </si>
  <si>
    <t>OJEKUNLE</t>
  </si>
  <si>
    <t>MD.</t>
  </si>
  <si>
    <t>Ojeme Abimbola</t>
  </si>
  <si>
    <t>Itoandon</t>
  </si>
  <si>
    <t>Ojuolape Olajoju</t>
  </si>
  <si>
    <t>Okedara</t>
  </si>
  <si>
    <t>OKECHUKWU</t>
  </si>
  <si>
    <t>EGBUKA</t>
  </si>
  <si>
    <t>Okechukwu Okocha</t>
  </si>
  <si>
    <t>Ukpabi</t>
  </si>
  <si>
    <t>Okocha Patricia</t>
  </si>
  <si>
    <t>Gagman</t>
  </si>
  <si>
    <t>Okoye</t>
  </si>
  <si>
    <t>Clement Chinedu</t>
  </si>
  <si>
    <t>Olagbegi</t>
  </si>
  <si>
    <t>Oladele</t>
  </si>
  <si>
    <t>OLAIDE</t>
  </si>
  <si>
    <t>OYETUNDE</t>
  </si>
  <si>
    <t>OLAJUMOKE .</t>
  </si>
  <si>
    <t>ADEBAYO</t>
  </si>
  <si>
    <t>OLAJUMOKE OLUBUSAYO</t>
  </si>
  <si>
    <t>OJIMI</t>
  </si>
  <si>
    <t>Olakunle Francis</t>
  </si>
  <si>
    <t>Faniran</t>
  </si>
  <si>
    <t>OLALEKAN Adewale</t>
  </si>
  <si>
    <t>ADESOKAN</t>
  </si>
  <si>
    <t>Olamide Abiodun</t>
  </si>
  <si>
    <t>Ogunyemi</t>
  </si>
  <si>
    <t>Olanike Rachael</t>
  </si>
  <si>
    <t>OLANIRAN</t>
  </si>
  <si>
    <t>GRACE OLORUNTOBI</t>
  </si>
  <si>
    <t>Olanrewaju</t>
  </si>
  <si>
    <t>Adeigbe</t>
  </si>
  <si>
    <t>Olatunde Oluwafeyisayo</t>
  </si>
  <si>
    <t>Samo</t>
  </si>
  <si>
    <t>Olawande</t>
  </si>
  <si>
    <t>Adeniran</t>
  </si>
  <si>
    <t>Olayinka</t>
  </si>
  <si>
    <t>Olayinka Israel</t>
  </si>
  <si>
    <t>Fodeke</t>
  </si>
  <si>
    <t>Olivia</t>
  </si>
  <si>
    <t>Ashefor</t>
  </si>
  <si>
    <t>Olohita Diane</t>
  </si>
  <si>
    <t>Azeke</t>
  </si>
  <si>
    <t>Ololade Vivian</t>
  </si>
  <si>
    <t>Akanni</t>
  </si>
  <si>
    <t>OLUBUKOLA Oreoluwa</t>
  </si>
  <si>
    <t>RANSOME-KUTI</t>
  </si>
  <si>
    <t>Olubunmi Abiola</t>
  </si>
  <si>
    <t>Olubiyi</t>
  </si>
  <si>
    <t>OLUBUSOLA CAROLINE</t>
  </si>
  <si>
    <t>OLUKOJU</t>
  </si>
  <si>
    <t>OLUDELE SOLOMON</t>
  </si>
  <si>
    <t>OYEWUSI</t>
  </si>
  <si>
    <t>OLUDOLAPO Olubusayo</t>
  </si>
  <si>
    <t>MAKANJUOLA</t>
  </si>
  <si>
    <t xml:space="preserve">Olufemi </t>
  </si>
  <si>
    <t>Olufemi Akindele</t>
  </si>
  <si>
    <t>Olujitan</t>
  </si>
  <si>
    <t xml:space="preserve">Olufemi Kolawole </t>
  </si>
  <si>
    <t>Oguntoye</t>
  </si>
  <si>
    <t>OLUFEMI WILLIAMS.</t>
  </si>
  <si>
    <t xml:space="preserve">ARINDE </t>
  </si>
  <si>
    <t>OLUFUNKE AFOLASADE .</t>
  </si>
  <si>
    <t>OGUNNAIKE</t>
  </si>
  <si>
    <t>Olufunke Folaranmi</t>
  </si>
  <si>
    <t>Adedokun</t>
  </si>
  <si>
    <t>Olufunmilola</t>
  </si>
  <si>
    <t>Ayodeji</t>
  </si>
  <si>
    <t>OLUGBEMIGA .</t>
  </si>
  <si>
    <t>ABODUNRIN</t>
  </si>
  <si>
    <t>Olukemi Christianah</t>
  </si>
  <si>
    <t>Ilori</t>
  </si>
  <si>
    <t>Olukemi Titilope</t>
  </si>
  <si>
    <t>Olugbade</t>
  </si>
  <si>
    <t>OLUOMACHI CHARITY</t>
  </si>
  <si>
    <t>NNACHI</t>
  </si>
  <si>
    <t>OLUSEYE James</t>
  </si>
  <si>
    <t>SOBANDE</t>
  </si>
  <si>
    <t>OLUSHOLA GLORY.</t>
  </si>
  <si>
    <t>BAOKU</t>
  </si>
  <si>
    <t>Olusina</t>
  </si>
  <si>
    <t>Ajidahun</t>
  </si>
  <si>
    <t>Olusola Omotayo</t>
  </si>
  <si>
    <t>Adebisi</t>
  </si>
  <si>
    <t>Olutimilehin Chinwendu</t>
  </si>
  <si>
    <t>BABALOLA</t>
  </si>
  <si>
    <t>Olutope Grace</t>
  </si>
  <si>
    <t>Bajomo</t>
  </si>
  <si>
    <t>Oluwabunmi</t>
  </si>
  <si>
    <t>Tokun</t>
  </si>
  <si>
    <t>Oluwafemi Joachim</t>
  </si>
  <si>
    <t>Oluwafemi Julianah</t>
  </si>
  <si>
    <t>Oyedeji</t>
  </si>
  <si>
    <t>OLUWAFEMI Oreluwa</t>
  </si>
  <si>
    <t>OLOWOSELU</t>
  </si>
  <si>
    <t>Oluwakemi Abisola</t>
  </si>
  <si>
    <t>Femi-Oke</t>
  </si>
  <si>
    <t>Oluwakemi Tamuno-Opubo</t>
  </si>
  <si>
    <t>Oluwayemisi</t>
  </si>
  <si>
    <t>Olushola-Aina</t>
  </si>
  <si>
    <t xml:space="preserve">Omale </t>
  </si>
  <si>
    <t>OMILA</t>
  </si>
  <si>
    <t>AWORABHI-ALAGOA</t>
  </si>
  <si>
    <t xml:space="preserve">OMIWERE-ETE GEORGE </t>
  </si>
  <si>
    <t>BOYO.</t>
  </si>
  <si>
    <t>OMOBOLANLE</t>
  </si>
  <si>
    <t>OLADOJA</t>
  </si>
  <si>
    <t>Omodele Mobolanle</t>
  </si>
  <si>
    <t>Omokorede</t>
  </si>
  <si>
    <t>Ademowo-Olusanya</t>
  </si>
  <si>
    <t>OMOLADE Olubusola</t>
  </si>
  <si>
    <t>KOYA</t>
  </si>
  <si>
    <t>Omope</t>
  </si>
  <si>
    <t>Adebanjo</t>
  </si>
  <si>
    <t>Omotolani</t>
  </si>
  <si>
    <t>Akintunde</t>
  </si>
  <si>
    <t>Omoye Winifred</t>
  </si>
  <si>
    <t>Usifo</t>
  </si>
  <si>
    <t>Omozele</t>
  </si>
  <si>
    <t>Uwadia</t>
  </si>
  <si>
    <t>Ono Joyce</t>
  </si>
  <si>
    <t>Inoni</t>
  </si>
  <si>
    <t>Onu</t>
  </si>
  <si>
    <t>Ayegba</t>
  </si>
  <si>
    <t>ONUZULIKE .</t>
  </si>
  <si>
    <t>JENNIFER</t>
  </si>
  <si>
    <t>Onyalewa  Faith</t>
  </si>
  <si>
    <t>Agbaji</t>
  </si>
  <si>
    <t>Onyeche Gift</t>
  </si>
  <si>
    <t>Onyinyechi</t>
  </si>
  <si>
    <t>ONYEKACHI MICHAEL</t>
  </si>
  <si>
    <t>UGWA</t>
  </si>
  <si>
    <t>Onyeunoneme</t>
  </si>
  <si>
    <t>Odiari</t>
  </si>
  <si>
    <t>ONYI Helen</t>
  </si>
  <si>
    <t>UTAJI</t>
  </si>
  <si>
    <t>Onyinye Chinenye</t>
  </si>
  <si>
    <t>Nwazor</t>
  </si>
  <si>
    <t>Onyinye Olive</t>
  </si>
  <si>
    <t>Egwim</t>
  </si>
  <si>
    <t>Onyinye Vivian</t>
  </si>
  <si>
    <t>Okonkwo</t>
  </si>
  <si>
    <t>Onyinyechi Vivian</t>
  </si>
  <si>
    <t>Jiakponna</t>
  </si>
  <si>
    <t>Opeyemi</t>
  </si>
  <si>
    <t>Abioye</t>
  </si>
  <si>
    <t xml:space="preserve">OPEYEMI BAMITALE </t>
  </si>
  <si>
    <t>WATTI</t>
  </si>
  <si>
    <t>OPEYEMI Folasade</t>
  </si>
  <si>
    <t>OPELAMI-AYODEJI</t>
  </si>
  <si>
    <t>OPEYEMI Olukemi</t>
  </si>
  <si>
    <t>OSHINOWO</t>
  </si>
  <si>
    <t>Opeyemi Omolade</t>
  </si>
  <si>
    <t>Akinmadelo</t>
  </si>
  <si>
    <t>ORJI SAMUEL</t>
  </si>
  <si>
    <t>FIRDAY.</t>
  </si>
  <si>
    <t>Osagie  Gift</t>
  </si>
  <si>
    <t>Ekienabor</t>
  </si>
  <si>
    <t>OSARETIN SANDRA</t>
  </si>
  <si>
    <t>IRABOR.</t>
  </si>
  <si>
    <t>Oseloka Ndubuisi</t>
  </si>
  <si>
    <t>Umeweni</t>
  </si>
  <si>
    <t>OTEJIRO</t>
  </si>
  <si>
    <t>URHIE</t>
  </si>
  <si>
    <t>otoobong</t>
  </si>
  <si>
    <t>essien</t>
  </si>
  <si>
    <t>Ousman</t>
  </si>
  <si>
    <t>Leigh</t>
  </si>
  <si>
    <t>Oyeyemi</t>
  </si>
  <si>
    <t>Oyinade Oluseye</t>
  </si>
  <si>
    <t>Bolujoko</t>
  </si>
  <si>
    <t>OYINLOLA</t>
  </si>
  <si>
    <t>MOGBA</t>
  </si>
  <si>
    <t>OYOVWI</t>
  </si>
  <si>
    <t>OTOH</t>
  </si>
  <si>
    <t>Pamoere</t>
  </si>
  <si>
    <t>Suowari</t>
  </si>
  <si>
    <t>Patience Aizehi</t>
  </si>
  <si>
    <t>Eruzegbua</t>
  </si>
  <si>
    <t>Patience Delali</t>
  </si>
  <si>
    <t>Awittor</t>
  </si>
  <si>
    <t>Patience Ngmintieru</t>
  </si>
  <si>
    <t>Bacho</t>
  </si>
  <si>
    <t>Patricia</t>
  </si>
  <si>
    <t>Afrim</t>
  </si>
  <si>
    <t>PATRICIA OMADA</t>
  </si>
  <si>
    <t>IGOCHE</t>
  </si>
  <si>
    <t>Patrick</t>
  </si>
  <si>
    <t>Bediako</t>
  </si>
  <si>
    <t>PAUL</t>
  </si>
  <si>
    <t>EMMANUEL.</t>
  </si>
  <si>
    <t xml:space="preserve">Paul </t>
  </si>
  <si>
    <t>Guilledana</t>
  </si>
  <si>
    <t>Pearl Ayerbea</t>
  </si>
  <si>
    <t>Perebodo</t>
  </si>
  <si>
    <t>Ogigbah</t>
  </si>
  <si>
    <t>PERE-ERE EDNA</t>
  </si>
  <si>
    <t>MIKE-LOYIBO</t>
  </si>
  <si>
    <t xml:space="preserve">Perpetua </t>
  </si>
  <si>
    <t xml:space="preserve">PETER AONDOFA </t>
  </si>
  <si>
    <t>IKYOH.</t>
  </si>
  <si>
    <t>Peter Chienye</t>
  </si>
  <si>
    <t>Ekwueme</t>
  </si>
  <si>
    <t>PETER Oluwasegun</t>
  </si>
  <si>
    <t>ODUNUYI</t>
  </si>
  <si>
    <t>Peter Twinschrison</t>
  </si>
  <si>
    <t>Mendy</t>
  </si>
  <si>
    <t>Phil</t>
  </si>
  <si>
    <t>Dowuona</t>
  </si>
  <si>
    <t xml:space="preserve">Phil Emil Okwei </t>
  </si>
  <si>
    <t>Philderald</t>
  </si>
  <si>
    <t>Pratt</t>
  </si>
  <si>
    <t>Philip Z.</t>
  </si>
  <si>
    <t>Ireland</t>
  </si>
  <si>
    <t>Phyllis</t>
  </si>
  <si>
    <t>Engmann</t>
  </si>
  <si>
    <t>PRECIOUS</t>
  </si>
  <si>
    <t>UDUASOBOR</t>
  </si>
  <si>
    <t>Precious Akuoma</t>
  </si>
  <si>
    <t>Onyemarin-Henry</t>
  </si>
  <si>
    <t>Prince</t>
  </si>
  <si>
    <t>Ofudu</t>
  </si>
  <si>
    <t>Prince Henry</t>
  </si>
  <si>
    <t>Princess Kathryn</t>
  </si>
  <si>
    <t>Mensah</t>
  </si>
  <si>
    <t>Priscilla Abrafi</t>
  </si>
  <si>
    <t>Opare-Addo</t>
  </si>
  <si>
    <t>Rabi</t>
  </si>
  <si>
    <t>Rachael Nguveren</t>
  </si>
  <si>
    <t>Anenga</t>
  </si>
  <si>
    <t>Rahmah Abubakar</t>
  </si>
  <si>
    <t>Gimba</t>
  </si>
  <si>
    <t>Ralph</t>
  </si>
  <si>
    <t>Ramou</t>
  </si>
  <si>
    <t>Njie</t>
  </si>
  <si>
    <t>Rasheed Oyejide</t>
  </si>
  <si>
    <t>Oyebola</t>
  </si>
  <si>
    <t>Readon C.</t>
  </si>
  <si>
    <t>Ideh</t>
  </si>
  <si>
    <t>Reginald O</t>
  </si>
  <si>
    <t>Obiako</t>
  </si>
  <si>
    <t>REXFORD</t>
  </si>
  <si>
    <t>GYAMFI</t>
  </si>
  <si>
    <t>Rhoda-Dara</t>
  </si>
  <si>
    <t>Ephraim</t>
  </si>
  <si>
    <t>Richard</t>
  </si>
  <si>
    <t>Dei-Asamoa</t>
  </si>
  <si>
    <t>RICHARDOM  GOGO</t>
  </si>
  <si>
    <t>QUARM</t>
  </si>
  <si>
    <t>Rifkatu</t>
  </si>
  <si>
    <t>Rilwanu Tambuwal</t>
  </si>
  <si>
    <t>Rita</t>
  </si>
  <si>
    <t>Tamambang</t>
  </si>
  <si>
    <t>RITA Emujohweruo</t>
  </si>
  <si>
    <t>EFETOBOR</t>
  </si>
  <si>
    <t>Rita Larkoh</t>
  </si>
  <si>
    <t>Affo</t>
  </si>
  <si>
    <t>ROBERT</t>
  </si>
  <si>
    <t>ASSUAH</t>
  </si>
  <si>
    <t>ROBERT BEN NII</t>
  </si>
  <si>
    <t>LOMOTEY.</t>
  </si>
  <si>
    <t xml:space="preserve">Rofiat Ajoke </t>
  </si>
  <si>
    <t>Muibi</t>
  </si>
  <si>
    <t>Roli</t>
  </si>
  <si>
    <t>Ajuyah</t>
  </si>
  <si>
    <t>Ronita</t>
  </si>
  <si>
    <t>Luke</t>
  </si>
  <si>
    <t>Rose Jallah</t>
  </si>
  <si>
    <t>Macauley</t>
  </si>
  <si>
    <t>Rose Okwunu</t>
  </si>
  <si>
    <t>Abah</t>
  </si>
  <si>
    <t>Roseda E.</t>
  </si>
  <si>
    <t>Marshall</t>
  </si>
  <si>
    <t>ROSINA</t>
  </si>
  <si>
    <t>NJOKU</t>
  </si>
  <si>
    <t>Sa'adatu Abdulrahman</t>
  </si>
  <si>
    <t>Sambo</t>
  </si>
  <si>
    <t>Sadiya</t>
  </si>
  <si>
    <t>Saeed Habib</t>
  </si>
  <si>
    <t>Abdulkadir</t>
  </si>
  <si>
    <t>Saeed</t>
  </si>
  <si>
    <t>Jibreel</t>
  </si>
  <si>
    <t>Safiyanu</t>
  </si>
  <si>
    <t>Babayo</t>
  </si>
  <si>
    <t>Saheed Adekola</t>
  </si>
  <si>
    <t>Ayantola</t>
  </si>
  <si>
    <t>Gevao</t>
  </si>
  <si>
    <t>Sahr Linus</t>
  </si>
  <si>
    <t>Gborie</t>
  </si>
  <si>
    <t>Sakinatu Jama</t>
  </si>
  <si>
    <t>Umaru</t>
  </si>
  <si>
    <t>Salamatu Atine</t>
  </si>
  <si>
    <t>Saleh Abubakar</t>
  </si>
  <si>
    <t>Salihu</t>
  </si>
  <si>
    <t>Joji</t>
  </si>
  <si>
    <t>Salim Yusuf</t>
  </si>
  <si>
    <t>Salome Dede Boadjor</t>
  </si>
  <si>
    <t>Ababio</t>
  </si>
  <si>
    <t>Salomey</t>
  </si>
  <si>
    <t>Obah-Duku</t>
  </si>
  <si>
    <t>Samaila Modupeola</t>
  </si>
  <si>
    <t>Omotara</t>
  </si>
  <si>
    <t>Sammy</t>
  </si>
  <si>
    <t>Ohene</t>
  </si>
  <si>
    <t>Samson</t>
  </si>
  <si>
    <t>Madaki</t>
  </si>
  <si>
    <t>Samson Aiwobeuke</t>
  </si>
  <si>
    <t>Oshomoh</t>
  </si>
  <si>
    <t>Samuel</t>
  </si>
  <si>
    <t>Pie</t>
  </si>
  <si>
    <t>SAMUEL Demedonghan</t>
  </si>
  <si>
    <t>OGORI</t>
  </si>
  <si>
    <t>Sandra Chikazor</t>
  </si>
  <si>
    <t>Nnorom</t>
  </si>
  <si>
    <t>Sani</t>
  </si>
  <si>
    <t>Abdulkareem</t>
  </si>
  <si>
    <t>SARA LOETZ UND .</t>
  </si>
  <si>
    <t>DANIEL</t>
  </si>
  <si>
    <t>Sartie</t>
  </si>
  <si>
    <t>Kenneh</t>
  </si>
  <si>
    <t>Schola</t>
  </si>
  <si>
    <t>Longpoe</t>
  </si>
  <si>
    <t>Seth</t>
  </si>
  <si>
    <t>Kyei - Fram</t>
  </si>
  <si>
    <t>Seyi</t>
  </si>
  <si>
    <t>Apanisile</t>
  </si>
  <si>
    <t>Shafiq</t>
  </si>
  <si>
    <t>Seyoji</t>
  </si>
  <si>
    <t>SHAMSUDDINI  ABDULSALAM .</t>
  </si>
  <si>
    <t>INUWA</t>
  </si>
  <si>
    <t>SHAMSUDEEN .</t>
  </si>
  <si>
    <t>Sharon Ekua</t>
  </si>
  <si>
    <t>Buabin-Otchere</t>
  </si>
  <si>
    <t>Sharron</t>
  </si>
  <si>
    <t>Makafui Aglobitse</t>
  </si>
  <si>
    <t>Shehu Ahmed</t>
  </si>
  <si>
    <t>HALIDU</t>
  </si>
  <si>
    <t>Sheikh</t>
  </si>
  <si>
    <t>Joof</t>
  </si>
  <si>
    <t>Sheikh Omar</t>
  </si>
  <si>
    <t>Bittaye</t>
  </si>
  <si>
    <t>Sheila</t>
  </si>
  <si>
    <t>APPIAH-PIPPIM</t>
  </si>
  <si>
    <t>Sheila Mary Ojor</t>
  </si>
  <si>
    <t>Ileli</t>
  </si>
  <si>
    <t>Shelley Odegua</t>
  </si>
  <si>
    <t>Ikemefuna</t>
  </si>
  <si>
    <t>Sherif Oladapo</t>
  </si>
  <si>
    <t>Olaniyi</t>
  </si>
  <si>
    <t>SIKIRAT Abosede</t>
  </si>
  <si>
    <t>SHITTU</t>
  </si>
  <si>
    <t>Augustine</t>
  </si>
  <si>
    <t>Sodangi</t>
  </si>
  <si>
    <t>Yahya Salisu</t>
  </si>
  <si>
    <t xml:space="preserve">Sohna </t>
  </si>
  <si>
    <t>Wife of Modou Jobe</t>
  </si>
  <si>
    <t>Solomon</t>
  </si>
  <si>
    <t>Gyabaah</t>
  </si>
  <si>
    <t>SOLOMON  WADZANI</t>
  </si>
  <si>
    <t>MAURICE</t>
  </si>
  <si>
    <t>SOMTO</t>
  </si>
  <si>
    <t>NGONADI</t>
  </si>
  <si>
    <t>Sopakirite</t>
  </si>
  <si>
    <t>Douglas</t>
  </si>
  <si>
    <t>Sorie</t>
  </si>
  <si>
    <t>Sotonye</t>
  </si>
  <si>
    <t>Imafidon</t>
  </si>
  <si>
    <t>Stella</t>
  </si>
  <si>
    <t>Oji-Onuoha</t>
  </si>
  <si>
    <t>STEPHEN</t>
  </si>
  <si>
    <t>ENGMANN</t>
  </si>
  <si>
    <t>Stephen Tayo</t>
  </si>
  <si>
    <t>Owoeye</t>
  </si>
  <si>
    <t>Sukainatu</t>
  </si>
  <si>
    <t>Deen</t>
  </si>
  <si>
    <t>Sumayya</t>
  </si>
  <si>
    <t>Garba Abubakar</t>
  </si>
  <si>
    <t>Sumayya Mustapha</t>
  </si>
  <si>
    <t>Kabir</t>
  </si>
  <si>
    <t>Sunday</t>
  </si>
  <si>
    <t>Malomo</t>
  </si>
  <si>
    <t>SUNDAY MUSA</t>
  </si>
  <si>
    <t>OGUCHE</t>
  </si>
  <si>
    <t>Suraiya</t>
  </si>
  <si>
    <t>Tajouddeen</t>
  </si>
  <si>
    <t>Surayya Murtala</t>
  </si>
  <si>
    <t>Sunusi</t>
  </si>
  <si>
    <t>Susan</t>
  </si>
  <si>
    <t>Susan Iloegbe</t>
  </si>
  <si>
    <t>Obasanmi</t>
  </si>
  <si>
    <t>Sylvester</t>
  </si>
  <si>
    <t>Enudi</t>
  </si>
  <si>
    <t>Sylvia Adaku</t>
  </si>
  <si>
    <t>Anthony-Eweputanna</t>
  </si>
  <si>
    <t>Taiwo</t>
  </si>
  <si>
    <t>Ojedoja</t>
  </si>
  <si>
    <t>TAIWO .</t>
  </si>
  <si>
    <t>OBINDO</t>
  </si>
  <si>
    <t>Taiwo Lateef</t>
  </si>
  <si>
    <t>Taiwo Olufunmilayo</t>
  </si>
  <si>
    <t>Olusa</t>
  </si>
  <si>
    <t>Tarlo H.</t>
  </si>
  <si>
    <t>Tejumade Margaret</t>
  </si>
  <si>
    <t>Ojeyemi</t>
  </si>
  <si>
    <t>Temitayo Olubunmi</t>
  </si>
  <si>
    <t>Bewaji</t>
  </si>
  <si>
    <t>Temitope</t>
  </si>
  <si>
    <t>Onakoya</t>
  </si>
  <si>
    <t>Temitope Ibukun</t>
  </si>
  <si>
    <t>Olatayo</t>
  </si>
  <si>
    <t>Temitope Toyib</t>
  </si>
  <si>
    <t>Tersoo</t>
  </si>
  <si>
    <t>Nongo</t>
  </si>
  <si>
    <t>TERWASE</t>
  </si>
  <si>
    <t>ANYIMAN</t>
  </si>
  <si>
    <t>Thelma Onyinye</t>
  </si>
  <si>
    <t>Akumuo</t>
  </si>
  <si>
    <t>Theresa Chinwe</t>
  </si>
  <si>
    <t>Uzendu</t>
  </si>
  <si>
    <t>THOMAS UDIDA</t>
  </si>
  <si>
    <t xml:space="preserve">AKOMAYE </t>
  </si>
  <si>
    <t>Tida</t>
  </si>
  <si>
    <t>Dibassey</t>
  </si>
  <si>
    <t>Timothy</t>
  </si>
  <si>
    <t>Patience</t>
  </si>
  <si>
    <t>Titilayo Temitope</t>
  </si>
  <si>
    <t>Adeoye</t>
  </si>
  <si>
    <t>Titilola</t>
  </si>
  <si>
    <t>Eduvie</t>
  </si>
  <si>
    <t>Tobechukwu Ojiugo</t>
  </si>
  <si>
    <t>Tony-Okeke</t>
  </si>
  <si>
    <t>TONGDYEN JUDITH</t>
  </si>
  <si>
    <t>MENEGBE.</t>
  </si>
  <si>
    <t>Tosin Samuel</t>
  </si>
  <si>
    <t>Adaramola</t>
  </si>
  <si>
    <t>UBOKOBONG .</t>
  </si>
  <si>
    <t>ESHIET</t>
  </si>
  <si>
    <t>UCHECHI CHINEDU</t>
  </si>
  <si>
    <t>IWEHA.</t>
  </si>
  <si>
    <t>Uchechukwu Ukamaka</t>
  </si>
  <si>
    <t>Aniagboso</t>
  </si>
  <si>
    <t>UCHENNA</t>
  </si>
  <si>
    <t>ANYAOHA</t>
  </si>
  <si>
    <t>Uchenna</t>
  </si>
  <si>
    <t>Enwereuzo</t>
  </si>
  <si>
    <t>Ezeaputa</t>
  </si>
  <si>
    <t>Uduak</t>
  </si>
  <si>
    <t>Okomo</t>
  </si>
  <si>
    <t>UFUOMA</t>
  </si>
  <si>
    <t>KPORON.</t>
  </si>
  <si>
    <t>UGO Uwadiako</t>
  </si>
  <si>
    <t>ENEBELI</t>
  </si>
  <si>
    <t>UGOENYI NNEKA</t>
  </si>
  <si>
    <t>Uju Gertrude</t>
  </si>
  <si>
    <t>Uka Shedrach</t>
  </si>
  <si>
    <t>Kalu</t>
  </si>
  <si>
    <t>Uloma Ann</t>
  </si>
  <si>
    <t>ABBA Ibrahim</t>
  </si>
  <si>
    <t>BELLO</t>
  </si>
  <si>
    <t>UMEWENI</t>
  </si>
  <si>
    <t>OSELEKA.</t>
  </si>
  <si>
    <t>UMMULKHAIRI Saleh</t>
  </si>
  <si>
    <t>BARAU</t>
  </si>
  <si>
    <t>Uredoojo  Adejo</t>
  </si>
  <si>
    <t>Chinyio</t>
  </si>
  <si>
    <t>USMAN</t>
  </si>
  <si>
    <t>IDRIS.</t>
  </si>
  <si>
    <t>USMAN FATIMA</t>
  </si>
  <si>
    <t>LIMAN</t>
  </si>
  <si>
    <t>Usman Mukhtar</t>
  </si>
  <si>
    <t>Gajiram</t>
  </si>
  <si>
    <t>Uzoamaka Blessing</t>
  </si>
  <si>
    <t>Onesimus</t>
  </si>
  <si>
    <t>UZOMA .</t>
  </si>
  <si>
    <t>AMAJO</t>
  </si>
  <si>
    <t>Uzoma Chidi</t>
  </si>
  <si>
    <t>Okereke</t>
  </si>
  <si>
    <t>UZOMA CHIDINMA</t>
  </si>
  <si>
    <t>AJANWENYI JOSEPH</t>
  </si>
  <si>
    <t>Uzoma Nwanyieze</t>
  </si>
  <si>
    <t>Amajo</t>
  </si>
  <si>
    <t>Uzoma Peace</t>
  </si>
  <si>
    <t>Onyebuchi</t>
  </si>
  <si>
    <t>Vera Adanna</t>
  </si>
  <si>
    <t>Okpede</t>
  </si>
  <si>
    <t>Victor</t>
  </si>
  <si>
    <t>Ansa</t>
  </si>
  <si>
    <t>Victor Chimezie</t>
  </si>
  <si>
    <t>Okebalama</t>
  </si>
  <si>
    <t>Victoria</t>
  </si>
  <si>
    <t>Agyeman</t>
  </si>
  <si>
    <t>VICTORIA</t>
  </si>
  <si>
    <t>AMADI</t>
  </si>
  <si>
    <t>VICTORIA EMIKE .</t>
  </si>
  <si>
    <t>OLOGUN</t>
  </si>
  <si>
    <t xml:space="preserve">Victoria May </t>
  </si>
  <si>
    <t>Adapayeri</t>
  </si>
  <si>
    <t>Vivian Ogechi</t>
  </si>
  <si>
    <t>Anyanwu</t>
  </si>
  <si>
    <t>VUKUMO ERIC</t>
  </si>
  <si>
    <t>BOLOYA</t>
  </si>
  <si>
    <t>Wasiu Olakunle</t>
  </si>
  <si>
    <t>Obipehin</t>
  </si>
  <si>
    <t>WILLIAM PEREZ AKOTO</t>
  </si>
  <si>
    <t>AMANKRA</t>
  </si>
  <si>
    <t>Williamatta S.</t>
  </si>
  <si>
    <t>Williams-Gibson</t>
  </si>
  <si>
    <t>Adams</t>
  </si>
  <si>
    <t>WOKE</t>
  </si>
  <si>
    <t>FINEST.</t>
  </si>
  <si>
    <t>WUGO.</t>
  </si>
  <si>
    <t xml:space="preserve">UBANI-UKOMA </t>
  </si>
  <si>
    <t>Wuraola Jadesola</t>
  </si>
  <si>
    <t>Olatujoye</t>
  </si>
  <si>
    <t>Yaa Dufoa</t>
  </si>
  <si>
    <t>Brako</t>
  </si>
  <si>
    <t>MUHAMMED.</t>
  </si>
  <si>
    <t>MOHAMMED</t>
  </si>
  <si>
    <t>YAHUZA KURE</t>
  </si>
  <si>
    <t>Yahuza Kure</t>
  </si>
  <si>
    <t>Usman</t>
  </si>
  <si>
    <t>Yao</t>
  </si>
  <si>
    <t>Tettey</t>
  </si>
  <si>
    <t>Yassah Moracious.</t>
  </si>
  <si>
    <t>Barclay-Korboi</t>
  </si>
  <si>
    <t>Yatta</t>
  </si>
  <si>
    <t>Sackie-Wapoe</t>
  </si>
  <si>
    <t>Yaw</t>
  </si>
  <si>
    <t>Adusi-Poku</t>
  </si>
  <si>
    <t>Yawo</t>
  </si>
  <si>
    <t>ATAKOUMA</t>
  </si>
  <si>
    <t>Yemah</t>
  </si>
  <si>
    <t>Bockarie</t>
  </si>
  <si>
    <t xml:space="preserve">YETUNDE OLAMIDE </t>
  </si>
  <si>
    <t xml:space="preserve">SHENGE </t>
  </si>
  <si>
    <t>YUSUF .</t>
  </si>
  <si>
    <t>AHMAD</t>
  </si>
  <si>
    <t>Yusuf Abiola</t>
  </si>
  <si>
    <t>Raheem</t>
  </si>
  <si>
    <t>Yveline</t>
  </si>
  <si>
    <t>Houenou Agbo</t>
  </si>
  <si>
    <t>Yvonne</t>
  </si>
  <si>
    <t>Zainab</t>
  </si>
  <si>
    <t>Chiroma</t>
  </si>
  <si>
    <t>Gurama Bawa</t>
  </si>
  <si>
    <t>Zainab Kasim</t>
  </si>
  <si>
    <t>Garba</t>
  </si>
  <si>
    <t>Zainab-Raji</t>
  </si>
  <si>
    <t>Gidado</t>
  </si>
  <si>
    <t>ZAKIYYAH</t>
  </si>
  <si>
    <t>ZAKARIYYA</t>
  </si>
  <si>
    <t>Zoebon B.</t>
  </si>
  <si>
    <t>Kparteh</t>
  </si>
  <si>
    <t>Zubairu</t>
  </si>
  <si>
    <t>ESTIMATED GLOBAL TOTAL</t>
  </si>
  <si>
    <r>
      <rPr>
        <sz val="11"/>
        <color rgb="FFFFFFFF"/>
        <rFont val="Palatino Linotype"/>
        <family val="1"/>
      </rPr>
      <t>ESTIMATED TOTAL TO BE RECEIVED FROM NIGERIA</t>
    </r>
    <r>
      <rPr>
        <i/>
        <sz val="11"/>
        <color rgb="FFFFFFFF"/>
        <rFont val="Palatino Linotype"/>
        <family val="1"/>
      </rPr>
      <t xml:space="preserve"> (Estimated global total - (amount from local chapters , Liberia + Gambia + Sierra Leone)</t>
    </r>
  </si>
  <si>
    <t>To 5700050824</t>
  </si>
  <si>
    <t>GRAND TOTAL</t>
  </si>
  <si>
    <t>SUB TOTAL</t>
  </si>
  <si>
    <t>Grand Total</t>
  </si>
  <si>
    <t xml:space="preserve">Not Found </t>
  </si>
  <si>
    <t>Non - AGSM Cash Payments</t>
  </si>
  <si>
    <t xml:space="preserve">AGSM - Transfer to Dokilink. Payment Linked Transactions (Global List ↔Dokilink) </t>
  </si>
  <si>
    <t>AGSM Cash Payment Unlinked Transactions (Bank ↔ Global List ) Names not found on Global List</t>
  </si>
  <si>
    <t xml:space="preserve">AGSM Cash Payment Linked Transactions (Global List ↔ Bank) </t>
  </si>
  <si>
    <t>AGSM - Transfer to Dokilink. Payment Unlinked Transactions (Global List ↔Dokilink) Names not found on Global List</t>
  </si>
  <si>
    <t xml:space="preserve"> GRAND TOTAL (DOKILINK)</t>
  </si>
  <si>
    <t>GRAND TOTAL (DOKILINK &amp; CASH / TRANSFER IN BANK)</t>
  </si>
  <si>
    <t>Paid by Seyi</t>
  </si>
  <si>
    <t>AGSM - Cash Payment</t>
  </si>
  <si>
    <t>Ulinked Payments</t>
  </si>
  <si>
    <t>Linked Payments</t>
  </si>
  <si>
    <t>AGSM - Payment to Dokilink</t>
  </si>
  <si>
    <t>Transfer to Eko Bank acct: 5700050824</t>
  </si>
  <si>
    <t>DR.BURABARI KE.</t>
  </si>
  <si>
    <t>Total Cash in Bank</t>
  </si>
  <si>
    <t>Total AGSM Cash payment</t>
  </si>
  <si>
    <t>Total Collections by Dokilink</t>
  </si>
  <si>
    <t>Description</t>
  </si>
  <si>
    <t>Cash Payment in Bank</t>
  </si>
  <si>
    <t>Transfer to Eko Bank(Acct. no 5700050824)</t>
  </si>
  <si>
    <t>Total Bank (Acct. No 5700050831)</t>
  </si>
  <si>
    <t>Total Collection</t>
  </si>
  <si>
    <t>Expenditure</t>
  </si>
  <si>
    <t>Income</t>
  </si>
  <si>
    <t>AGSM - Cash Payment to WACP Eco Bank</t>
  </si>
  <si>
    <t>Total Cash transfer to LILAK</t>
  </si>
  <si>
    <t>AGSM - Amount due to Darkar</t>
  </si>
  <si>
    <t>WACP AGSM 2025</t>
  </si>
  <si>
    <t>Statement of Income and Expenditure</t>
  </si>
  <si>
    <t>Duplicate Transactions Only on Global List</t>
  </si>
  <si>
    <t xml:space="preserve">No Payment &amp; Unlinked Transactions ( Only on Global list )  </t>
  </si>
  <si>
    <t xml:space="preserve"> Paid to wave (148770FCFA).OK</t>
  </si>
  <si>
    <t>(160USD) To be paid Onsite. OK</t>
  </si>
  <si>
    <t>(180USD) To be paid Onsite. OK</t>
  </si>
  <si>
    <t>(180USD)To be Paid on site. OK</t>
  </si>
  <si>
    <t>(220USD) To be paidOnsite. OK</t>
  </si>
  <si>
    <t>(220USD) To pay onsite. Ok</t>
  </si>
  <si>
    <t>(220USD)To be paid Onsite OK</t>
  </si>
  <si>
    <t>(220USD)To be paid onsite. OK</t>
  </si>
  <si>
    <t>(260USD)To be paid on that day. Ok</t>
  </si>
  <si>
    <t>(315 USD) Onsite. OK</t>
  </si>
  <si>
    <t>(315USD) Onsite. OK</t>
  </si>
  <si>
    <t>Paid to wave (90600FCFA)OK</t>
  </si>
  <si>
    <t>($)</t>
  </si>
  <si>
    <t>AMT.  $.</t>
  </si>
  <si>
    <t xml:space="preserve">WACP ECO BANK &amp; DOKILINK SUMMARY REPORT </t>
  </si>
  <si>
    <t>STATEMENT OF ACCOUNT</t>
  </si>
  <si>
    <t>Account No</t>
  </si>
  <si>
    <t>WEST AFRICAN COLLEGE OF PHYSICIANS</t>
  </si>
  <si>
    <t>Currency</t>
  </si>
  <si>
    <t>USD</t>
  </si>
  <si>
    <t>(AGSM CONF. REG.)</t>
  </si>
  <si>
    <t>Opening Balance</t>
  </si>
  <si>
    <t>Closing Balance</t>
  </si>
  <si>
    <t>Total Deposit</t>
  </si>
  <si>
    <t>Total Withdrawals</t>
  </si>
  <si>
    <t>Statement Period</t>
  </si>
  <si>
    <t>01/01/25 - 31/12/25</t>
  </si>
  <si>
    <t>Transacti
on Date</t>
  </si>
  <si>
    <t>Value Date</t>
  </si>
  <si>
    <t>Withdrawals</t>
  </si>
  <si>
    <t>Deposits</t>
  </si>
  <si>
    <t>Balance</t>
  </si>
  <si>
    <t>Opening Balance b/d</t>
  </si>
  <si>
    <t>CASH DEPOSITED AGSM CONF.
REG. BY PROF. VICTOR O. ANSA
@ MARY-SLESSOR
SMTENGDT86PS6UEI CSH BY BY
PROF. VICTOR O.</t>
  </si>
  <si>
    <t>INTEREST PAID INTEREST PAID</t>
  </si>
  <si>
    <t>STAMP DUTIES STAMP DUTIES</t>
  </si>
  <si>
    <t>CASH DEPOSITED C02 CASH DEP
BY UCHENNA ANYAOHA @LIB
UMU BRN</t>
  </si>
  <si>
    <t>CASH DEPOSITED 1623153 CASH
DEP BY DR MUSA JOSEPH @A32
SMTENGDTYPTZXXTG CSH BY
MUSA JOSEPH @ ENG
MAIDUGURI-KASHIM</t>
  </si>
  <si>
    <t>CASH DEPOSITED 0108344 CASH
DEP BY BATULA BISHARA
DAGGASH @B56
SMTENGDT35W0ZGZU CSH BY
BATULA BISHARA DAGGASH @ E</t>
  </si>
  <si>
    <t>CASH DEPOSITED CASH DEP BY
IHINMIKAYE ISAAC@AKR2
SMTENGDTTPQBUJNC CSH BY
IHINMIKAYE ISAAC @ ENG ONDO
- AKURE BRAN</t>
  </si>
  <si>
    <t>MOBILE TRF BET TWO CASA ACCOUNTS REF:NGA2293713206 B/O DR TAIWO LATEEF SHEIKH DR TAIWO LATEEF SHEIKH DAKAR AGSM REGISTRATION</t>
  </si>
  <si>
    <t>CASH DEPOSITED 00079855 DEP
BY MOGBA OYINLOLA @ ALLEN 3
SMTENGDTWMINDQK9 CSH BY
MOGBA OYINLOLA E @ ENG
IKEJA - AL</t>
  </si>
  <si>
    <t>CASH DEPOSITED 0789364 CS
DEP BY KHADIJA A. @ B77
SMTENGDTDHHNJ5V0 CSH BY
SELF @ ENG KANO - NNPC
HOTORO</t>
  </si>
  <si>
    <t>CASH DEPOSITED 0108363 CASH
DEP BY DR. JAMILAT MUHAMMAD
@B56 SMTENGDTUEYWYYFQ
CSH BY DR. JAMILAT
MUHAMMAD @ ENG M</t>
  </si>
  <si>
    <t>FUNDS TRANSFER - INWARD S0652801CB0301 TRF B/O DOKILINK LIMITED IRO /RFB/CONFERENCE FEES IFO WEST AFRICAN COLLEGE OF PHYSICIANS-/RFB/CONFERENCE FEES</t>
  </si>
  <si>
    <t>CASH DEPOSITED 00144740 CS
DEP BY MOMODU ZAINAB @ BRD
STR2 SMTENGDTM0KXC7NA CSH
BY MOMODU ZAINAB @ ENG
LAGOS - BR</t>
  </si>
  <si>
    <t>OFFSHORE CHARGE OUTWARD TRANSFER ENGFTD32OCT25013 TRF IFO X-PAYMENT FOR AHSM REG. FEES.</t>
  </si>
  <si>
    <t>CASH DEPOSITED
SMTENGDTAKWDMYVF CSH BY
OLUWATUNBI JOY OLUWASEUN
@ ENG IKEJA - ALLEN AVENUE 3</t>
  </si>
  <si>
    <t>COMMISSION ON OUTWARD TRANSFER FORE ENGFTD32OCT25013 TRF IFO X- PAYMENT FOR AHSM REG. FEES.</t>
  </si>
  <si>
    <t>CASH DEPOSITED CASH DEP BY
DIKWAL KETURAH AMOS @ JOS2
SMTENGDTFFOLGMNB CSH BY
DIKWAL KETURAH AMOS @ ENG
JOS-AHMAD</t>
  </si>
  <si>
    <t>FUNDS TRANSFER OUTWARD - FCY ENGFTD32OCT25013 TRF IFO X-PAYMENT FOR AHSM REG. FEES.</t>
  </si>
  <si>
    <t>CASH DEPOSITED CASH DEP BY
BYENCIT BINCHEN TALI@ JOS2
SMTENGDTWYVBSHP5 CSH BY
BYENCIT BINCHEN TALI @ ENG
JOS-AHMA</t>
  </si>
  <si>
    <t>SWIFT FEE ENGFTD32OCT25013 TRF IFO X-PAYMENT FOR AHSM REG. FEES.</t>
  </si>
  <si>
    <t>CASH DEPOSITED 00056747/DR
AGUNBIADE-OLU MOBOLAJI
ADEBISI/AGSM INDUCTION @
ADO SMTENGDTVX642LRM CSH
BY SELF @ ENG</t>
  </si>
  <si>
    <t>VALUE ADDED TAX ENGFTD32OCT25013 TRF IFO X- PAYMENT FOR AHSM REG. FEES.</t>
  </si>
  <si>
    <t>CASH DEPOSITED 00162462
WACP (AGSM CONF RES)
SMTENGDT6ICRNRF3 CSH BY
DR IFEOMA AZUKA UDE @ ENG
AWKA - OPP GOVT HO</t>
  </si>
  <si>
    <t>FUNDS TRANSFER - INWARD S0653183AB3D01 TRF B/O INDI CALISTO AURELIANO IRO TRANSFER PAYEMENT TAXES DE CANDIDAT URE A FELLOWSHIP DA WACP IFO WEST AFRICAN COLLEGE OF PHYSICIANS-TRANSFER PAYEMENT TAXES DE CANDIDAT</t>
  </si>
  <si>
    <t>CASH DEPOSITED 00096954 DEP
BY DR ONUOHA FRANCIS
NNAMDI@BIDA
SMTENGDTSELDJX6A CSH BY
DR ONUOHA FRANCIS NNAMDI @
E</t>
  </si>
  <si>
    <t>CASH DEPOSITED 00038713
SMTENGDTOC0ODPSV CSH BY
YAHAYA MOHAMMED @ ENG
KANO - MURTALA MOH WAY</t>
  </si>
  <si>
    <t>MOBILE TRF BET TWO CASA ACCOUNTS REF:NGA2488264839 B/O PANSAU TAMBA ON BEHALF OF LUISA OLIVEIRA SANCA NHAGA</t>
  </si>
  <si>
    <t>CASH DEPOSITED C02 CASH DEP
BY OJI ONUOHA STELLA @LIB
UMU BRN</t>
  </si>
  <si>
    <t>CASH DEPOSITED
SMTENGDTNKTOXQM3 CSH BY
DEP BY REV SR DR LUCY UWAH
@C63 @ ENG ENUGU - GARDEN
AVENUE</t>
  </si>
  <si>
    <t>CASH DEPOSITED D97 CASH DEP
BY OLUOMACHI CHARITY NNACHI
@EZZA RD
SMTENGDTCYLVRQDL CSH BY
OLUOMACHI CHARITY NNACHI</t>
  </si>
  <si>
    <t>CASH DEPOSITED CASH DEP BY
AYIGA EUGENE GERSHON @
JOS2 SMTENGDTMLNQ17CZ CSH
BY AYIGA EUGENE GERSHON @
ENG JOS-AHM</t>
  </si>
  <si>
    <t>CASH DEPOSITED CSH DP BY
AINA AZEEZAT ADEWUNMI@A77
SMTENGDTU0RLGEQE CSH BY
AINA AZEEZAT ADEWUNMI @
ENG ABEOKUTA</t>
  </si>
  <si>
    <t>CASH DEPOSITED CASH DEP BY
DR ALIE AMIN SESAY @BDJ
SMTENGDTXBFXOOCU CSH BY
SELF @ ENG IBADAN -BODIJA
ESTATE</t>
  </si>
  <si>
    <t>CASH DEPOSITED CASH DEP BY
DR MBUBAH CHRIS @ JOS2
SMTENGDT9NGBNG2A CSH BY
MBUBAH CHRIS @ ENG JOS-
AHMADU BELLO WAY</t>
  </si>
  <si>
    <t>CASH DEPOSITED MEMBERSHIP
FEE SMTENGDTQ9IM3I3A CSH BY
DR LINGA FIDELIS FILIBUS @
ENG GOMBE - BIU ROAD</t>
  </si>
  <si>
    <t>CASH DEPOSITED ANNUAL
GENERAL SCIENTIFIC MEETING
SMTENGDT5J3JKVMI CSH BY DR
LINGA FIDELIS FILIBUS @ ENG
GOMBE - B</t>
  </si>
  <si>
    <t>CASH DEPOSITED ANNUAL
MEMBERSHIP DUES
SMTENGDTRRK67QCZ CSH BY
DR LINGA FIDELIS FILIBUS @
ENG GOMBE - BIU ROAD</t>
  </si>
  <si>
    <t>CASH DEPOSITED 00114716 DEP
BY BEAUTY M TOBIN @C73
SMTENGDTRJXJJF02 CSH BY
SELF @ ENG PH - OLU
OBASANJO</t>
  </si>
  <si>
    <t>CASH DEPOSITED CASH DP BY
GODWIN IKEADUM
CHUKWUEMERIE @ A89</t>
  </si>
  <si>
    <t>CASH DEPOSITED
SMTENGDTOZF2NRJI CSH BY
0143982 CASH DEP BY DR
MUHAMMAD A SADIQ @B84 @
ENG BAUCHI - COMMERCIAL ROA</t>
  </si>
  <si>
    <t>CASH DEPOSITED
SMTENGDTNAHELDMY CSH BY
0143981 CASH DEP BY DR SANI
ABDULKAREEM @B84 @ ENG
BAUCHI - COMMERCIAL ROA</t>
  </si>
  <si>
    <t>CASH DEPOSITED HAUWA
ABDULLAHI MUHAMMAD @ ZARIA
BR SMTENGDTMKADQLHG CSH
BY HAUWA ABDULLAHI
MUHAMMAD @ ENG KADUNA</t>
  </si>
  <si>
    <t>CASH DEPOSITED AMIRAH
AHMAD BABAJO @ ZARIA BR
SMTENGDTAZ9SSBQD CSH BY
AMIRAH AHMAD BABAJO @ ENG
KADUNA - KADUNA R</t>
  </si>
  <si>
    <t>CASH DEPOSITED USD CASH
DEP BY DR OYEBOLA RASHEED
O @ ILORIN MAIN B80</t>
  </si>
  <si>
    <t>CASH DEPOSITED CASH DP BY
ONWUKA KODICHIMMA @ A89</t>
  </si>
  <si>
    <t>CASH DEPOSITED A30 CASH DEP
BY DR RITA EMUJOHWERUO
EFETOBOR @ DECO BR
SMTENGDTCDLF7N52 CSH BY
DR RITA EMUJOHWERUO</t>
  </si>
  <si>
    <t>CASH DEPOSITED CASH DEP. BY
AGSM CONF. REGISTRATION (BY
NKECHINYERE NWANKWO) @
MARY-SLESSOR
SMTENGDTKDRRA8CR CSH B</t>
  </si>
  <si>
    <t>CASH DEPOSITED 00190246 DEP
BY DR SEKULA JEMILA Y. @
GARKI 2 SMTENGDTDIAVNPZL
CSH BY DR SEKULA JEMILA Y. @
ENG AB</t>
  </si>
  <si>
    <t>CASH DEPOSITED
SMTENGDT7Z8TRKDL CSH BY
SEYI @ ENG IKEJA - ALLEN
AVENUE 3</t>
  </si>
  <si>
    <t>CASH DEPOSITED CASH DP BY
DR, OGBU IFEOMA CALISTA @
A89 SMTENGDTQLNNWM5K CSH
BY DR, OGBU IFEOMA CALISTA
(AGSM CON</t>
  </si>
  <si>
    <t>CASH DEPOSITED 00135094
CASH DEPOSIT BY DR SHARIF
ALHASSAN @ A10 BR KN
SMTENGDTBLE9CS6Z CSH BY
SELF @ ENG KANO -</t>
  </si>
  <si>
    <t>CASH DEPOSITED 00135095
CASH DEPOSIT BY DR ILIYASU
YUSUF @ A10 BR KN
SMTENGDT2ZWNNWBU CSH BY
SELF @ ENG KANO - BE</t>
  </si>
  <si>
    <t>CASH DEPOSITED CASH DEP BY
WEST AFRICAN COLLEGE OF
PHYSICIANS@JOS2
SMTENGDTDPBDREAP CSH BY
UMAR IDRIS SULEIMAN (I</t>
  </si>
  <si>
    <t>CASH DEPOSITED 779762 DEP BY
AISHA UMMI SATOMI @ UTAKO
SMTENGDTHC8ZA2MP CSH BY
AISHA UMMI SATOMI @ ENG
ABUJA - UT</t>
  </si>
  <si>
    <t>CASH DEPOSITED CASH DEP BY
OSAGBAEKHOE AUSTINE@AKR2
SMTENGDTIDTW7OMJ CSH BY
OSAGBAEKHOE AUSTINE @ ENG
ONDO - AKUR</t>
  </si>
  <si>
    <t>CASH DEPOSITED CSH DEP BY
OKONKWO ONYINYE VIVIAN @
EPAC</t>
  </si>
  <si>
    <t>CASH DEPOSITED WACP AGSM
2025 REGISTRATION
SMTENGDTHVSKHALD CSH BY
DR. AMAEFUNA CALEB C. @ ENG
ASABA-ANWAI DUAL C</t>
  </si>
  <si>
    <t>CASH DEPOSITED
SMTENGDTXOSL0313 CSH BY
TELUFUSI BABAJIDE WAZIRI @
ENG IKEJA - ALLEN AVENUE 3</t>
  </si>
  <si>
    <t>CASH DEPOSITED
SMTENGDTGTYCJ67V CSH BY
ODUNFOLABI OLUFUNKE @ ENG
AGEGE - IJU ROAD</t>
  </si>
  <si>
    <t>CASH DEPOSITED A95 CSH DEP
BY NWODO NKECHI OKEZIE @
WILLIAMS BR
SMTENGDT94QVQQNZ CSH BY
NWODO NKECHI OKEZIE @ E</t>
  </si>
  <si>
    <t>CASH DEPOSITED A95 CSH DEP
BY MBAMALU ADAOBI MAUREEN
@ WILLIAMS BR
SMTENGDTWBWOMHM9 CSH BY
MBAMALU ADAOBI MAUREEN</t>
  </si>
  <si>
    <t>CASH DEPOSITED 1115005 CASH
DEP BY DR IBRAHIM ETUBI @
C34 SMTENGDTBQSISSML CSH
BY 1115005 CASH DEP BY DR
IBRAHIM</t>
  </si>
  <si>
    <t>CASH DEPOSITED 00070324 CS
DEP BY EMERIBE CHIZOMAM
WINNIE @ A14
SMTENGDTNWRYAHFY CSH BY
EMERIBE CHIZOMAM WINNIE @</t>
  </si>
  <si>
    <t>CASH DEPOSITED 1249534
SMTENGDTJKRYOZ3H CSH BY
DR ZACCHEAUS MONDAY J. @
ENG PH - NNAMDI AZIKIWE</t>
  </si>
  <si>
    <t>CASH DEPOSITED 1249535
SMTENGDTAKJNVLZ6 CSH BY
DR. CHIKEKA CHIMAROKE U. @
ENG PH - NNAMDI AZIKIWE</t>
  </si>
  <si>
    <t>CASH DEPOSITED B75 00081163
CS DEP BY DR AKANNI
OLOLADE@MARINA
SMTENGDT0XYZEI77 CSH BY
SELF @ ENG LAGOS - MARINA</t>
  </si>
  <si>
    <t>CASH DEPOSITED 00028489
CASH DEP BY
SMTENGDTZIQNB6FB CSH BY
FATIMA IBRAHIM MUHAMMAD @
ENG KANO - MURTALA MOH WAY</t>
  </si>
  <si>
    <t>FUNDS TRANSFER - DIFF
CUSTOMERS FT IFO WEST
AFRICAN COLLEGE OF
PHYSICIANS (AGSM CONF. REG.)
B/O MALAMI SHEHU @ KRPC BR</t>
  </si>
  <si>
    <t>CASH DEPOSITED 00138627
DEPOSITED BY ADEGBOA
ABIOLA OLADELE @21 RD
FESTAC</t>
  </si>
  <si>
    <t>CASH DEPOSITED 1623052 CASH
DEP BY ZAKIYYAH ZAKARIYYA
@A32 SMTENGDTEVA20CJR CSH
BY ZAKIYYAH ZAKARIYYA @
ENG MAIDU</t>
  </si>
  <si>
    <t>CASH DEPOSITED 1115446 CASH
DEP BY IFUNANYA TOM-GORGE
@C34 SMTENGDTKXBONEV0
CSH BY IFUNANYA TOM-GORGE
@ ENG ABUJA</t>
  </si>
  <si>
    <t>CASH DEPOSITED 0539575 REG
FOR CONFERENCE BY ENUDI
SYLVESTER @AREA 8</t>
  </si>
  <si>
    <t>CASH DEPOSITED CASH DEP BY
DR AJIBOLU ADENIRAN OKE @
NCR SMTENGDTBUPSB02N CSH
BY DR AJIBOLU ADENIRAN OKE
@ ENG IB</t>
  </si>
  <si>
    <t>CASH DEPOSITED
SMTENGDT7KRHDND6 CSH BY
CASH DEP BY ORIANWO LISA
ALERUCHI @C92 @ ENG PH -
CIRCULAR ROAD</t>
  </si>
  <si>
    <t>CASH DEPOSITED CASH
DEPOSITED BY ADEGBOLA
ABIOLA OLADELE @21 RD
FESTAC SMTENGDTL8U3JKQN
CSH BY SELF @ ENG FESTAC</t>
  </si>
  <si>
    <t>CASH DEPOSITED
SMTENGDTSKKD0T0Z CSH BY
OBIPEHIN WASIU OLAKUNLE @
ENG OGUN - IJEBU ODE</t>
  </si>
  <si>
    <t>CASH DEPOSITED
SMTENGDT1DYWFAGW CSH BY
SHITTU SIKIRAT ABOSEDE @
ENG OGUN - IJEBU ODE</t>
  </si>
  <si>
    <t>CASH DEPOSITED 00088217
SMTENGDTZDWU5NXF CSH BY
BOLOYA VUKUMO ERIC @ ENG
YENAGOA - MBIAMA ROAD 2</t>
  </si>
  <si>
    <t>CASH DEPOSITED CASH DEP BY
DR SUNDAY OLUKAYODE M. @
A77 SMTENGDT6GT4DNAE CSH
BY DR SUNDAY OLUKAYODE M.
@ ENG ABEO</t>
  </si>
  <si>
    <t>CASH DEPOSITED 00144931 DEP
BY BABALOLA OLUTIMILEIYIN
SMTENGDTPNO80X4F CSH BY
BABALOLA OLUTIMILEIYIN
@BIDA @ ENG</t>
  </si>
  <si>
    <t>CASH DEPOSITED 1623053 CASH
DEP BY DR MARIAM KACHALLAH
GALADIMA @A32
SMTENGDTHJRGV8JR CSH BY
DR MARIAM KACHALLAH</t>
  </si>
  <si>
    <t>CASH DEPOSITED CASH
DEPOSITED BY IBENEGBU
OKONKWO IFEOMA @21 RD
FESTAC SMTENGDTZC6GJSPH
CSH BY IBENEGBU OKONKWO I</t>
  </si>
  <si>
    <t>CASH DEPOSITED 9979784 BY
BEST JOSEPH ASUQUO (FWACP)
@CALABAR</t>
  </si>
  <si>
    <t>CASH DEPOSITED
SMTENGDTEEH4XLVZ CSH BY
0143994 CASH DEP BY DR
MUHAMMAD IBRAHIM JALO @B84
@ ENG BAUCHI - COMMERCIA</t>
  </si>
  <si>
    <t>CASH DEPOSITED MEMBERSHIP
AGSF REG B/O ABDULAZIZ
GARBA AHMAD
SMTENGDTUBVEYWVG CSH BY
ABDULAZIZ GARBA AHMAD @
ENG</t>
  </si>
  <si>
    <t>CASH DEPOSITED MEMBERSHIP
AGSF REG B/O HASSAN SANUSI
ISHAQ SMTENGDTGZWTGKYO
CSH BY HASSAN SANUSI ISHAQ
@ ENG KATS</t>
  </si>
  <si>
    <t>CASH DEPOSITED MEMBERSHIP
AGSF REG B/O HASSAN SUNUSI
ISHAQ SMTENGDTEALOXU0L
CSH BY HASSAN SUNUSI ISHAQ
@ ENG KATS</t>
  </si>
  <si>
    <t>CASH DEPOSITED
SMTENGDTH3VS3WPW CSH BY
AZI ELIZABETH KASSEM @ ENG
ABUJA - H. MACAULAY</t>
  </si>
  <si>
    <t>CASH DEPOSITED CS PD BY
OLUWAYEMISI OLUSHOLA @
AWO 3</t>
  </si>
  <si>
    <t>CASH DEPOSITED CS PD BY
FLORENCE AGBOOLA @ AWO 3</t>
  </si>
  <si>
    <t>CASH DEPOSITED DEP BY
BEWAJI TEMITAYO OLUBUNMI
@AKR2 SMTENGDT90QWC0AL
CSH BY BEWAJI TEMITAYO
OLUBUNMI @ ENG ONDO</t>
  </si>
  <si>
    <t>CASH DEPOSITED 1195507 DEP
BY DR PRECIOUS UDUASOBOR@
AIRPORT RD
SMTENGDTRYPEDEY3 CSH BY
DR PRECIOUS UDUASOBOR @ E</t>
  </si>
  <si>
    <t>CASH DEPOSITED
SMTENGDT7IRZ3ENP CSH BY
0115651 CASH DEP BY DR.
ONYEBUCHI UZOMA @ NNEWI @
ENG NNEWI - NKWO MKT ROA</t>
  </si>
  <si>
    <t>CASH DEPOSITED 154829 CASH
DEP BY ABUBAKAR ABUBAKAR @
FRD3 SMTENGDTIWFNSQUP CSH
BY ABUBAKAR ABUBAKAR @
ENG KANO -</t>
  </si>
  <si>
    <t>CASH DEPOSITED
SMTENGDTQ7XQEQNT CSH BY
CASH DEP BY SAFIYANU BABAYO
@B84 @ ENG BAUCHI -
COMMERCIAL ROAD</t>
  </si>
  <si>
    <t>CASH DEPOSITED
SMTENGDTHGFK5RFG CSH BY
CASH DEP BY FAIZA MOHAMMED
DAHIRU @B84 @ ENG BAUCHI -
COMMERCIAL ROAD</t>
  </si>
  <si>
    <t>CASH DEPOSITED
SMTENGDTGBXFHA7P CSH BY
CASH DEP BY AISHA MUHAMMAD
PINDIGA @B84 @ ENG BAUCHI -
COMMERCIAL ROAD</t>
  </si>
  <si>
    <t>CASH DEPOSITED
SMTENGDTBLSJOM4Q CSH BY
KOYA OMOLADE @ ENG IKEJA -
ALLEN AVENUE 3</t>
  </si>
  <si>
    <t>CASH DEPOSITED 0609181 CASH
DEP BY ONYEJIAKA @ UTAKO
SMTENGDTYKR5ECSO CSH BY
SELF @ ENG ABUJA - UTAKO FCT</t>
  </si>
  <si>
    <t>CASH DEPOSITED CSH BY
FAMBA FAMBA DANIEL
SMTENGDTPGVMP3GM CSH BY
FAMBA FAMBA DANIEL @ ENG
PH - NNAMDI AZIKIWE</t>
  </si>
  <si>
    <t>CASH DEPOSITED 00078639/
CASH DEP BY ABUBOR
MGBOANAJIOGAR/WACP AGSM
REGISTRATION FEE (MEMBER)
@ISJ</t>
  </si>
  <si>
    <t>CASH DEPOSITED DEP BY DR.
PAUL GABRIEL ENEMA
SMTENGDTDR0HXWU3 CSH BY
DR. PAUL GABRIEL ENEMA @
ENG ABUJA - AREA 8</t>
  </si>
  <si>
    <t>CASH DEPOSITED 00070441
CASH DEP BY FATIMA BELLO
TILLI @ABW KAD
SMTENGDTJXO8JCY1 CSH BY
00070441 CASH DEP BY FATI</t>
  </si>
  <si>
    <t>CASH DEPOSITED B29 DEP BY
AKANDE JOHNSON OLUSAYO @
BDJ SMTENGDT8VWJEVRD CSH
BY AKANDE JOHNSON OLUSAYO
@ ENG IBADA</t>
  </si>
  <si>
    <t>CASH DEPOSITED 1623054 CASH
DEP BY DR SALIHU JOJI @A32
SMTENGDTHE1GJCKP CSH BY
SALIHU JOJI @ ENG MAIDUGURI-
KASHIM</t>
  </si>
  <si>
    <t>CASH DEPOSITED DEP BY
ORAKWUE IKECHUKWU @C63
SMTENGDTIIRYYZJO CSH BY
ORAKWUE IKECHUKWU @ ENG
ENUGU - GARDEN AVENU</t>
  </si>
  <si>
    <t>CASH DEPOSITED
SMTENGDTVQOOSFHR CSH BY
DR. DICKSON ANIEKAN
JEREMIAH @ ENG ABUJA -
ECOWAS</t>
  </si>
  <si>
    <t>CASH DEPOSITED CASH DEP BY
DR IHEGBU BERNADETTE
CHINAGOROM @A11
SMTENGDTF91QXVUC CSH BY
DR IHEGBU BERNADETTE CHIN</t>
  </si>
  <si>
    <t>CASH DEPOSITED 99089966 DEP
BY ESSIEN OTOOBONG OKON/
AGSM CONF. REGISTRATION @
GARKI 2 SMTENGDTCBSJLG60
CSH BY ESS</t>
  </si>
  <si>
    <t>CASH DEPOSITED CASH DEP BY
OGUNKUNLE ABDULFATAI
KAYODE @ ZARIA BR
SMTENGDTHYY40QEC CSH BY
CASH DEP BY OGUNKUNLE A</t>
  </si>
  <si>
    <t>CASH DEPOSITED CASH DEP BY
ABUBAKAR MURJANATU GULMA
@ ZARIA BR
SMTENGDTEYLLCB04 CSH BY
CASH DEP BY ABUBAKAR MURJA</t>
  </si>
  <si>
    <t>CASH DEPOSITED 609258 DEP BY
IBRAHIM BANARU ABUBAKAR @
UTAKO SMTENGDTK8NSGPVS
CSH BY IBRAHIM BANARU
ABUBAKAR @ EN</t>
  </si>
  <si>
    <t>CASH DEPOSITED 5841401 CASH
DEP BY ABDULSALAM
ABDULMALIK OF USMANU
DANFODIYO TEACHING
HOSPITAL SOKOTO @ SOK MAIN</t>
  </si>
  <si>
    <t>CASH DEPOSITED CSH#00136287
DEP BY PROF FOLUSO LESI
@UNILAG BR
SMTENGDTNWFLSVBM CSH BY
PROF FOLUSO LESI @ ENG LAG</t>
  </si>
  <si>
    <t>CASH DEPOSITED
SMTENGDTDJZVQRZ3 CSH BY
B52 DEP BY DR EZINWA
AMARACHUKWU AGNES@ NNEWI
@ ENG NNEWI - NKWO MKT
ROAD</t>
  </si>
  <si>
    <t>CASH DEPOSITED AGSM
CONFERENCE REGISTRATION
SMTENGDTPMWNZEG8 CSH BY
00144918 DEP BY CHIJIOKE-
ANIAGU CHIOMA LOVELI</t>
  </si>
  <si>
    <t>CASH DEPOSITED DEP BY
ORAKWUE IKECHUKWU @C63
SMTENGDTPEJZBRF5 CSH BY
ORAKWUE IKECHUKWU @ ENG
ENUGU - GARDEN AVENU</t>
  </si>
  <si>
    <t>CASH DEPOSITED CASH DEP BY
NIYI ISAIAH OYETUNJI @IKOTA/
B13 SMTENGDTPUWHIDVC CSH
BY NIYI ISAIAH OYETUNJI @ ENG
LAG</t>
  </si>
  <si>
    <t>CASH DEPOSITED
SMTENGDTMK2KL5SA CSH BY
DR ABIOYE OPEYEMI OLADIPUPO
@ ENG EKITI - IJIGBO ROAD</t>
  </si>
  <si>
    <t>CASH DEPOSITED CASH DEP. BY
DR. ARAGA ABURU NDIM (AGSM
2025 CONF. REGISTRATION) @
MARY-SLESSOR
SMTENGDTYQZTX47N C</t>
  </si>
  <si>
    <t>CASH DEPOSITED 00139610 BY
DR. NDAEYO E. I. (AGSM
CONFRENCE REGISTRATION) @
MARY SLESSOR
SMTENGDT6Q8YAPWP CSH BY</t>
  </si>
  <si>
    <t>CASH DEPOSITED 00189648 DEP
BY EBU ESEOHE EJEHIOKHIN
(AGSM CONFERENCE
REGISTRATION) @ ISJ
SMTENGDTXNBVHCRD CSH BY</t>
  </si>
  <si>
    <t>CASH DEPOSITED 00189649 DEP
BY ONI-ORISAN AYOMIDE
ESTHER (AGSM CONFERENCE
REGISTRATION) @ ISJ
SMTENGDTKTYAB42D CSH</t>
  </si>
  <si>
    <t>CASH DEPOSITED 00189650 DEP
BY EJIAKU CHINOMSO IHUOMA
(AGSM CONFERENCE
REGISTRATION) @ ISJ
SMTENGDTBKV4CLFV CSH BY</t>
  </si>
  <si>
    <t>CASH DEPOSITED 00121912 DEP
BY ONYECHE GIFT @C73
SMTENGDTWYIUKXXV CSH BY
SELF @ ENG PH - OLU
OBASANJO</t>
  </si>
  <si>
    <t>CASH DEPOSITED
SMTENGDT5QLNJG3O CSH BY
B52 DEP BY AHAM ASSUMPTA
AKU @ NNEWI @ ENG NNEWI -
NKWO MKT ROAD</t>
  </si>
  <si>
    <t>CASH DEPOSITED 00070448
CASH DEP BY MUHAMMAD S
YUSUF @ABW KAD
SMTENGDTWZKAXVQY CSH BY
00070448 CASH DEP BY MUHAMM</t>
  </si>
  <si>
    <t>CASH DEPOSITED 00121913 DEP
BY AHIAKWO NKIRUKA @C73
SMTENGDTJASYRHFE CSH BY
SELF @ ENG PH - OLU
OBASANJO</t>
  </si>
  <si>
    <t>CASH DEPOSITED 00110760
SMTENGDTRF9ERUVG CSH BY
DR IBRAHIM ALI DODO @ ENG
KANO - MURTALA MOH WAY</t>
  </si>
  <si>
    <t>CASH DEPOSITED CASH DEP BY
CHUKWUMERIJE CHETACHI C @
ZARIA BR SMTENGDT4PGLUKD8
CSH BY CASH DEP BY
CHUKWUMERIJE CH</t>
  </si>
  <si>
    <t>CASH DEPOSITED 0539330
AGSM-DAKAR 2025
REGISTRATION
SMTENGDTXZZ97NE6 CSH BY
DR HARUNA YAKUBU @ ENG
ABUJA - AREA 8</t>
  </si>
  <si>
    <t>CASH DEPOSITED 00110769
SMTENGDTQKNLJFRN CSH BY
DR IBRAHIM ALI DODO @ ENG
KANO - MURTALA MOH WAY</t>
  </si>
  <si>
    <t>CASH DEPOSITED 00110789
CASH DEP (AGSM
REGISTRATION)
SMTENGDTGSR5COMZ CSH BY
AMINA ABDULLAHI GAMBO @
ENG KANO - M</t>
  </si>
  <si>
    <t>CASH DEPOSITED
SMTENGDTZ3APQUCL CSH BY
NWALOZIE EBERECHUKWU
VIVIAN @ ENG- ASABA1</t>
  </si>
  <si>
    <t>CASH DEPOSITED CASH DEP BY
OLANIRAN GRACE @IKOTA/B13
SMTENGDTUJKXS9BW CSH BY
OLANIRAN GRACE @ ENG LAGOS
- IKOTA B</t>
  </si>
  <si>
    <t>CASH DEPOSITED
SMTENGDTDGZNJY2L CSH BY
DR FARIDA ABDULLAHI YELWA @
ENG ABUJA - H. MACAULAY</t>
  </si>
  <si>
    <t>CASH DEPOSITED 0539337 AGSM
CONFERENCE REGISTRATION BY
IDENYI NEMILE @AREA 8</t>
  </si>
  <si>
    <t>CASH DEPOSITED
SMTENGDTWDT5UHEO CSH BY
0143470 CASH DEP BY ASMAU
UMMI BELLO @B84 @ ENG
BAUCHI - COMMERCIAL ROAD</t>
  </si>
  <si>
    <t>CASH DEPOSITED
SMTENGDTETVGEDLE CSH BY
0143471 CASH DEP BY DR
ABDURAHMAN AHMAD SADIQ
@B84 @ ENG BAUCHI -
COMMERC</t>
  </si>
  <si>
    <t>CASH DEPOSITED 1115024 CASH
DEP RABI IBRAHIM @ C34
SMTENGDT2QGSXIZA CSH BY
RABI IBRAHIM @ ENG ABUJA -
GWAGWALADA</t>
  </si>
  <si>
    <t>CASH DEPOSITED
SMTENGDTONQLYAKF CSH BY
DR JOHNSON MINE RACHAEL @
ENG PH - NNAMDI AZIKIWE</t>
  </si>
  <si>
    <t>CASH DEPOSITED 1115025
ABERVAGBA ELIZABETH @ C34
SMTENGDTV712VJFL CSH BY
ABERVAGBA ELIZABETH @ ENG
ABUJA - GWAGWA</t>
  </si>
  <si>
    <t>CASH DEPOSITED 09460694
CASH DEP BY OJEYEMI
TEJUMADE @ SEME BR
SMTENGDTVSPOX7C1 CSH BY
OJEYEMI TEJUMADE @ ENG LAG</t>
  </si>
  <si>
    <t>CASH DEPOSITED
SMTENGDTOU5QDQOL CSH BY
JOLAYEMI BELINDA @ ENG
EGBEDA - IDUMU</t>
  </si>
  <si>
    <t>CASH DEPOSITED DEP BY
ANIGBOGU ANTHONY OSINACHI
@ GARDEN AVENUE
SMTENGDTOHSHAHTN CSH BY
ANIGBOGU ANTHONY OSINACHI</t>
  </si>
  <si>
    <t>CASH DEPOSITED 0416881 CASH
DEP BY KAUMI BINTU KYARI
@B56 SMTENGDTTXM9H4EV CSH
BY KAUMI BINTU KYARI @ ENG
MAIDUGU</t>
  </si>
  <si>
    <t>CASH DEPOSITED C02 CASH DEP
BY SAMSON A MADAKI @LIB UMU
BRN</t>
  </si>
  <si>
    <t>CASH DEPOSITED CASH DEP BY
BAJOMO OLUTOPE GRACE @
A77 SMTENGDTYTIFFCV6 CSH BY
BAJOMO OLUTOPE GRACE @
ENG ABEOKUTA</t>
  </si>
  <si>
    <t>CASH DEPOSITED CASH DEP BY
AJAYI OLUWAFEMI JOACHIM @
A77 SMTENGDTHIFQMHSR CSH
BY AJAYI OLUWAFEMI JOACHIM
@ ENG AB</t>
  </si>
  <si>
    <t>CASH DEPOSITED CSH DEP BY
ERUZEGBUA PATIENCE AIZEHI
FOR FELLOWSHIP
REGISTRATION FEE@A77
SMTENGDT43DZZJNJ CSH BY</t>
  </si>
  <si>
    <t>CASH DEPOSITED CASH DEP BY
CHUKWUMERIJE CHETACHI C @
ZARIA BR SMTENGDTMPP7HLXK
CSH BY CASH DEP BY
CHUKWUMERIJE CH</t>
  </si>
  <si>
    <t>CASH DEPOSITED AISHA
HARUNA ABDULLAHI
SMTENGDTJDFGIUEU CSH BY
AISHA HARUNA ABDULLAHI @
ENG NATIONAL ASSEMBLY ABUJ</t>
  </si>
  <si>
    <t>CASH DEPOSITED
SMTENGDTEBANKUCJ CSH BY
CASH DEP BY DR. OYETUNDE
OLAIDE R@MARINA @ ENG
LAGOS - MARINA BRANCH</t>
  </si>
  <si>
    <t>CASH DEPOSITED
SMTENGDTPXTWV1DY CSH BY
B52 DEP BY OBIEGBU ADAEZE
CHIDINMA @ NNEWI @ ENG
NNEWI - NKWO MKT ROAD</t>
  </si>
  <si>
    <t>CASH DEPOSITED
SMTENGDTCRK5UYPW CSH BY
GODWIN MARK @ ENG GOMBE -
BIU ROAD</t>
  </si>
  <si>
    <t>CASH DEPOSITED 00191144 DEP
BY DAKWOM NANRIBET/ WACP
INDUCTION AGSM REG @ GARKI
2 SMTENGDTLMENNGKY CSH BY
DAKWOM</t>
  </si>
  <si>
    <t>CASH DEPOSITED DEP BY
ONELUM NNEKA TERESA @
ANWAI BR SMTENGDTVSPY5VTB
CSH BY ONELUM NNEKA
TERESA @ ENG ASABA-ANWA</t>
  </si>
  <si>
    <t>CASH DEPOSITED CASH DEP BY
OMINYI EMMANUEL EGWU
@ILESA</t>
  </si>
  <si>
    <t>CASH DEPOSITED
SMTENGDT4NGKGXPR CSH BY
00121928 DEP BY AHIAKWO
NKIRUKA @C73(COMPLETION OF
INITIAL PAYMET) @ ENG P</t>
  </si>
  <si>
    <t>CASH DEPOSITED 00077983
CASH DEP BY NWACHUKWU
IFEANYI MAGNUS @ B55
SMTENGDTWE2QWHNP CSH BY
NWACHUKWU IFEANYI MAGN</t>
  </si>
  <si>
    <t>CASH DEPOSITED 00070172
CASH DEP BY MIKE LOYIBO
@MAITAMA C43
SMTENGDTQ0W2A4JZ CSH BY
MIKE LOYIBO @ ENG ABUJA - MA</t>
  </si>
  <si>
    <t>CASH DEPOSITED
SMTENGDTJAWUSXKX CSH BY
EZE EZIAMAKA GLORIA @ ENG
NATIONAL ASSEMBLY ABUJA</t>
  </si>
  <si>
    <t>CASH DEPOSITED 00094269
CASH DEP BY DR HALADU
IBRAHIM A @ A10 BRK</t>
  </si>
  <si>
    <t>CASH DEPOSITED 385 CSH DEP
BY ENOCK PAUL IDOWU @RCCG</t>
  </si>
  <si>
    <t>CASH DEPOSITED 00110793
CASH DEP (AGSM
REGISTRATION)
SMTENGDT9CCMDEED CSH BY
DR. ABDURAHMAN SADDIQ @
ENG KANO - M</t>
  </si>
  <si>
    <t>CASH DEPOSITED
SMTENGDTQBZQ27Q7 CSH BY
DEP BY UGWA ONYEKACHI
MICHAEL @C63 @ ENG ENUGU -
GARDEN AVENUE</t>
  </si>
  <si>
    <t>CASH DEPOSITED 1070132 /
CASH DEP BY JIMOH AKEEM /
AGSM CONF-REG @ D45
SMTENGDTVC6GT7T2 CSH BY
JIMOH AKEEM / AGSM</t>
  </si>
  <si>
    <t>CASH DEPOSITED CASH DEP BY
THELMA ONYINYE AKUMUO @
JOS2 SMTENGDTEW4OF01J CSH
BY THELMA ONYINYE AKUMUO
@ ENG JOS-A</t>
  </si>
  <si>
    <t>CASH DEPOSITED
SMTENGDTLXUMMKE2 CSH BY
SEYOJI MOHAMMED SHAFIQ @
ENG GOMBE - BIU ROAD</t>
  </si>
  <si>
    <t>CASH DEPOSITED 00162478
SMTENGDTHQNB9SYK CSH BY
CHIDOZIE CHIAMAKA PERPETUA
@ ENG AWKA - OPP GOVT
HOUSE</t>
  </si>
  <si>
    <t>CASH DEPOSITED 0539363 AGSM
CONFERENCE REGISTRATION
SMTENGDTJ4CPXWNE CSH BY
IDENYI NEMILE MIKE @ ENG
ABUJA - AREA</t>
  </si>
  <si>
    <t>CASH DEPOSITED CASH DEP BY
SCHOLA NTUNG @ JOS2
SMTENGDTVC2F23IM CSH BY
SCHOLA NTUNG @ ENG JOS-
AHMADU BELLO WAY 2</t>
  </si>
  <si>
    <t>CASH DEPOSITED 1115030 CASH
DEP BY ONOCHIE CHINELO
U.@C34 SMTENGDTRWTVMRAN
CSH BY ONOCHIE CHINELO U. @
ENG ABUJA</t>
  </si>
  <si>
    <t>CASH DEPOSITED CASH DEP BY
ZOAKAH JOY HYELNI @ JOS2
SMTENGDTE7IDU0FQ CSH BY
ZOAKAH JOY HYELNI @ ENG
JOS-AHMADU BE</t>
  </si>
  <si>
    <t>CASH DEPOSITED
SMTENGDTS1OVG8CE CSH BY
DR OLUSINA MICHEAL AJIDAHUN
@ ENG AGEGE - IJU ROAD</t>
  </si>
  <si>
    <t>CASH DEPOSITED DEP BY
CHRISTAIN OKOROBIA
ONUKWUE PAYMENT FOR WACP
AGSM 2025@ LIB RD UMUAHIA</t>
  </si>
  <si>
    <t>CASH DEPOSITED
SMTENGDT5SFGVO7T CSH BY
MR. IDOWU OLANIKE RACHEAL
@MARINA @ ENG LAGOS -
MARINA BRANCH</t>
  </si>
  <si>
    <t>CASH DEPOSITED
SMTENGDTRHJWW51L CSH BY
CASH DEP DR.OSENI FUNMILAYO
M @MARINA @ ENG LAGOS -
MARINA BRANCH</t>
  </si>
  <si>
    <t>CASH DEPOSITED
SMTENGDT3M9LDSIH CSH BY
CASH DEP BY DR. BOLUJOKO
OYINADE O @MARINA @ ENG
LAGOS - MARINA BRANCH</t>
  </si>
  <si>
    <t>CASH DEPOSITED
SMTENGDTIKMYLEHO CSH BY
CASH DEP BY DR. IDOWU
OLANIKE RACHEAL @MARINA @
ENG LAGOS - MARINA BRANCH</t>
  </si>
  <si>
    <t>CASH DEPOSITED CASH DP BY
DR. EKEDUM EMMANUELLA
UCHENNA @ A89
SMTENGDTAMXXCNBX CSH BY
DR. EKEDUM EMMANUELLA
UCHE</t>
  </si>
  <si>
    <t>CASH DEPOSITED
SMTENGDTEUTZ6WO0 CSH BY
DR BRENDA ISIKEKPEI @ ENG
LAGOS - SURULERE</t>
  </si>
  <si>
    <t>CASH DEPOSITED 7498927
SMTENGDTYIZVSP68 CSH BY
HAMZA @ ENG BENIN - SAPELE
ROAD</t>
  </si>
  <si>
    <t>CASH DEPOSITED CASH DEP BY
DR. ATTAHIR DAN-ALI MUSTAPHA
SMTENGDTGRKRMH0Z CSH BY
DR. ATTAHIR DAN-ALI MUSTAPHA
@ EN</t>
  </si>
  <si>
    <t>CASH DEPOSITED CASH DEP BY
DR.DICKSON ANIEKAN @
ECOWAS BRN
SMTENGDTUUE7KDGT CSH BY
DR.DICKSON ANIEKAN @ ENG
ABUJA</t>
  </si>
  <si>
    <t>CASH DEPOSITED 00155430 CS
DEP BY OMOREGBE ISAAC@EKP</t>
  </si>
  <si>
    <t>CASH DEPOSITED 7498928
SMTENGDT3DSPYBYB CSH BY
NWOYE JOSPEH CHUKWEMEKA
@ ENG BENIN - SAPELE ROAD</t>
  </si>
  <si>
    <t>CASH DEPOSITED 1070133 CASH
DEPOSITED BY ORJI IKECHUKWU
@D45 SMTENGDTJQ2D12XL CSH
BY ORJI IKECHUKWU @ ENG
ABUJA -</t>
  </si>
  <si>
    <t>CASH DEPOSITED B80 USD CASH
DEP BY SOYEMI FLORENCE
ABOSEDE @ ILORIN MAIN</t>
  </si>
  <si>
    <t>CASH DEPOSITED 00094280
CASH DEP BY AHMED ISMAIL @
A10 BELLO RD KN
SMTENGDT2UFHS6KU CSH BY
SELF @ ENG KANO - BELL</t>
  </si>
  <si>
    <t>CASH DEPOSITED 1115033 CASH
DEP BY ENYINNAYA ADAUGO .J.
@C34 SMTENGDTWKDYM8JJ
CSH BY ENYINNAYA ADAUGO .J.
@ ENG A</t>
  </si>
  <si>
    <t>CASH DEPOSITED CSH DEP BY
EKELE AMADI-ROBERT @C92
SMTENGDTBFPZWTDZ CSH BY
CSH DEP BY EKELE AMADI-
ROBERT @C92 @ EN</t>
  </si>
  <si>
    <t>CASH DEPOSITED 00190068/
REGISTRATION FEE BO OLADOJA
OMOBOLANLE @ISJ
SMTENGDTHERN5U1K CSH BY
OLADOJA OMOBOLANLE @</t>
  </si>
  <si>
    <t>CASH DEPOSITED
SMTENGDTEAHYQJVG CSH BY
ONESIMUS UZOAMAKA
BLESSING @ ENG- ASABA1</t>
  </si>
  <si>
    <t>CASH DEPOSITED 0416899 CASH
DEP BY SALEH HASSAN
ABUBAKAR @B56
SMTENGDTCBWEW2BP CSH BY
SALEH HASSAN ABUBAKAR @
ENG</t>
  </si>
  <si>
    <t>CASH DEPOSITED 00110796
SMTENGDTMS6LE1LQ CSH BY
HUSSAINA MOHAMMED ADAM @
ENG KANO - MURTALA MOH WAY</t>
  </si>
  <si>
    <t>CASH DEPOSITED DEP BY
UCHENNA ENWEREUZO @
ANWAI BR SMTENGDTE9GRSBHP
CSH BY UCHENNA ENWEREUZO
@ ENG ASABA-ANWAI DU</t>
  </si>
  <si>
    <t>CASH DEPOSITED DEP BY
AGHIMIEN RAYMOND @ ANWAI
BR SMTENGDTZK3OF9AC CSH BY
AGHIMIEN RAYMOND @ ENG
ASABA-ANWAI DUAL</t>
  </si>
  <si>
    <t>CASH DEPOSITED CASH DEP BY
DR KAREEM M O @ UPPER
TAIWO D65
SMTENGDTK2UKAY4U CSH BY
DR KAREEM M. O @ ENG ILORIN -</t>
  </si>
  <si>
    <t>CASH DEPOSITED B50 BY
ADEDOKUN OLUFUNKE. F
@EKET2 SMTENGDTKWV0XJ9P
CSH BY ADEDOKUN OLUFUNKE.
F @ ENG EKET - BRACE</t>
  </si>
  <si>
    <t>CASH DEPOSITED
SMTENGDTFXTOUTLQ CSH BY
ADEDEJI BAKARE @ ENG OGUDU</t>
  </si>
  <si>
    <t>CASH DEPOSITED
SMTENGDTSWNCFORN CSH BY
SEYOJI MOHAMMED SHAFIQ @
ENG GOMBE - BIU ROAD</t>
  </si>
  <si>
    <t>CASH DEPOSITED 00184244 DEP
BY ADENIYI ADUWO@WEST AVE
SMTENGDTAPHFNMO3 CSH BY
ADENIYI ADUWO @ ENG LAGOS -
WESTERN</t>
  </si>
  <si>
    <t>CASH DEPOSITED CASH DP BY
DR CHINEDU NWOSU@B86
SMTENGDTBJPVLZ3E CSH BY
CASH DP BY DR CHINEDU
NWOSU@B86 @ ENG ABAK</t>
  </si>
  <si>
    <t>CASH DEPOSITED 00179450
CASH DEP BY SUOWARI
PAMOERE@ SANI ABACHA
SMTENGDTJYE9BRYE CSH BY
SUOWARI PAMOERE @ ENG YE</t>
  </si>
  <si>
    <t>CASH DEPOSITED CASH DEP BY
DR. NAFISATU MAMOON @ C20
SMTENGDTPXLASPBG CSH BY
DR. NAFISATU MAMOON @ ENG
KADUNA - A</t>
  </si>
  <si>
    <t>CASH DEPOSITED
SMTENGDTFINC4ZIX CSH BY
ABDULRAHMAN SALAMATU
ATINE @ ENG ABUJA - JABI
BRANCH</t>
  </si>
  <si>
    <t>CASH DEPOSITED ADAMS
WILLIAMS SMTENGDTGQICFYZB
CSH BY 00144951 DEP BY
ADAMS WILLIAMS @BIDA @ ENG
MINNA - BIDA BRA</t>
  </si>
  <si>
    <t>CASH DEPOSITED 1175067/
SMTENGDTJQU79APL CSH BY
SADIYA ABDULKADIR
DOGONDAJI @ ENG SOKOTO -
MARKET BRANCH</t>
  </si>
  <si>
    <t>CASH DEPOSITED
SMTENGDTCDMSAV6H CSH BY
OMOKANYE MOYOSOLUWA
OKIKIJESU @ ENG OSUN - ILESA</t>
  </si>
  <si>
    <t>CASH DEPOSITED DEP BY
TITILOLA EDUVIE @ ANWAI BR
SMTENGDTAZGZ7LHC CSH BY
TITILOLA EDUVIE @ ENG ASABA-
ANWAI DUAL</t>
  </si>
  <si>
    <t>CASH DEPOSITED 0479218/AISHA
AMINU LAWWAL
SMTENGDTD653BXTS CSH BY
SADIYA ADBULKADIR
DOGONDAJI @ ENG SOKOTO -
MARK</t>
  </si>
  <si>
    <t>CASH DEPOSITED 151276 CASH
DEP BY AISHA KABIR TURAKI
@FRD3 SMTENGDTUGAD672W
CSH BY AISHA KABIR TURAKI @
ENG KANO</t>
  </si>
  <si>
    <t>CASH DEPOSITED AGSM CONF.
REG SMTENGDTBU36LNRF CSH
BY CHINONSO CHUKWU JAMES
@ ENG PH - RUMUOLA BRANCH</t>
  </si>
  <si>
    <t>CASH DEPOSITED 76724 CS DEP
BY AMOSUN FOLASADE @ISH
SMTENGDTHKCSSQAX CSH BY
SELF @ ENG LAGOS - ISHERI
BRANCH</t>
  </si>
  <si>
    <t>CASH DEPOSITED
SMTENGDTII5GPZKE CSH BY
OKECHUKWU EGBUKA @ ENG
PH - ABA ROAD 2</t>
  </si>
  <si>
    <t>CASH DEPOSITED 00104147 CS
DEP BY DR AISHA SULEIMAN @
B79 JIMETA BR
SMTENGDTRLGQZ90E CSH BY
DR AISHA SULEIMAN @ E</t>
  </si>
  <si>
    <t>CASH DEPOSITED DEP BY
OBANOVWE JUDITH E.
SMTENGDT5ZD0DCZD CSH BY
OBANOVWE JUDITH E. @ ENG
ABUJA - AREA 8 GARKI</t>
  </si>
  <si>
    <t>CASH DEPOSITED
SMTENGDTNYIIS8Z7 CSH BY DR
JITENDRA SINGH @ ENG
SOKOTO - SOKOTO MAIN</t>
  </si>
  <si>
    <t>CASH DEPOSITED 00088310
AGSM CONFERENCE UKA
(FELLOW) SMTENGDTBVMJPTG2
CSH BY KALU UKA SHEDRACH @
ENG YENAGOA - MB</t>
  </si>
  <si>
    <t>CASH DEPOSITED CSH DEP BY
DR DIANE MOMOH/AGSM
REGISTRATION FEE@RUMUOLA
SMTENGDTJ11DOAN6 CSH BY
DR DIANE MOMOH @ E</t>
  </si>
  <si>
    <t>CASH DEPOSITED
SMTENGDTTK6ADM3W CSH BY
OLUSHOLA ADENIRAN @ ENG
GOMBE - BIU ROAD</t>
  </si>
  <si>
    <t>CASH DEPOSITED
SMTENGDTFEEMBF6E CSH BY
AGSM CONF. REG. BY DR
OGBEBOR CHRISTINE@A20 @
ENG UYO-ORON ROAD</t>
  </si>
  <si>
    <t>CASH DEPOSITED CASH DEP BY
ZAINAB GUREMA
BAWE@ADEMOLA BR</t>
  </si>
  <si>
    <t>CASH DEPOSITED 00179457
CASH DEP USIFO OMOYE
WINIFRED @ SANI ABACHA
SMTENGDT6LKBVCMU CSH BY
USIFO OMOYE WINIFRED</t>
  </si>
  <si>
    <t>CASH DEPOSITED 52616821
AGSM CONFERENCE
REGISTRATION
SMTENGDTO1FTAGDT CSH BY
EZEAPUTA UCHENNA @ ENG
BENIN - MISSI</t>
  </si>
  <si>
    <t>CASH DEPOSITED 00179458
CASH DEP BY NWADIKE ADAKU
BINAH @ SANI ABACHA
SMTENGDTYI0ZHU7Y CSH BY
NWADIKE ADAKU BINAH</t>
  </si>
  <si>
    <t>CASH DEPOSITED CSH DEP BY
EFETURI-ODELE CHINAZOM/
AGSM CONFERENCE
REGISTRATION@RUMUOLA
SMTENGDTA6HRBQQF CSH BY
EF</t>
  </si>
  <si>
    <t>CASH DEPOSITED CASH DEP BY
DR ADESOLA KAYODE .I.
@ILORIN MAIN B80</t>
  </si>
  <si>
    <t>CASH DEPOSITED CSH DEP BY
DR. EBELE NWAFOR@A11
SMTENGDTKT2IQVQM CSH BY
CSH DEP BY DR. EBELE
NWAFOR@A11 @ ENG ABUJ</t>
  </si>
  <si>
    <t>CASH DEPOSITED 364
SMTENGDTZULXZJ59 CSH BY
IKECHUKWU NDIDIAMAKA M @
ENG - DOUGLAS ROAD BR.
OWERRI</t>
  </si>
  <si>
    <t>CASH DEPOSITED
SMTENGDTGYIRSJAG CSH BY
ADENIRAN OLAWANDE @ ENG
MOWE - REDEMPTION CAMP</t>
  </si>
  <si>
    <t>CASH DEPOSITED CSH DEP FOR
AGSM CONF REGISTRATION@N/
AZK SMTENGDTLT1MSDJ2 CSH
BY JOSEPHINE E.E.SOKOLO @
ENG PH - N</t>
  </si>
  <si>
    <t>CASH DEPOSITED
SMTENGDTXALXZ2WW CSH BY
CSH DEP BY OMOBOYEJE
ABISOLA OLUWATOYIN @
OSOGBO @ ENG OSUN OSOGBO
BRANCH</t>
  </si>
  <si>
    <t>CASH DEPOSITED DEP BY
HAUWA UMAR NATAALA @ AREA
8 BR SMTENGDTR4ILNHKD CSH
BY HAUWA UMAR NATAALA @
ENG ABUJA - AR</t>
  </si>
  <si>
    <t>CASH DEPOSITED CASH DEP BY
AGSM MAIRAMI @ ASOKORO BR
SMTENGDTKFRTYCAT CSH BY
SELF @ ENG ASOKORO -
YAKUBU GOWON</t>
  </si>
  <si>
    <t>CASH DEPOSITED 99089971 DEP
BY DOKEDENSI UYA@GARKI 2
SMTENGDTLDYQLY3U CSH BY
99089971 DEP BY DOKEDENSI
UYA@GARKI</t>
  </si>
  <si>
    <t>CASH DEPOSITED CASH DEP BY
AGSM GALADANCI @ ASOKORO
BR SMTENGDTSXUHONG8 CSH
BY SELF @ ENG ASOKORO -
YAKUBU GOWON</t>
  </si>
  <si>
    <t>CASH DEPOSITED 00139623 BY
DR. IMAOBONG OKON (ANNUAL
GEN. SCIENTIFIC MEETIING) @
MARY SLESSOR
SMTENGDTYMIYOGCK CSH</t>
  </si>
  <si>
    <t>CASH DEPOSITED 00139624 BY
DR. CHARITY OJONG AJAKE
(ANNUAL GEN. SCIENTIFIC
MEETIING) @ MARY SLESSOR
SMTENGDTXFZC3M</t>
  </si>
  <si>
    <t>CASH DEPOSITED
SMTENGDTUIYQYV9D CSH BY
ABDULRAHEEM KAMADEEN @
ENG LAGOS - SURULERE</t>
  </si>
  <si>
    <t>CASH DEPOSITED
SMTENGDTTZWCEAIA CSH BY
00135901 DEP BY AMADI
VICTORIA @C73 @ ENG PH - OLU
OBASANJO</t>
  </si>
  <si>
    <t>CASH DEPOSITED CSH DEP BY
DR IGBITI JUSTICE@A11
SMTENGDTJYRAWMPM CSH BY
CSH DEP BY DR IGBITI
JUSTICE@A11 @ ENG AB</t>
  </si>
  <si>
    <t>CASH DEPOSITED MEMBER
SMTENGDT7ZJT0BJC CSH BY
SIMEON ABASIODU AUGUSTINE
@ ENG LAGOS - IYANA IPAJA</t>
  </si>
  <si>
    <t>CASH DEPOSITED CSH DEP BY
ISHOLA AHMED @ IKD TWN BR
SMTENGDTOI44SQP3 CSH BY
ISHOLA AHMED @ ENG LAGOS -
IKORODU TO</t>
  </si>
  <si>
    <t>CASH DEPOSITED 1175206/
SMTENGDTPLBGBQPS CSH BY
HASSAN MOHAMMED ABBA @
ENG SOKOTO - MARKET BRANCH</t>
  </si>
  <si>
    <t>CASH DEPOSITED 1175069 CASH
DEP BY EKOCHIN KIRAN OBINNA
@ F15 SMTENGDTD4RFRXH7
CSH BY EKOCHIN KIRAN OBINNA
@ ENG</t>
  </si>
  <si>
    <t>CASH DEPOSITED
SMTENGDTQ91LQICX CSH BY
ZAINAB GURAMA BAWA @JABI.
@ ENG ABUJA - JABI BRANCH</t>
  </si>
  <si>
    <t>CASH DEPOSITED 151281 CASH
DEP BY OSAKWE NELLY
CHIGOZIE (WACP GSM
MEMBERSHIP INDUCTION)
@FRD3 SMTENGDT2IK1RMFB
CSH</t>
  </si>
  <si>
    <t>CASH DEPOSITED
SMTENGDT1OPFVSZD CSH BY
AGSM REGISTRATION B/O
MUKTAR MAHMUD @ ENG
KATSINA - INN ROADBRANCH</t>
  </si>
  <si>
    <t>CASH DEPOSITED
SMTENGDTR4VHTWLZ CSH BY
AMUSU FOLASHADE @ ENG
LAGOS - IKOTUN</t>
  </si>
  <si>
    <t>CASH DEPOSITED
SMTENGDTYDCKNAP6 CSH BY
AMOSUN FOLASADE @ ENG
LAGOS - IKOTUN</t>
  </si>
  <si>
    <t>CASH DEPOSITED 1217501 CASH
DEP BY DR. HADIZA LAWAN
BUKAR @B56
SMTENGDT0HTJA0WZ CSH BY
DR. HADIZA LAWAN BUKAR @ E</t>
  </si>
  <si>
    <t>CASH DEPOSITED 1175070/
SMTENGDTROCPKUR0 CSH BY
ABDULAZIZ IBRAHIM @ ENG
SOKOTO - MARKET BRANCH</t>
  </si>
  <si>
    <t>CASH DEPOSITED 2025 ANNUAL
GENERAL SCIENTIFIC MEETING
(AGSM) SMTENGDTJ8IL5B9E CSH
BY AKUDOLU ALEXANDRA
UZOCHIKWA @</t>
  </si>
  <si>
    <t>CASH DEPOSITED CASH DEP BY
GASPER DEBORAH @C80
SMTENGDTUL8JSJVI CSH BY
CASH DEP BY GASPER DEBORAH
@C80 @ ENG IPAJ</t>
  </si>
  <si>
    <t>CASH DEPOSITED
SMTENGDTDXAONQFY CSH BY
AGSM REGISTRATION B/O DR
HAFSATU IBRAHIM @ ENG
KATSINA - INN ROADBRANCH</t>
  </si>
  <si>
    <t>CASH DEPOSITED
SMTENGDTNYBLHDMT CSH BY
AGSM REGISTRATION B/O DR
FATIMA UMAR MANI @ ENG
KATSINA - INN ROADBRANCH</t>
  </si>
  <si>
    <t>CASH DEPOSITED
SMTENGDTDYP4WTXR CSH BY
OLADOJA OMOBOLANLE @ ENG
ALABA - AGUDOSI 2</t>
  </si>
  <si>
    <t>CASH DEPOSITED
SMTENGDTK9IIXSUN CSH BY DR
THERESA CHINWE UZENDU @
ENG ABUJA - H. MACAULAY</t>
  </si>
  <si>
    <t>CASH DEPOSITED 151282 CASH
DEP BY AISHA KABIR (SCHOOL
FEES) @FRD3
SMTENGDTLMKTLVYR CSH BY
AISHA KABIR @ ENG KANO</t>
  </si>
  <si>
    <t>CASH DEPOSITED DEP BY OBASI
CHIKEZIE U. @C63
SMTENGDTVDGOWT4V CSH BY
DEP BY OBASI CHIKEZIE U. @C63
@ ENG ENUGU -</t>
  </si>
  <si>
    <t>CASH DEPOSITED CONFERENCE
SMTENGDTOFTPSMEI CSH BY
BY DR. OKEKE ISRAEL
EBUBECHUKWU@MARYSLESSO
R @ ENG CALABAR-MARY</t>
  </si>
  <si>
    <t>CASH DEPOSITED PAYMENT IRO
AGSM REGISTRATION B/O
IBRAHIM-SAAD AMINAT BINTA
SMTENGDTIWURJFQV CSH BY
IBRAHIM-SAAD A</t>
  </si>
  <si>
    <t>CASH DEPOSITED INVOICE NO :
134 SMTENGDTKOTFW0CK CSH
BY JOSEPH AJANWENYI @ ENG-
ASABA1</t>
  </si>
  <si>
    <t>CASH DEPOSITED INVOICE NO :
168 SMTENGDTDACLTLPL CSH
BY UZOMA CHIDINMA
AJANWENYI JOSEPH @ ENG-
ASABA1</t>
  </si>
  <si>
    <t>CASH DEPOSITED 00076254 CS
DEP BY DR AHMED KAMAL
ABDULKAREEM @ A14
SMTENGDT80RJ80II CSH BY DR
AHMED KAMAL ABDULK</t>
  </si>
  <si>
    <t>CASH DEPOSITED
SMTENGDTBFMXIAX6 CSH BY
DR. HADIZA TUKUR @ ENG
GOMBE - BIU ROAD</t>
  </si>
  <si>
    <t>CASH DEPOSITED
SMTENGDTOD3DDXM0 CSH BY
00070773 CASH DEP BY
NWANKWO IFEYINWA GLORIA @
NNEWI @ ENG NNEWI - NKWO MK</t>
  </si>
  <si>
    <t>CASH DEPOSITED
SMTENGDT8ZIR5A6U CSH BY
BENSON UDU @ ENG ABUJA - H.
MACAULAY</t>
  </si>
  <si>
    <t>CASH DEPOSITED 0391595 CASH
DEP BY DR. ABDULLAHI M LAWAL
SMTENGDTQQ5RW7CK CSH BY
DR. ABDULLAHI M LAWAL @ ENG
SOKO</t>
  </si>
  <si>
    <t>CASH DEPOSITED 5850591 CASH
DEP BY DR. NURA BELLO @ SOK
MAIN SMTENGDTYSZAG4SW CSH
BY DR. NURA BELLO @ ENG
SOKOTO</t>
  </si>
  <si>
    <t>CASH DEPOSITED 5850594 CASH
DEP BY DR. OMOTOLANI
AKINTUNDE
SMTENGDTVUNW4G0M CSH BY
DR. OMOTOLANI AKINTUNDE @
ENG</t>
  </si>
  <si>
    <t>CASH DEPOSITED A15 BY
OLUFUNKE F. ADEDOKUN
(CONFRENCE REGISTRATION
BALANCE)@EKET
SMTENGDTULWWJZE2 CSH BY
OLUFUNKE</t>
  </si>
  <si>
    <t>CASH DEPOSITED 151284 CASH
DEP BY MANSUR ALHASSAN
(SCHOOL FEES) @FRD3
SMTENGDT82NJYQ8G CSH BY
MANSUR ALHASSAN LIB</t>
  </si>
  <si>
    <t>CASH DEPOSITED 031597 CASH
DEP BY DR. ABDULRAHMAN
SALIHU @ SOK MAIN
SMTENGDTPXTHWYZK CSH BY
DR. ABDULRAHMAN SALIH</t>
  </si>
  <si>
    <t>CASH DEPOSITED 0391598 CASH
DEP BY DR. JUDITH DIKE @ SOK
MAIN SMTENGDTNQX6FMLL CSH
BY DR. JUDITH DIKE @ ENG
SOKO</t>
  </si>
  <si>
    <t>CASH DEPOSITED 0391596 CASH
DEP BY DR. MANSUR ABDULLAHI
@ SOK MAIN
SMTENGDTEO5GRLJA CSH BY
DR. MANSUR ABDULLAHI @</t>
  </si>
  <si>
    <t>CASH DEPOSITED
SMTENGDTCOSDBGDT CSH BY
DR OWUSU VICTOR YAW @ ENG
MOWE - REDEMPTION CAMP</t>
  </si>
  <si>
    <t>CASH DEPOSITED CASH DEP BY
OSAGIE EKIENABOR @ NCR
SMTENGDTDER7QQ50 CSH BY
OSAGIE EKIENABOR @ ENG
IBADAN - NEW COU</t>
  </si>
  <si>
    <t>CASH DEPOSITED
SMTENGDTKJQAZUU1 CSH BY
DR ADEKOLADE AYODEJI
STEPHEN @ ENG LAGOS -
SURULERE</t>
  </si>
  <si>
    <t>CASH DEPOSITED 1217502 CASH
DEP BY DR. KUSSIY KWALA
@B56 SMTENGDTZMRKO3S8
CSH BY DR. KUSSIY KWALA @
ENG MAIDUGURI</t>
  </si>
  <si>
    <t>CASH DEPOSITED 1249411
SMTENGDTERFSYYQD CSH BY
ONUOHA GEORGE A. @ ENG PH -
NNAMDI AZIKIWE</t>
  </si>
  <si>
    <t>CASH DEPOSITED DEP BY
BAJOWA ADEMOLA @ AREA 8 BR
SMTENGDTFUH3DQ0Q CSH BY
BAJOWA ADEMOLA @ ENG
ABUJA - AREA 8 GARK</t>
  </si>
  <si>
    <t>CASH DEPOSITED
SMTENGDTTNFZBIES CSH BY
OMOZELE UWADIA @ ENG-
ASABA1</t>
  </si>
  <si>
    <t>FUNDS TRANSFER - INWARD
C0052108613201 TRF B/O
SERENA O LOMOTEY
IRO /ROC/3566785210ES///URI/
PAYMENT FOR
DR. ROBERT BEN NII LOMOTEY
EDUCATI
ON EXPENSES ISN 0117775OSN
0086132
SSN 00573522/RFB/3566785210ES
IFO WEST AFRI-/ROC/
3566785210ES///URI/PAYMENT
FOR</t>
  </si>
  <si>
    <t>CASH DEPOSITED PAYYMENT
IRO AGSM REG. B/O DR.
SODANGI YAHYA SALISU
SMTENGDTTZ13X5WY CSH BY
DR. SODANGI YAHYA SALI</t>
  </si>
  <si>
    <t>CASH DEPOSITED DEP BY ILORI
OLUKEMI .C (AGSM FEE) @AKR2</t>
  </si>
  <si>
    <t>CASH DEPOSITED CASH DEP BY
ABDULRAHMAN SALAMATU
ATINE@ JABI</t>
  </si>
  <si>
    <t>CASH DEPOSITED 1036914 BY
OGOCHUKWU E @AJAO
SMTENGDTHOBIDMMM CSH BY
SELF @ ENG LAGOS - AJAO
ESTATE</t>
  </si>
  <si>
    <t>CASH DEPOSITED 00092040
CASH DEP BY ADAMU ABBA
ADAMU @A32
SMTENGDTEHFTMKRP CSH BY
ADAMU ABBA ADAMU @ ENG
MAIDUGUR</t>
  </si>
  <si>
    <t>CASH DEPOSITED 00092044
CASH DEP BY BASHIR M.
DANSANDA @A32
SMTENGDTYQTMX3GF CSH BY
BASHIR M. DANSANDA @ ENG
MAID</t>
  </si>
  <si>
    <t>CASH DEPOSITED
SMTENGDTRB2NBLMT CSH BY
DR ADEYEMO ADEDAPO @ ENG
LAGOS - SURULERE</t>
  </si>
  <si>
    <t>CASH DEPOSITED 00172650
SMTENGDT23XRQSUD CSH BY
DR AMACHREE IBINABO @ ENG
PH - NNAMDI AZIKIWE</t>
  </si>
  <si>
    <t>CASH DEPOSITED 08112453
SMTENGDTSO38BM1H CSH BY
AMINA BALA MUHD @ ENG KANO
- MURTALA MOH WAY</t>
  </si>
  <si>
    <t>CASH DEPOSITED
SMTENGDT4LSF5YGO CSH BY
DR JOSEPH OCHE @ ENG
NATIONAL ASSEMBLY ABUJA</t>
  </si>
  <si>
    <t>CASH DEPOSITED
SMTENGDT1PGVTBGL CSH BY
DR IGOCHE PATRICIA OMADA @
ENG ABUJA - H. MACAULAY</t>
  </si>
  <si>
    <t>CASH DEPOSITED CASH DEP BY
DR AKINWALE MOSES @A11
SMTENGDTRNWVQVWM CSH BY
DR AKINWALE MOSES @ ENG
ABUJA - WUSE 2</t>
  </si>
  <si>
    <t>CASH DEPOSITED
SMTENGDTLDIRO2G5 CSH BY
AFOLABI MICHAEL SUNDAY @
ENG OSUN - ILESA</t>
  </si>
  <si>
    <t>CASH DEPOSITED CASH DEP BY
DR NNENNA OKAFOR @A11
SMTENGDTD9BCP3EG CSH BY
DR NNENNA OKAFOR @ ENG
ABUJA - WUSE 2</t>
  </si>
  <si>
    <t>CASH DEPOSITED DEP BY CHIKA
NWAEZIKE-OKAFOR @C63
SMTENGDTJZHWLHGC CSH BY
DEP BY CHIKA NWAEZIKE-
OKAFOR @C63 @ ENG</t>
  </si>
  <si>
    <t>CASH DEPOSITED A31 BY DR
BUSAYO KOLADE AKERELE FOR
2025 AGSM CONFERENCE
REGISTRATION@MARY SLESSOR
SMTENGDTNXYEWSCU</t>
  </si>
  <si>
    <t>CASH DEPOSITED 1175072/
ABUBAKAR MUAZU GIGANE
SMTENGDTVXRJPOXP CSH BY
UMAR MOHAMMED @ ENG
SOKOTO - MARKET BRANCH</t>
  </si>
  <si>
    <t>CASH DEPOSITED AGSM
CONFERENCE REGISTRATION
SMTENGDTYSH4FDMR CSH BY
AGBEJE ANDREW @ ENG LAGOS
- WESTERN AVENUE</t>
  </si>
  <si>
    <t>CASH DEPOSITED B29 DEP BY
OLAMIDE ABIODUN OGUNYEMI @
BDJ</t>
  </si>
  <si>
    <t>CASH DEPOSITED B29 DEP BY
OLUFEMI AKINDELE OLUJITAN @
BDJ</t>
  </si>
  <si>
    <t>CASH DEPOSITED 00143102 CS
DEP BY DR AMATU BABAKURA
IMAM @ B79 JIMETA BR
SMTENGDT4M3T8LTG CSH BY
SELF @ ENG YOLA</t>
  </si>
  <si>
    <t>CASH DEPOSITED
SMTENGDTI9ZEE4ZO CSH BY
DEP BY NNEKA UDORA @C63 @
ENG ENUGU - GARDEN AVENUE</t>
  </si>
  <si>
    <t>CASH DEPOSITED B29 DEP BY
DOCTOR OLUKEMI TITILOPE
OLUGBADE @ BDJ</t>
  </si>
  <si>
    <t>CASH DEPOSITED
SMTENGDTNJBG1O3Y CSH BY
ONYEUNONEME ODIARI @ ENG
LAGOS - SURULERE</t>
  </si>
  <si>
    <t>CASH DEPOSITED
SMTENGDTBKPFRLVY CSH BY
CASH DEP BY DR AGBARAKWE
BLESSING C.(INVOIVE NO:151)
@C92 @ ENG PH - CIRCU</t>
  </si>
  <si>
    <t>CASH DEPOSITED 0139635 BY
NTUI BARTHOLOMEW EKPE
(AGSM CONF. REG)@ MARY
SLESSOR</t>
  </si>
  <si>
    <t>CASH DEPOSITED 00140059/
CONFERENCE REGISTRATION
SMTENGDTGUHWLWGC CSH BY
UDOH ENO-ABASI IMEH @ ENG VI
- AJOSE ADE</t>
  </si>
  <si>
    <t>CASH DEPOSITED CASH DEP BY
DR NGOZI MMAMELU @A11</t>
  </si>
  <si>
    <t>CASH DEPOSITED
SMTENGDTWKL5VNGC CSH BY
OLAKUNLE FANIRAN @ ENG
EKITI - IJIGBO ROAD</t>
  </si>
  <si>
    <t>CASH DEPOSITED 0789525 CS
DEP BY JAMILA BASHIR @ B77
SMTENGDT9PW475JE CSH BY
SELF @ ENG KANO - NNPC
HOTORO</t>
  </si>
  <si>
    <t>CASH DEPOSITED CASH DEP BY
ALIYU BABAYO ALIYU TO WEST
AFRICAN COLLEGE OF
PHYSICIANS (AGSM CONF. REG.)
REGISTRATIO</t>
  </si>
  <si>
    <t>CASH DEPOSITED 0804387 CSH
DEP BY MAYFLOWER O. OZIEGBE
@ASP SMTENGDTTIBKVJU0 CSH
BY SELF @ ENG LAGOS-INTNL
TRADE</t>
  </si>
  <si>
    <t>CASH DEPOSITED A95 CSH DEP
BY ATUEYI MODESTUS IFEANYI
@ WILLIAMS BR
SMTENGDTXX8QZV1R CSH BY
ATUEYI MODESTUS IFEAN</t>
  </si>
  <si>
    <t>CASH DEPOSITED 609281 DEP BY
CHIBUZO AJAERO @ UTAKO
SMTENGDTOHTKZTXC CSH BY
CHIBUZO AJAERO @ ENG ABUJA
- UTAKO FC</t>
  </si>
  <si>
    <t>CASH DEPOSITED D13 CASH DEP
BY DR ADELEKE YAKUBU A@
LAFIA BR</t>
  </si>
  <si>
    <t>CASH DEPOSITED 364
SMTENGDT1GQMJVLO CSH BY
DR ERNEST NWAIGBO @ ENG -
DOUGLAS ROAD BR. OWERRI</t>
  </si>
  <si>
    <t>CASH DEPOSITED SLIP NO.
0498459 CASH DEP BY AISHA
AHMED @GWARINPA
SMTENGDTJBTJLQNS CSH BY
CASH DEP BY AISHA AHMED</t>
  </si>
  <si>
    <t>CASH DEPOSITED CASH DP BY
DR. PETER EKWUEME @ A89
SMTENGDTI06HLYDF CSH BY
DR, PETER EKWUEME @ ENG
ENUGU - OKPARA</t>
  </si>
  <si>
    <t>CASH DEPOSITED CASH DEP BY
STEPHEN ABAH @ ASOKORO BR</t>
  </si>
  <si>
    <t>FUNDS TRANSFER - INWARD
S0652125076D01 TRF B/O
TARANMEET KAUR NO LAST
NAME
IRO CASH . . IKHIFA-UNUANE
EHINOR/ROC/5
21119233410 IFO WEST AFRICAN
COLLEGE OF PHYSICIANS-
CASH . . IKHIFA-UNUANE EHINOR/
ROC/5</t>
  </si>
  <si>
    <t>CASH DEPOSITED 364
SMTENGDTF8GCX4O2 CSH BY
CHIDI DIKE @ ENG - DOUGLAS
ROAD BR. OWERRI</t>
  </si>
  <si>
    <t>CASH DEPOSITED
SMTENGDT2VIOQH0D CSH BY
RANSOM KUTI OLUBUKOLA @
ENG IKEJA - ALLEN AVENUE 3</t>
  </si>
  <si>
    <t>CASH DEPOSITED
SMTENGDTNPMC4D07 CSH BY
OLUBUKOLA RANSOME-KUTI @
ENG IKEJA - ALLEN AVENUE 3</t>
  </si>
  <si>
    <t>CASH DEPOSITED 1217516 CASH
DEP BY DR USMAN MUKHTAR
GAJIRAM@B56
SMTENGDT1LVHDVTH CSH BY
DR USMAN MUKHTAR GAJIRAM</t>
  </si>
  <si>
    <t>CASH DEPOSITED 1217517 CASH
DEP BY DR BELLO UMAR@B56
SMTENGDTYWHPPVFG CSH BY
DR BELLO UMAR @ ENG
MAIDUGURI - KASH</t>
  </si>
  <si>
    <t>CASH DEPOSITED 1217518 CASH
DEP BY DR FATIMA LAWAN
BUKAR@B56
SMTENGDTPFFJ8SEU CSH BY
DR FATIMA LAWAN BUKAR @
ENG</t>
  </si>
  <si>
    <t>CASH DEPOSITED
SMTENGDT83SZAOUI CSH BY DR
URHIE OTEJIRO ONAYIMI @ ENG-
ASABA1</t>
  </si>
  <si>
    <t>CASH DEPOSITED 1217525 CASH
DEP BY DR ABUBAKAR BUBA
MUAZU@B56
SMTENGDT8PWQ8CEE CSH BY
DR ABUBAKAR BUBA MUAZU @
EN</t>
  </si>
  <si>
    <t>CASH DEPOSITED
SMTENGDTXWN9C4JL CSH BY
UTIBE DAVID DAVID @ ENG UYO-
ORON ROAD</t>
  </si>
  <si>
    <t>CASH DEPOSITED 00179478
FELLOW 49TH AGSM
REGISTRATION AND INDUCTION
SMTENGDTEVVK1MZT CSH BY
DR. OGORI SAMUEL DEME</t>
  </si>
  <si>
    <t>CASH DEPOSITED
SMTENGDTQ8L4PYEF CSH BY
ODUNUYI PETER @ ENG OGUN -
IJEBU ODE</t>
  </si>
  <si>
    <t>CASH DEPOSITED AGSM
CONFERENCE REGISTRATION
FOR AKEREDOLU GRACE
@UNILAG BR
SMTENGDTOESGVLYD CSH BY
AKEREDOLU GRAC</t>
  </si>
  <si>
    <t>CASH DEPOSITED
SMTENGDTARYTZFC2 CSH BY
DR NKECHI MARYROSE PEJI @
ENG LAGOS - ISHERI BRANCH</t>
  </si>
  <si>
    <t>CASH DEPOSITED CASH DEP BY
DR NWOKE IJEOMA NGOZI .N.
@A89 SMTENGDTUWTHPQJ5
CSH BY DR NWOKE IJEOMA
NGOZI .N @ ENG</t>
  </si>
  <si>
    <t>CASH DEPOSITED 0491405 CASH
DEP BY DR. AISHA ALIYU
ABULFATHI @B56
SMTENGDTMO7TVTFB CSH BY
DR. AISHA ALIYU ABULFAT</t>
  </si>
  <si>
    <t>CASH DEPOSITED 00071630
SMTENGDTN7UGZN7Q CSH BY
HASSAN BUKA @ ENG VI - AJOSE
ADEOGUN 2</t>
  </si>
  <si>
    <t>CASH DEPOSITED CS DEP BY
VICTORIA EMIKE OLOGUN
(EMMYGEEVIC@GMAIL.COM
08032408231@B41</t>
  </si>
  <si>
    <t>CASH DEPOSITED CASH DEP BY
DR HOPE OWHONDAA AVUNDAA
@N/AZK</t>
  </si>
  <si>
    <t>CASH DEPOSITED MUSA
DANKYAU SMTENGDTTMVEQTX3
CSH BY MUSA DANKYAU @ ENG
ABUJA - AREA 8 GARKI</t>
  </si>
  <si>
    <t>CASH DEPOSITED OTAIGBE
BARBARA SMTENGDTGY1HIYTW
CSH BY OTAIGBE BARBARA @
ENG ABUJA - AREA 8 GARKI</t>
  </si>
  <si>
    <t>CASH DEPOSITED
SMTENGDTTOVUNKSX CSH BY
0015345 DEP BY PROF.
ANTOINETTE OFILI@GARKI 2 @
ENG ABUJA-GARKI 2</t>
  </si>
  <si>
    <t>CASH DEPOSITED 00190000 DEP
BY PROF OLUGBEMIGA
ABODUNRIN@GARKI 2
SMTENGDTR824LQ3Q CSH BY
SELF @ ENG ABUJA-GARKI 2</t>
  </si>
  <si>
    <t>CASH DEPOSITED CASH DEP BY
AKUNAEZIRI FATI ELEOJO@JOS2
SMTENGDTP8XGHECE CSH BY
AKUNAEZIRI FATI ELEOJO @ ENG
JOS-A</t>
  </si>
  <si>
    <t>CASH DEPOSITED 00125657
CASH DEP BY AYEBO SADOH @
UGBOWO SMTENGDTJZRX9L7P
CSH BY AYEBO SADOH @ ENG
BENIN - UGBOWO</t>
  </si>
  <si>
    <t>CASH DEPOSITED CASH
DEPOSITED BY AUWAL TIJJANI
SHUAIBU (AGSM CONF. REG.
2025) SMTENGDTG2UUDRVB CSH
BY AUWAL TIJJA</t>
  </si>
  <si>
    <t>OFFSHORE CHARGE OUTWARD
TRANSFER ENGFTC23AUG25025
TRF IFO Z-ANNUAL GENERAL
AND SCIENTIFIC</t>
  </si>
  <si>
    <t>COMMISSION ON OUTWARD
TRANSFER FORE
ENGFTC23AUG25025 TRF IFO Z-
ANNUAL GENERAL AND
SCIENTIFIC</t>
  </si>
  <si>
    <t>FUNDS TRANSFER OUTWARD -
FCY ENGFTC23AUG25025 TRF
IFO Z-ANNUAL GENERAL AND
SCIENTIFIC</t>
  </si>
  <si>
    <t>SWIFT FEE ENGFTC23AUG25025
TRF IFO Z-ANNUAL GENERAL
AND SCIENTIFIC</t>
  </si>
  <si>
    <t>VALUE ADDED TAX
ENGFTC23AUG25025 TRF IFO Z-
ANNUAL GENERAL AND
SCIENTIFIC</t>
  </si>
  <si>
    <t>CASH DEPOSITED CSH DEP BY
YAKUBU CHERIMA JOEL@A11</t>
  </si>
  <si>
    <t>CASH DEPOSITED CASH DEP BY
MADAKI J.K.ABOI @JOS2
SMTENGDTPHKGKG0L CSH BY
MADAKI J.K.ABOI @ ENG JOS-
AHMADU BELLO W</t>
  </si>
  <si>
    <t>CASH DEPOSITED CASH DP BY
ADEDEJI ADEYEYE @ C20
SMTENGDTMTSXOJOL CSH BY
CASH DP BY ADEDEJI ADEYEYE
@ C20 @ ENG KA</t>
  </si>
  <si>
    <t>CASH DEPOSITED CASH DEP BY
TAIWO OBINDO@JOS2
SMTENGDTHOTHSJYF CSH BY
TAIWO OBINDO @ ENG JOS-
AHMADU BELLO WAY 2</t>
  </si>
  <si>
    <t>CASH DEPOSITED CSH DEP BY
BENJAMIN SUNDAY CHUDI
UZOCHUKWU @A11</t>
  </si>
  <si>
    <t>OFFSHORE CHARGE OUTWARD
TRANSFER ENGFTD32SEP25001
TRF IFO LILAK RESEARCH-
ANNUAL GENERAL AND
SCIENTIFIC</t>
  </si>
  <si>
    <t>COMMISSION ON OUTWARD
TRANSFER FORE
ENGFTD32SEP25001 TRF IFO
LILAK RESEARCH-ANNUAL
GENERAL AND SCIENTIFIC</t>
  </si>
  <si>
    <t>FUNDS TRANSFER OUTWARD -
FCY ENGFTD32SEP25001 TRF IFO
LILAK RESEARCH-ANNUAL
GENERAL AND SCIENTIFIC</t>
  </si>
  <si>
    <t>SWIFT FEE ENGFTD32SEP25001
TRF IFO LILAK RESEARCH-
ANNUAL GENERAL AND
SCIENTIFIC</t>
  </si>
  <si>
    <t>VALUE ADDED TAX
ENGFTD32SEP25001 TRF IFO
LILAK RESEARCH-ANNUAL
GENERAL AND SCIENTIFIC</t>
  </si>
  <si>
    <t>CASH DEPOSITED
SMTENGDTDBPRT3AO CSH BY
DR RAHEEM YUSUF ABIOLA
WACP AGSM CON.REG @ ENG
OSUN OSOGBO BRANCH</t>
  </si>
  <si>
    <t>CASH DEPOSITED CASH DEP BY
MARIYA MUKHTAR YOLA @ JABI
SMTENGDTAHYXLYYE CSH BY
SELF @ ENG ABUJA - JABI
BRANCH</t>
  </si>
  <si>
    <t>CASH DEPOSITED 00087731
CASH DEP BY OCHIGBO ENE
EMMANUELLA @ C34
SMTENGDTUXWLL3AW CSH BY
00087731 CASH DEP BY OCH</t>
  </si>
  <si>
    <t>OFFSHORE CHARGE OUTWARD
TRANSFER ENGFTD32SEP25003
TRF IFO LILAK RESEARCH-
ANNUAL GENERAL AND
SCIENTIFIC</t>
  </si>
  <si>
    <t>COMMISSION ON OUTWARD
TRANSFER FORE
ENGFTD32SEP25003 TRF IFO
LILAK RESEARCH-ANNUAL
GENERAL AND SCIENTIFIC</t>
  </si>
  <si>
    <t>FUNDS TRANSFER OUTWARD -
FCY ENGFTD32SEP25003 TRF IFO
LILAK RESEARCH-ANNUAL
GENERAL AND SCIENTIFIC</t>
  </si>
  <si>
    <t>SWIFT FEE ENGFTD32SEP25003
TRF IFO LILAK RESEARCH-
ANNUAL GENERAL AND
SCIENTIFIC</t>
  </si>
  <si>
    <t>VALUE ADDED TAX
ENGFTD32SEP25003 TRF IFO
LILAK RESEARCH-ANNUAL
GENERAL AND SCIENTIFIC</t>
  </si>
  <si>
    <t>CASH DEPOSITED 0789341 CS
DEP BY ABUBAKAR KARIMA M@
B77 SMTENGDT7ENGQKTI CSH
BY SELF @ ENG KANO - NNPC
HOTORO</t>
  </si>
  <si>
    <t>CASH DEPOSITED
SMTENGDTIBE1Y96R CSH BY
B52 DEP BY DR CLEMENT C.
EZECHUKWU@ NNEWI @ ENG
NNEWI - NKWO MKT ROAD</t>
  </si>
  <si>
    <t>OFFSHORE CHARGE OUTWARD
TRANSFER ENGFTD32SEP25007
TRF IFO LILAK RESEARCH-
ANNUAL GENERAL AND
SCIENTIFIC</t>
  </si>
  <si>
    <t>COMMISSION ON OUTWARD
TRANSFER FORE
ENGFTD32SEP25007 TRF IFO
LILAK RESEARCH-ANNUAL
GENERAL AND SCIENTIFIC</t>
  </si>
  <si>
    <t>FUNDS TRANSFER OUTWARD -
FCY ENGFTD32SEP25007 TRF IFO
LILAK RESEARCH-ANNUAL
GENERAL AND SCIENTIFIC</t>
  </si>
  <si>
    <t>SWIFT FEE ENGFTD32SEP25007
TRF IFO LILAK RESEARCH-
ANNUAL GENERAL AND
SCIENTIFIC</t>
  </si>
  <si>
    <t>VALUE ADDED TAX
ENGFTD32SEP25007 TRF IFO
LILAK RESEARCH-ANNUAL
GENERAL AND SCIENTIFIC</t>
  </si>
  <si>
    <t>CASH DEPOSITED 372776
SMTENGDTVMX1GKQI CSH BY
YAHAYA MUHAMMED @ ENG
ABUJA - OAGF</t>
  </si>
  <si>
    <t>CASH DEPOSITED CSH DEP BY
WOKE FINEST/AGSM CONF.
REG@RUMUOLA
SMTENGDTKAYSHQPH CSH BY
WOKE FINEST @ ENG PH -
RUMUO</t>
  </si>
  <si>
    <t>CASH DEPOSITED
SMTENGDT5MAKPVQT CSH BY
EDE- EDOKPOLOR @ ENG
LAGOS - WESTERN AVENUE</t>
  </si>
  <si>
    <t>OFFSHORE CHARGE OUTWARD
TRANSFER ENGFTD32SEP25010
TRF IFO LILAK RESEARCH-
ANNUAL GENERAL AND
SCIENTIFIC</t>
  </si>
  <si>
    <t>COMMISSION ON OUTWARD
TRANSFER FORE
ENGFTD32SEP25010 TRF IFO
LILAK RESEARCH-ANNUAL
GENERAL AND SCIENTIFIC</t>
  </si>
  <si>
    <t>FUNDS TRANSFER OUTWARD -
FCY ENGFTD32SEP25010 TRF IFO
LILAK RESEARCH-ANNUAL
GENERAL AND SCIENTIFIC</t>
  </si>
  <si>
    <t>SWIFT FEE ENGFTD32SEP25010
TRF IFO LILAK RESEARCH-
ANNUAL GENERAL AND
SCIENTIFIC</t>
  </si>
  <si>
    <t>VALUE ADDED TAX
ENGFTD32SEP25010 TRF IFO
LILAK RESEARCH-ANNUAL
GENERAL AND SCIENTIFIC</t>
  </si>
  <si>
    <t>CASH DEPOSITED B39 DEP BY
PROFESSOR IFEOMA EGBUONU
@ OLD MKT RD2 ONITSHA
SMTENGDTXMVJEC9A CSH BY
SELF @ ENG ONITS</t>
  </si>
  <si>
    <t>CASH DEPOSITED 00120202 DEP
BY DR. YUSUF MUHAMMED
JAMIU ADENOYI (WACP AGSM
2025 REGISTRATION) @AWO 2
SMTENGDTB8OMJ</t>
  </si>
  <si>
    <t>CASH DEPOSITED
SMTENGDTOMLVOKBY CSH BY
AMAKA ONYEKWERE @ ENG PH -
RUMUOLA BRANCH</t>
  </si>
  <si>
    <t>CASH DEPOSITED
SMTENGDTECGNYRTE CSH BY
5840078 CORINELIA EBERE UME
@ ENG SOKOTO - SOKOTO MAIN</t>
  </si>
  <si>
    <t>CASH DEPOSITED SLIP NO
1188949 DEP BY TONGDYEN
JUDITH MENEGBE @ ZARIA BR
SMTENGDT2X92NR7J CSH BY
SLIP NO 1188949</t>
  </si>
  <si>
    <t>CASH DEPOSITED 0590883 CS
DEP BY MAKANJUOLA
OLUDOLAPO @ BRD STR2
SMTENGDTSHBBEESC CSH BY
MAKANJUOLA OLUDOLAPO @ E</t>
  </si>
  <si>
    <t>CASH DEPOSITED BN CASH DEP
BY OSARETIN SANDRA IRABOR
@ BRMD SMTENGDTA5KO4C68
CSH BY OSARETIN SANDRA
IRABOR @ ENG</t>
  </si>
  <si>
    <t>CASH DEPOSITED A31 BY
ARCHIBONG IMOH ANIEKAN,
IMOHARCHIBONG12@GMAIL.CO
M FOR MEMBERSHIP LATE
REGISTRATION AT MARY S</t>
  </si>
  <si>
    <t>CASH DEPOSITED A31 BY
ESSIEN, KINGSLEY ANTIGHA
(242229A)
DRLUCIANO007@GMAIL.COM
FOR MEMBERSHIP LATE
REGISTRATION</t>
  </si>
  <si>
    <t>CASH DEPOSITED A31 BY
ARCHIBONG IMOH ANIEKAN
(242225B)
IMOHARCHIBONG12@GMAIL.CO
M FOR MEMBERSHIP LATE
REGISTRATION</t>
  </si>
  <si>
    <t>CASH DEPOSITED A31 BY
ESSIEN, KINGSLEY ANTIGHA
(242229A)
DRLUCIANO007@GMAIL.COM
FOR MEMBERSHIP LATE
REGISTRATION A</t>
  </si>
  <si>
    <t>CASH DEPOSITED CASH DEP BY
OJEKUNLE MD @MARINA</t>
  </si>
  <si>
    <t>CASH DEPOSITED 0416160 CASH
DEP BY JIBRIL ABUBAKAR @B56
SMTENGDTXJFS8XLF CSH BY
SELF @ ENG MAIDUGURI -
KASHIM IBR</t>
  </si>
  <si>
    <t>CASH DEPOSITED CASH DEP BY
DEBORAH SULEMAN @
ASOKORO BR
SMTENGDTXILDBVJJ CSH BY
DEBORAH SULEMAN
(DERMATOLOGY) @ E</t>
  </si>
  <si>
    <t>CASH DEPOSITED 00184340
CASH DEP BY IGBAPIKE EBIKON
BROWN @ YEN MAIN</t>
  </si>
  <si>
    <t>CASH DEPOSITED C02 DEP
DR.UGO ENEBELI @ LIB RD UMU</t>
  </si>
  <si>
    <t>CASH DEPOSITED CASH DEP BY
DR DIFIRWITI HARIFARTA
CLAPHTON @ JIMETA BR
SMTENGDTLKBNW5PZ CSH BY
DR DIFIRWITI HARIF</t>
  </si>
  <si>
    <t>CASH DEPOSITED CASH DEP
SMTENGDTPDNEPDDJ CSH BY
UGOENYI NNEKA JULIET @ ENG
LAGOS - ADMIRALTY BRANCH</t>
  </si>
  <si>
    <t>CASH DEPOSITED 1628952 CASH
DEP BY ADAM GEIDAM @A32
SMTENGDTPRQQW0NQ CSH BY
ADAM GEIDAM @ ENG
MAIDUGURI-KASHIM IB</t>
  </si>
  <si>
    <t>CASH DEPOSITED CASH DEP BY
OPEYEMI OPELAMI AYODEJI @
ADEOLA ODEKU BR.
SMTENGDTUKAEHEQK CSH BY
OPEYEMI OPELAMI AYO</t>
  </si>
  <si>
    <t>CASH DEPOSITED CASH DEP BY
OLUFUNKE AFOLASADE
OGUNNAIKE @ ADEOLA ODEKU
BR. SMTENGDTTKSVFMAG CSH
BY OLUFUNKE AFOLA</t>
  </si>
  <si>
    <t>CASH DEPOSITED
SMTENGDTRFGZBWNH CSH BY
269 DEP BY CHINEDU O. AKPA @
B86 @ ENG ABAKALIKI - OGOJA
ROAD</t>
  </si>
  <si>
    <t>CASH DEPOSITED CSH DP BY
EGUNJOBI MODUPE OMOWUNMI
@A77</t>
  </si>
  <si>
    <t>CASH DEPOSITED AGSM
FELLOWS REGISTRATION FEE
PAYMENT FOR 2025 AGSM
SMTENGDTGAHU3U9E CSH BY
DR ANIAGBOSO UCHECHUKW</t>
  </si>
  <si>
    <t>CASH DEPOSITED 0416447 CASH
DEP BY ABDULLAHI OTEIKWU
AMALI @B56</t>
  </si>
  <si>
    <t>CASH DEPOSITED
SMTENGDTPHXKK68Y CSH BY
DR UCHECHI CHINEDU IWEHA @
ENG ABUJA - WUSE 2</t>
  </si>
  <si>
    <t>CASH DEPOSITED C02 CASH DEP
BY EZE CHUKWUEMEKA OBIOHA
FOR WEST AFRICAN COLLEGE
OF PHYSCIAN (AGSM CONF
REG)@LIB U</t>
  </si>
  <si>
    <t>CASH DEPOSITED CASH DEP BY
EMMANUEL TOPE AMUPITAN @
JOS2 SMTENGDTG7C33DEX CSH
BY EMMANUEL TOPE AMUPITAN
@ ENG JOS</t>
  </si>
  <si>
    <t>CASH DEPOSITED
SMTENGDTA5R2PROE CSH BY
CSH DEP BY AMARACHI ALEX
EWUZIE(WEST AFRICA COLLEGE
OF PHYSICIANS)@C92 @ E</t>
  </si>
  <si>
    <t>CASH DEPOSITED
SMTENGDTFPPOHP7X CSH BY
269 DEP BY OLOGWU
CHRISTIANA CHINYERE @ B86 @
ENG ABAKALIKI - OGOJA ROAD</t>
  </si>
  <si>
    <t>CASH DEPOSITED
SMTENGDTZTDRONSC CSH BY
AGSM CONF.REG JOSEPH KALU
@ ENG LAGOS-INTNL TRADE
FAIR</t>
  </si>
  <si>
    <t>CASH DEPOSITED
SMTENGDTCFNBQGRH CSH BY
BAOKU OLUSHOLA GLORY @
ENG LOKOJA - IBB WAY</t>
  </si>
  <si>
    <t>CASH DEPOSITED 0416177 CASH
DEP BY BUKAR ALI SHETTIMA
@B56 SMTENGDTNHIUHURK CSH
BY BUKAR ALI SHETTIMA @ ENG
MAIDU</t>
  </si>
  <si>
    <t>CASH DEPOSITED 0416178 CASH
DEP BY MUSA JIBRIL @B56
SMTENGDTTTUEF8MX CSH BY
MUSA JIBRIL @ ENG MAIDUGURI
- KASHIM</t>
  </si>
  <si>
    <t>CASH DEPOSITED
SMTENGDTOYGK0KE6 CSH BY
ONUZULIKE JENNIFER @ ENG PH
- RUMUOLA BRANCH</t>
  </si>
  <si>
    <t>CASH DEPOSITED
SMTENGDTSW7GR8WK CSH BY
CASH DEP BY PETER AONDOFA
IKYOH @BDJ @ ENG IBADAN -
BODIJA ESTATE</t>
  </si>
  <si>
    <t>CASH DEPOSITED
SMTENGDTYCRODBVF CSH BY
DR. CHIKA NWABUEZE @ ENG
UYO-ORON ROAD</t>
  </si>
  <si>
    <t>CASH DEPOSITED DEP BY
NWABUEZE UCHECHUKWU
FRANCA @C63
SMTENGDTG6LC9XQ6 CSH BY
NWABUEZE UCHECHUKWU
FRANCA @ ENG EN</t>
  </si>
  <si>
    <t>CASH DEPOSITED
SMTENGDTYH3J3QC9 CSH BY
ADEDEJI ADEBAYO MOJEED @
ENG ABUJA - WUSE 2</t>
  </si>
  <si>
    <t>CASH DEPOSITED
REGISTRATION IFO OSHINOWO
OPEYEMI O @UNILAG BR
SMTENGDTZRJUOFFV CSH BY
OSHINOWO OPEYEMI O @ ENG
LA</t>
  </si>
  <si>
    <t>CASH DEPOSITED PYMT FOR
AGSM CONFERENCE
REGISTRATION BY DR AKOMAYE
THOMAS UDIDA AT MARY
SLESSOR BRN
SMTENGDTVMOWNM</t>
  </si>
  <si>
    <t>CASH DEPOSITED CASH DEP BY
NENTAWE GONTOR @
MARARABA
SMTENGDT30YERNF1 CSH BY
08036253555 @ ENG KEFFI -
MARARABA</t>
  </si>
  <si>
    <t>CASH DEPOSITED
SMTENGDTXKW62NOD CSH BY
DR AYEGBA ONU @ ENG ABUJA -
WUSE 2</t>
  </si>
  <si>
    <t>CASH DEPOSITED DEP BY
OLOGWU CHRISTIANA CHINYERE
@B86 SMTENGDTYFS4OCY6 CSH
BY SELF @ ENG ABAKALIKI -
OGOJA ROAD</t>
  </si>
  <si>
    <t>CASH DEPOSITED B52 DEP BY
UZOMA CHIDI OKEREKE</t>
  </si>
  <si>
    <t>CASH DEPOSITED DEP BY ANEKE
EMEKA JOHN @C63
SMTENGDTRI5SMHLL CSH BY
DEP BY ANEKE EMEKA JOHN
@C63 @ ENG ENUGU - GA</t>
  </si>
  <si>
    <t>CASH DEPOSITED 4323507 CASH
DEP BY YUSUF AHMAD @A14
SMTENGDTQM3QYBII CSH BY
4323507 CASH DEP BY YUSUF
AHMAD @A14</t>
  </si>
  <si>
    <t>CASH DEPOSITED CASH DEP BY
ANTHONY AGBO@A89</t>
  </si>
  <si>
    <t>CASH DEPOSITED C02 USD CASH
DEP BY KELECHI IKONNE @LIB
UMU RBN SMTENGDT7BXR4B3W
CSH BY SELF @ ENG UMUAHIA -
LIBRA</t>
  </si>
  <si>
    <t>CASH DEPOSITED USD DEP BY
AFOLABI JESUTOFUNMI AJIBOLA
SMTENGDT3AGIQBJY CSH BY
AFOLABI JESUTOFUNMI AJIBOLA
@ ENG E</t>
  </si>
  <si>
    <t>CASH DEPOSITED CONFERENCE
SMTENGDT3WHMMWDP CSH BY
CHINYERE OKAFOR @ ENG
ABUJA - H. MACAULAY</t>
  </si>
  <si>
    <t>CASH DEPOSITED DEP BY IGWE
CHINONSO THEOPHILUS @A89
SMTENGDTOM6L1JZY CSH BY
SELF @ ENG ENUGU - OKPARA
AVENUE 2</t>
  </si>
  <si>
    <t>CASH DEPOSITED DEP BY
JOHNNY EKEUDA @A89
SMTENGDTFXIH7QJY CSH BY
SELF @ ENG ENUGU - OKPARA
AVENUE 2</t>
  </si>
  <si>
    <t>CASH DEPOSITED 4323523 CASH
DEP BY SHAMSUDDINI
ABDULSALAM INUWA @A14
SMTENGDTB62BX1GE CSH BY
4323523 CASH DEP B</t>
  </si>
  <si>
    <t>CASH DEPOSITED
SMTENGDTDVVNUQCJ CSH BY
UZOMA AMAJO @ ENG IKOYI -
AWOLOWO ROAD 2</t>
  </si>
  <si>
    <t>CASH DEPOSITED 0498689 CASH
DEP BY DR DIMLONG MANSHAK
ILIYA @GWARINPA
SMTENGDTU6FGEVCO CSH BY
0498689 CASH DEP BY</t>
  </si>
  <si>
    <t>CASH DEPOSITED 00126854
SMTENGDTEIATBWY0 CSH BY
DR IDANG ANIEDI JAMES @ ENG
LAGOS - ILUPEJU</t>
  </si>
  <si>
    <t>CASH DEPOSITED CASH DEP BY
DR. SHAMSUDEEN YUSUF IRO
AGSM CONF. REG.
SMTENGDTJILZ6FRX CSH BY DR.
SHAMSUDDEEN YUSUF</t>
  </si>
  <si>
    <t>CASH DEPOSITED CS DEP BY DR
SOLOMON WADZANI MAURICE @
B79 JIMETA BR
SMTENGDTQJGMBRKA CSH BY
DR SOLOMON WADZANI MA</t>
  </si>
  <si>
    <t>CASH DEPOSITED CSH DEP FOR
WACP-AGSM-DAKAR-2025
CONFERENCE @C92
SMTENGDTUX6RJBWE CSH BY
CSH DEP BY DR.BURABARI KE</t>
  </si>
  <si>
    <t>CASH DEPOSITED A31 BY OTU
EKPENYONG EKPO @ MARY
SLESSOR SMTENGDTB30C6SSE
CSH BY OTU EKPENYONG EKPO
@ ENG CALABAR-</t>
  </si>
  <si>
    <t>CASH DEPOSITED CASH DEP BY
AMINA MANSUR IRO AGSM CONF.
REG. SMTENGDT685XD8Z5 CSH
BY AMINA MANSUR @ ENG
KATSINA -</t>
  </si>
  <si>
    <t>CASH DEPOSITED CASH DEP BY
DR AMIRA BELLO @ JABI
SMTENGDTCGYZH51Z CSH BY
SELF @ ENG ABUJA - JABI
BRANCH</t>
  </si>
  <si>
    <t>CASH DEPOSITED CONFRENCE
REGISTRATION IFO UBOKOBONG
ESHIET SMTENGDTVU73L11P
CSH BY UBOKOBONG ESHIET @
ENG ABUJA -</t>
  </si>
  <si>
    <t>CASH DEPOSITED B29 DEP BY
BIBILOLA OLADEJI @ BDJ
SMTENGDTNMYZ3FGD CSH BY
SELF @ ENG IBADAN -BODIJA
ESTATE</t>
  </si>
  <si>
    <t>FUNDS TRANSFER - INWARD
2025100800159109 :
S546667ICP100825 TRF B/O 1/
SARA LOETZ UND DANIEL HAMPF
IRO WACP AGSM IFO WEST
AFRICAN COLLEGE OF
PHYSICIANS-WACP AGSM</t>
  </si>
  <si>
    <t>CASH DEPOSITED B29 DEP BY
OBIOMA C UCHENDU @ BDJ
SMTENGDTDLMPX9SJ CSH BY
OBIOMA C UCHENDU @ ENG
IBADAN -BODIJA ES</t>
  </si>
  <si>
    <t>CASH DEPOSITED B29 DEP BY
ADEKEMI FADIPE @ BDJ
SMTENGDTUBVLINOC CSH BY
ADEKEMI FADIPE @ ENG IBADAN
-BODIJA ESTATE</t>
  </si>
  <si>
    <t>CASH DEPOSITED 3471460
SMTENGDTLYOK4UI0 CSH BY
CSH DEP BY DR AMINV BASHIR T.
@ FADU @ ENG ISOLO - FADU
EJIGBO</t>
  </si>
  <si>
    <t>CASH DEPOSITED OLAJUMOKE
ADEBAYO/MEMBER @ ZARIA BR
SMTENGDTK4GNV9PN CSH BY
OLAJUMOKE ADEBAYO @ ENG
KADUNA - KADUN</t>
  </si>
  <si>
    <t>CASH DEPOSITED DEP BY DR
ADEYEMI ALAMI ABOLADE,
PAYMENT FOR AGSM DAKAR
2025 REGISTRATION@C63</t>
  </si>
  <si>
    <t>CASH DEPOSITED CASH DEP. BY
DR. NWABUEZE MELANIE NGOZI
(AGSM CONF. REGISTRATION) @
MARY-SLESSOR
SMTENGDTFQSPZJGP C</t>
  </si>
  <si>
    <t>CASH DEPOSITED 138038/CSH
DEP BY AROGUNDADE
ISMAEL@AJONES
SMTENGDTL1VSDD7P CSH BY
AROGUNDADE ISMAEL @ ENG
IKEJA -</t>
  </si>
  <si>
    <t>CASH DEPOSITED AGSM
REGISTRATION FOR PAUL
EMMANUEL
INVOICE NO 498
SMTENGDTSPWUWJJJ CSH BY
PAUL EMMANUEL @ ENG A</t>
  </si>
  <si>
    <t>CASH DEPOSITED 138041/CSH
DEP BY DR UMEWENI
OSELEKA@AJONES
SMTENGDTO2KUJPBP CSH BY
DR UMEWENI OSELEKA @ ENG
IKEJA</t>
  </si>
  <si>
    <t>CASH DEPOSITED CASH DEP BY
DEMIDE ESTHER ANAWUREYI @
JABI SMTENGDTAKQYVOJV CSH
BY SELF @ ENG ABUJA - JABI
BRANCH</t>
  </si>
  <si>
    <t>CASH DEPOSITED CASH DEP BY
DR HASSAN FAROUK HASSAN
FOR AGSM REGISTRATION
RECEIPT $180 AND $10 FOR
INDUCTION BOOK 2</t>
  </si>
  <si>
    <t>CASH DEPOSITED 00109211
SMTENGDTVNZX3AVM CSH BY
DR EZEOKAFOR CHISOM @ ENG
- DOUGLAS ROAD BR. OWERRI</t>
  </si>
  <si>
    <t>CASH DEPOSITED SN 00092249
CASH DEP BY DR STEPHEN TAYO
OWOEYE@A10 BR</t>
  </si>
  <si>
    <t>CASH DEPOSITED CASH 3471467
DEP BY MICHEAL JOSEPH
KOROMA@FADU D94
SMTENGDTRN8CVAZO CSH BY
MICHEAL JOSEPH KOROMA @</t>
  </si>
  <si>
    <t>CASH DEPOSITED 269 DEP BY DR
UZOKE CYPRIL@ B86
SMTENGDTWM7CFOIU CSH BY
269 DEP BY DR UZOKE CYPRIL@
B86 @ ENG ABAK</t>
  </si>
  <si>
    <t>CASH DEPOSITED
SMTENGDTWZELT0YC CSH BY
BRIGGS FLORENCE KALAMAMA
@ ENG PH - NNAMDI AZIKIWE</t>
  </si>
  <si>
    <t>CASH DEPOSITED
SMTENGDTPWYO1VD9 CSH BY
NYECHE EMMANUEL OVUNDAH
@ ENG PH - NNAMDI AZIKIWE</t>
  </si>
  <si>
    <t>CASH DEPOSITED CASH DEP BY
USMAN IDRIS @ C20
SMTENGDTDITGVKRI CSH BY
USMAN IDRIS @ ENG KADUNA -
ALI AKILU ROAD</t>
  </si>
  <si>
    <t>CASH DEPOSITED INDUCTION
REGISTRATION (AGSM REG)
SMTENGDTKQ2ORLVJ CSH BY
CASH DEP BY DR NNAJI
CHIZIMAKO TOCHUKWU</t>
  </si>
  <si>
    <t>CASH DEPOSITED BY DR.
CHIDIMMA - WACP AGSM 2025
REGISTRATION @CAL 3
SMTENGDTLYF8RTZQ CSH BY
DR. AHANEKU CHIDIMMA</t>
  </si>
  <si>
    <t>CASH DEPOSITED 00047308/CSH
DEP BY ARHERE
EJIRO.P@OKOTA
SMTENGDTOWIBQGNR CSH BY
ARHERE EJIRO.P @ ENG ISOLO -
OKOT</t>
  </si>
  <si>
    <t>CASH DEPOSITED D69 DEP BY
DR.OMIWERE-ETE GEORGE
BOYO@MAIN MRK</t>
  </si>
  <si>
    <t>CASH DEPOSITED
SMTENGDTVOKBGL0I CSH BY
AGSM CONF REY DR OKORIE
CHARLES ONYEDIKACHI @ ENG
LAGOS-INTNL TRADE FAIR</t>
  </si>
  <si>
    <t>CASH DEPOSITED 48025891
CASH DEPOSITED BY SURAIYA
TAJOUDDEEN BASHIR @A10 BR
KANO SMTENGDTRUR7JAQ1 CSH
BY SURAIYA</t>
  </si>
  <si>
    <t>CASH DEPOSITED 0550403 CASH
DEP BY KENNETH ONYEOCHA /
MEMBERSHIP PAYMENT @
UTAKO SMTENGDT8U6Q8LTN
CSH BY KENNETH</t>
  </si>
  <si>
    <t>CASH DEPOSITED AGSM CONF
REGISTRATION
SMTENGDTC7UHDBPX CSH BY
DR NUHU ABUBAKAR @ ENG
ABUJA - H. MACAULAY</t>
  </si>
  <si>
    <t>CASH DEPOSITED
SMTENGDTNGZ727YY CSH BY
DR OLAGUNJU ABIODUN ABIOYE
@ ENG HERBERT MACAULAY</t>
  </si>
  <si>
    <t>CASH DEPOSITED
SMTENGDT90QAEX7L CSH BY
5840045 DR AMIRA BELLO @ ENG
SOKOTO - SOKOTO MAIN</t>
  </si>
  <si>
    <t>CASH DEPOSITED BY DR.
AFFIONG EMEM BASSEY (AGSM
CONF. REG) @AKA RD
SMTENGDTAQRNTHWF CSH BY
AFFIONG EMEM BASSEY @</t>
  </si>
  <si>
    <t>CASH DEPOSITED
SMTENGDTINDAYTZI CSH BY
USMAN FATIMA LIMAN @ ENG
ABUJA - H. MACAULAY</t>
  </si>
  <si>
    <t>CASH DEPOSITED
SMTENGDTKDV7IBRW CSH BY
USMAN YAHUZA KURE @ ENG
ABUJA - H. MACAULAY</t>
  </si>
  <si>
    <t>CASH DEPOSITED 0789345 CS
DEP BY UMMULKHAIRI S
BARAU@ B77
SMTENGDTAN70FSND CSH BY
SELF @ ENG KANO - NNPC
HOTORO</t>
  </si>
  <si>
    <t>CASH DEPOSITED 0789346 CS
DEP BY AISHATU TIJANI
MUHAMMAD@ B77
SMTENGDTEWPFDQFX CSH BY
SELF @ ENG KANO - NNPC HOTO</t>
  </si>
  <si>
    <t>CASH DEPOSITED CASH DEP BY
NWEZE OGECHI MARYANN
@MAITAMA C43
SMTENGDT3UXUBPQ0 CSH BY
NWEZE OGECHI MARYANN @
ENG A</t>
  </si>
  <si>
    <t>CASH DEPOSITED 99907703 CSH
DEP BY NYAMALI VERONICA O @
ILUPEJU SMTENGDTL38WGPMC
CSH BY NYAMALI VERONICA O
@ ENG</t>
  </si>
  <si>
    <t>CASH DEPOSITED
REGISTRATION
SMTENGDT3ZFIGRLV CSH BY DR
NONYE EZEONYEJIAKU @ ENG
AWKA - OPP GOVT HOUSE</t>
  </si>
  <si>
    <t>CASH DEPOSITED
SMTENGDT565CVPY4 CSH BY
DR ARINDE OLUFEMI WILLIAMS
@ ENG ABUJA - WUSE 2</t>
  </si>
  <si>
    <t>CASH DEPOSITED 2025 ANNUAL
GENERAL AND SCIENTIFIC
MEETING SMTENGDTXPUVRAGY
CSH BY OSEZE HAMAMATU
UMAR @ ENG ABUJA</t>
  </si>
  <si>
    <t>CASH DEPOSITED 364
SMTENGDTTBRKIUZ1 CSH BY DR
HENRY CHUKWUKA OKOROJI @
ENG - DOUGLAS ROAD BR.
OWERRI</t>
  </si>
  <si>
    <t>CASH DEPOSITED
SMTENGDTAASAG93N CSH BY
AHUNWA CONFIDENCE UJU @
ENG PH - TRANS AMADI</t>
  </si>
  <si>
    <t>CASH DEPOSITED MEMBERSHIP
SMTENGDTRACODCZH CSH BY
HAUWA IBRAHIM @ ENG ABUJA -
H. MACAULAY</t>
  </si>
  <si>
    <t>CASH DEPOSITED 0416821 CASH
DEP BY ABDULAZIZ AMINU @B56
SMTENGDTW83XGTCM CSH BY
ABDULAZIZ AMINU @ ENG
MAIDUGURI -</t>
  </si>
  <si>
    <t>CASH DEPOSITED
SMTENGDTK23ZF0X3 CSH BY
MARYAM ALHASSAN @ ENG
ABUJA - WUSE 2</t>
  </si>
  <si>
    <t>CASH DEPOSITED 16289857
CASH DEP BY ABBA KAZA SALEH
@A32 SMTENGDTJIBPLJ6Q CSH
BY SELF @ ENG MAIDUGURI-
KASHIM IBRA</t>
  </si>
  <si>
    <t>CASH DEPOSITED
SMTENGDT8SVLYD0G CSH BY
OKUNBOR HILARY NOSA @ ENG
OGUN - IJEBU ODE</t>
  </si>
  <si>
    <t>CASH DEPOSITED 00167284
CASH DEP BY DR AISHA AHMAD
RABIU@ FRD 3
SMTENGDTU8XFLW4K CSH BY
SELF @ ENG KANO - FRANCE</t>
  </si>
  <si>
    <t>CASH DEPOSITED
SMTENGDTLTZU7ATC CSH BY
CASH DEP BY OWADOKUN
BLESSING ADEOLUWA @BDJ @
ENG IBADAN -BODIJA ESTATE</t>
  </si>
  <si>
    <t>CASH DEPOSITED 19339182
SMTENGDTM6AHETX8 CSH BY
GODSLOVE KWEMEZI @ ENG
BENIN - SAPELE ROAD</t>
  </si>
  <si>
    <t>CASH DEPOSITED
SMTENGDTU1CF8WLY CSH BY
ADAMU UMAR YAHAYA @ ENG
GOMBE - BIU ROAD</t>
  </si>
  <si>
    <t>CASH DEPOSITED CASH DP BY
MASHKURAH ABDULHAMID @
C20 SMTENGDTGRRDQFKN CSH
BY CASH DP BY MASHKURAH
ABDULHAMID @ C2</t>
  </si>
  <si>
    <t>CASH DEPOSITED AGSM 2025
REGISTRATION
SMTENGDTIRN9QYGK CSH BY
OLOWOSELU OLUWAFEMI @
ENG ABUJA - H. MACAULAY</t>
  </si>
  <si>
    <t>CASH DEPOSITED INTERNAL
MEDICINE PULMONOLOGY
SMTENGDTLSD8MUGY CSH BY
269 DEP BY DR. IGWENYI
CHIKAODIRI @ B86 @ EN</t>
  </si>
  <si>
    <t>CASH DEPOSITED INTERNAL
MEDICINE CARDIOLOGY
SMTENGDTNCSUEVTA CSH BY
269 DEP BY DR. ORJI SAMUEL
FIRDAY @ B86 @ ENG</t>
  </si>
  <si>
    <t>CASH DEPOSITED
SMTENGDT4MHUTFAL CSH BY
A52 CSH DEP BY ELE CHINYERE
VICTORIA@OLD GRA @ ENG
ABA-OLD GRA</t>
  </si>
  <si>
    <t>CASH DEPOSITED 7550677 CASH
DEP BY ABAJE PREMERE@YEN
MAIN SMTENGDTI3IMY3UT CSH
BY ABAJE PREMERE @ ENG
YENAGOA - M</t>
  </si>
  <si>
    <t>CASH DEPOSITED B89 CASH DEP
BY EDWARD OMATSEYIN CARPE
@ SAP 2</t>
  </si>
  <si>
    <t>CASH DEPOSITED B89 CASH DEP
BY UFUOMA KPORON @ SAP 2</t>
  </si>
  <si>
    <t>CASH DEPOSITED
SMTENGDTEKRCGGTY CSH BY
KARAGBARA MICHAEL BARIYERE
MORRISON @ ENG- ASABA1</t>
  </si>
  <si>
    <t>CASH DEPOSITED 550412 DEP BY
ELIJAH AKER IGBASHIO @
UTAKO SMTENGDT703PAFMU
CSH BY ELIJAH AKER IGBASHIO
@ ENG ABUJ</t>
  </si>
  <si>
    <t>CASH DEPOSITED 550413 DEP BY
CHUKWUMOBI N. ANULIKA @
UTAKO SMTENGDTIUQF4R28
CSH BY CHUKWUMOBI N.
ANULIKA @ ENG AB</t>
  </si>
  <si>
    <t>CASH DEPOSITED CASH DEP BY
LAWAL ABDULRAHMAN OLAJIRE
@ A77 SMTENGDTD7GKRFOG
CSH BY LAWAL ABDULRAHMAN
OLAJIRE @ EN</t>
  </si>
  <si>
    <t>CASH DEPOSITED 17762257
SMTENGDTQ8XEKOSB CSH BY
ETSENUMHE EMPRESS IZIEGBE
@ ENG BENIN - SAPELE ROAD</t>
  </si>
  <si>
    <t>CASH DEPOSITED C02 CASH DEP
BY UBANI-UKOMA WUGO @LIB
UMU BRN</t>
  </si>
  <si>
    <t>CASH DEPOSITED 154169/CASH
DEP BY DR DANIEL IFEOLUWA E.
MEMBERSHIP INDUCTION @
WHARF RD</t>
  </si>
  <si>
    <t>CASH DEPOSITED
SMTENGDTJGG2UUKQ CSH BY
KUNU PHILLET @ ENG- ASABA1</t>
  </si>
  <si>
    <t>CASH DEPOSITED CASH DEP BY
MARTHA AGBEDO @ IDI APE BR
SMTENGDTW7PY62CU CSH BY
MARTHA AGBEDO @ ENG
IBADAN - IBADAN</t>
  </si>
  <si>
    <t>CASH DEPOSITED 26292535
CASH DEP BY OLANIYONU
AISOSA @ AKPA 4
SMTENGDTVMPZPMYK CSH BY
SELF @ ENG BENIN - AKPAKPAV</t>
  </si>
  <si>
    <t>CASH DEPOSITED B39 DEP BY
IZUU-UMEIKE AUGUSTINA
OGOCHUKWU @ OLD MKT RD2
ONITSHA SMTENGDTBATGWL4A
CSH BY SELF @ EN</t>
  </si>
  <si>
    <t>CASH DEPOSITED
SMTENGDTPIZDRUOV CSH BY
DEP BY EZE NDUBUISI SIMEON
@C63 @ ENG ENUGU - GARDEN
AVENUE</t>
  </si>
  <si>
    <t>CASH DEPOSITED 00084972
CASH DEP BY DR. CHIJIOKE
OGUNO @C34
SMTENGDTIOJUO74R CSH BY
DR. CHIJIOKE OGUNO @ ENG
ABUJ</t>
  </si>
  <si>
    <t>CASH DEPOSITED B29 DEP BY
JEGEDE BUKOLA OMOWUNMI @
BDJ SMTENGDTUMFMUAVX CSH
BY JEGEDE BUKOLA OMOWUNMI
@ ENG IBADA</t>
  </si>
  <si>
    <t>CASH DEPOSITED B29 DEP BY
FAJUYIGBE BOLATITO MARY @
BDJ SMTENGDTRXPANPLG CSH
BY FAJUYIGBE BOLATITO MARY
@ ENG IBA</t>
  </si>
  <si>
    <t>CASH DEPOSITED B29 DEP BY
SHENGE YETUNDE OLAMIDE @
BDJ SMTENGDT8P1XJNX7 CSH
BY SHENGE YETUNDE OLAMIDE
@ ENG IBADA</t>
  </si>
  <si>
    <t>CASH DEPOSITED B29 DEP BY
WATTI OPEYEMI BAMITALE @
BDJ SMTENGDT9FJDKZTB CSH
BY WATTI OPEYEMI BAMITALE @
ENG IBADA</t>
  </si>
  <si>
    <t>CASH DEPOSITED DEP BY OBI
FERDINARD CHUKWUDOLUE
@C63 SMTENGDTSQ3SD8YR
CSH BY DEP BY OBI FERDINARD
CHUKWUDOLUE @C6</t>
  </si>
  <si>
    <t>CASH DEPOSITED CASH DEP BY
DR MRS OLAJUMOKE OJIMI @
UPPER TAIWO D65</t>
  </si>
  <si>
    <t>CASH DEPOSITED DEP BY IKE
NGOZIKA BLESSING @C63
SMTENGDTRTVPOGVX CSH BY
SELF @ ENG ENUGU - GARDEN
AVENUE</t>
  </si>
  <si>
    <t>CASH DEPOSITED DEP BY NNADI
EPHRAIM CHUKWUNONSO @C63
SMTENGDT9UTI6USM CSH BY
SELF @ ENG ENUGU - GARDEN
AVENUE</t>
  </si>
  <si>
    <t>CASH DEPOSITED MEMBER
INDUCTEE REGISTRATION FEE
SMTENGDTZWYNKSQH CSH BY
EBUNOLUWA MOBOLAJI
ADEDOKUN @ ENG IBADAN</t>
  </si>
  <si>
    <t>CASH DEPOSITED CASH DEP BY
HUSSAINI ALI HADIZA
@ADEMOLA F20
SMTENGDTQZEFISQF CSH BY
CASH DEP BY HUSSAINI ALI HADI</t>
  </si>
  <si>
    <t>CASH DEPOSITED
SMTENGDTADRRGVHW CSH BY
WURAOLA JADESOLA @ ENG
ABUJA - H. MACAULAY</t>
  </si>
  <si>
    <t>CASH DEPOSITED
SMTENGDT1HG74BIL CSH BY
DEP BY NWABUEZE
UCHECHUKWU FRANCA @C63 @
ENG ENUGU - GARDEN AVENUE</t>
  </si>
  <si>
    <t>CASH DEPOSITED NONGO
TERSOO SMTENGDTYLO65CUO
CSH BY NONGO TERSOO @ ENG
ABUJA - AREA 8 GARKI</t>
  </si>
  <si>
    <t>CASH DEPOSITED CASH DEP BY
KHADIJAH MORMONI@C20
SMTENGDTEVUBO6SF CSH BY
KHADIJAH MORMONI @ ENG
KADUNA - ALI AKILU</t>
  </si>
  <si>
    <t>CASH DEPOSITED
SMTENGDTYJYAJVNY CSH BY
OLAREWAJU HABIBAT @ ENG
ILORIN - MURITALA WAY</t>
  </si>
  <si>
    <t>CASH DEPOSITED 1040853 CASH
DEP BY AISHA ABUBAKAR @
UTAKO SMTENGDTY8LGYKMZ
CSH BY SELF @ ENG ABUJA -
UTAKO FCT</t>
  </si>
  <si>
    <t>CASH DEPOSITED IMRANA SANI
ABDULAZIZ @ ZARIA BR
SMTENGDTLICHFKQ0 CSH BY
IMRANA SANI ABDULAZIZ @ ENG
KADUNA - KADU</t>
  </si>
  <si>
    <t>CASH DEPOSITED
SMTENGDT7MM8QFOB CSH BY
NWAGBARA NKIRUKA @ ENG
NNEWI - NKWO MKT ROAD</t>
  </si>
  <si>
    <t>CASH DEPOSITED 00194482
CASH DEP BY (AGSM
REGISTRATION)
SMTENGDTRJQPTTWT CSH BY
DR. ESE OGUDO @ ENG KANO -
MURTAL</t>
  </si>
  <si>
    <t>CASH DEPOSITED 17762260
SMTENGDTSVPNUFP5 CSH BY
IHUEMWINESE AMENZE
BENEDICTA @ ENG BENIN -
SAPELE ROAD</t>
  </si>
  <si>
    <t>CASH DEPOSITED 17762259
SMTENGDTJTTQCZXK CSH BY
OTONOH CHUKWUNWEIKE
NICHOLAS @ ENG BENIN -
SAPELE ROAD</t>
  </si>
  <si>
    <t>CASH DEPOSITED
SMTENGDTOIHGRXXA CSH BY
0391606 FATIMA BELLO LIMAN @
ENG SOKOTO - SOKOTO MAIN</t>
  </si>
  <si>
    <t>CASH DEPOSITED CASH DEP BY
MOHAMMED DALHAT SARKI@C20
SMTENGDTQLZEKGVY CSH BY
SELF @ ENG KADUNA - ALI AKILU
ROAD</t>
  </si>
  <si>
    <t>CASH DEPOSITED
SMTENGDTNRDYCETS CSH BY
DR OLAYINKA ISRAEL FODEKE @
ENG ILORIN - MURITALA WAY</t>
  </si>
  <si>
    <t>CASH DEPOSITED
SMTENGDTANML06Y9 CSH BY
BIOBELE BROWN @ ENG IBADAN
-BODIJA ESTATE</t>
  </si>
  <si>
    <t>CASH DEPOSITED
SMTENGDT1MOUCY2Z CSH BY
OKEBALAMA VICTOR CHIMEZIE
@ ENG OGUN - IJEBU ODE</t>
  </si>
  <si>
    <t>CASH DEPOSITED CASH DEP BY
DR ONUH JAMES @C20
SMTENGDTKTUBXUAC CSH BY
SELF @ ENG KADUNA - ALI AKILU
ROAD</t>
  </si>
  <si>
    <t>CASH DEPOSITED
SMTENGDTCR4GKSW4 CSH BY
DR. ABDULWALI KHADIJA ABBA
@ ENG ABUJA - JABI BRANCH</t>
  </si>
  <si>
    <t>CASH DEPOSITED 1437322 DEP
BY ANENGA RACHAEL N IRO
WACP AGSM 2025
REGISTRATION@ B81 MKD
SMTENGDTICYJPHQP CSH BY S</t>
  </si>
  <si>
    <t>CASH DEPOSITED
SMTENGDTD4CSVT7V CSH BY
DR HAFIZ ISIYAKU @ ENG
KATSINA - INN ROADBRANCH</t>
  </si>
  <si>
    <t>CASH DEPOSITED
SMTENGDTTXZ6Q7CX CSH BY
ONYEMARIN-HENRY PRECIOUS
AKUOMA @ ENG- ASABA1</t>
  </si>
  <si>
    <t>CASH DEPOSITED
SMTENGDTY3VZTH7C CSH BY
NWANNE CHUKWUYEM LUNDA @
ENG- ASABA1</t>
  </si>
  <si>
    <t>CASH DEPOSITED
SMTENGDTAYCMG27G CSH BY
NWANNE CHUKWUYEM LYNDA @
ENG- ASABA1</t>
  </si>
  <si>
    <t>CASH DEPOSITED D69 DEP BY
TOBI VIVIAN@MAIN MRK
SMTENGDTU8QJYVV7 CSH BY
TOBI VIVIAN @ ENG WARRI -
MAIN MKT BRANCH</t>
  </si>
  <si>
    <t>CASH DEPOSITED D69 DEP BY
CHRISTIAN CHIGOZIE
UGOCHUKWU @MAIN MRK
SMTENGDT7TEDNUXJ CSH BY
CHRISTIAN CHIGOZIE UGOCH</t>
  </si>
  <si>
    <t>CASH DEPOSITED
SMTENGDTYTAV9QYM CSH BY
TAMBEKE SOR-ANIABARI
ORDINANCE @ ENG OSUN -
ILESA</t>
  </si>
  <si>
    <t>CASH DEPOSITED CASH DEP BY
POPOOLA AISHAT KIKELOMO
@NCR SMTENGDTM4E6F7SO
CSH BY SELF @ ENG IBADAN -
NEW COURT RO</t>
  </si>
  <si>
    <t>CASH DEPOSITED CASH DEP BY
DR ALICE OLORUNWA
OBIMAKINDE@C20
SMTENGDTZLZQGZKP CSH BY
DR ALICE OLORUNWA
OBIMAKINDE</t>
  </si>
  <si>
    <t>CASH DEPOSITED 00190315/
CASH DEP BY IFEOMA EDEH
@GARKI 2 SMTENGDTTLOX2GQO
CSH BY IFEOMA EDEH @ ENG
ABUJA-GARKI 2</t>
  </si>
  <si>
    <t>CASH DEPOSITED CASH DEP BY
FOLASADE ALORYE OJI @
ADEOLA ODEKU BR.
SMTENGDTIHST5TUA CSH BY
FOLASADE ALORYE OJI @ E</t>
  </si>
  <si>
    <t>CASH DEPOSITED CASH DEP BY
DR UKPABI OKECHUKWU @B86
SMTENGDTGCPK35ZB CSH BY
CASH DEP BY DR UKPABI
OKECHUKWU @B86</t>
  </si>
  <si>
    <t>CASH DEPOSITED
SMTENGDTH4CXGWEI CSH BY
FAUZIYYAH ANKE MUHIBBUDIN
@ ENG IKEJA - ALLEN AVENUE 3</t>
  </si>
  <si>
    <t>CASH DEPOSITED C02 CASH DEP
BY DR JIAKPANNA ONYEINYECHI
VIVIAN FOR AGSM MEMBERSHIP
INDUCTION @LIB UMU BRN</t>
  </si>
  <si>
    <t>CASH DEPOSITED AGMS
REGISTRATION FEES DAKAR
SENEGAL FOR FALANA TAIWO
DENNIS SMTENGDTOS7UTROV
CSH BY AGMS REGISTRA</t>
  </si>
  <si>
    <t>CASH DEPOSITED
SMTENGDTAEIIJUZP CSH BY DR
NNOROM SANDRA @ ENG NNEWI
- NKWO MKT ROAD</t>
  </si>
  <si>
    <t>CASH DEPOSITED
SMTENGDTICHKGWPK CSH BY
ADENIYI ADEDOYIN CATHERINE
@ ENG ABUJA - H. MACAULAY</t>
  </si>
  <si>
    <t>CASH DEPOSITED 0775852/
SMTENGDT54QTBLDH CSH BY
DR RILWANU BELLO TAMBUWAL
@ ENG SOKOTO - MARKET
BRANCH</t>
  </si>
  <si>
    <t>CASH DEPOSITED CASH DEP BY
DR. NGWU CHIKAMBINAKA
PATRICIA IFO AGSM
REGISTRATION@A89
SMTENGDTCL8ZFFS6 CSH BY
DR. N</t>
  </si>
  <si>
    <t>CASH DEPOSITED CASH DEP BY
DR. NGWU CHIKAMBINAKA
PATRICIA IRO INDUCTION BOOK
2025@A89 SMTENGDTOUUIQJVW
CSH BY DR.</t>
  </si>
  <si>
    <t>CASH DEPOSITED FOR
MEMBERSHIP
SMTENGDTHBFB22SP CSH BY
DR MUIBI ROFIAT AJOKE @ ENG
IKEJA - ALLEN AVENUE 3</t>
  </si>
  <si>
    <t>CASH DEPOSITED (2025 ANNUAL
GENERAL&amp;SCIENTIC MEETING
(AGSM) SMTENGDTIOGEXBWX
CSH BY OKEKE THUOMA E. @
ENG LAGOS -</t>
  </si>
  <si>
    <t>CASH DEPOSITED
SMTENGDTUOC9V291 CSH BY
5840050 AUWALU SHEHU
TANGAZA @ ENG SOKOTO -
SOKOTO MAIN</t>
  </si>
  <si>
    <t>CASH DEPOSITED
SMTENGDTMHZV0OEO CSH BY
0391607 AUWALU SHEHU
TANGAZA @ ENG SOKOTO -
SOKOTO MAIN</t>
  </si>
  <si>
    <t>CASH DEPOSITED
SMTENGDTMEXRNSVM CSH BY
ANIFOWOSE ANTHONY GBENGA
@ ENG OSUN - ILESA</t>
  </si>
  <si>
    <t>CASH DEPOSITED
SMTENGDTYCKDIFW0 CSH BY
ANIFOWOSE TEMITOPE TOYIB @
ENG OSUN - ILESA</t>
  </si>
  <si>
    <t>CASH DEPOSITED
SMTENGDTA3DEWA4X CSH BY
OGUNTOYE OLUFEMI KOLAWOLE
@ ENG OSUN - ILESA</t>
  </si>
  <si>
    <t>CASH DEPOSITED DEP BY HELEN
OKOYE (FELLOW) @A89
SMTENGDTMMV2QDHT CSH BY
DEP BY HELEN OKOYE (FELLOW)
@A89 @ ENG EN</t>
  </si>
  <si>
    <t>CASH DEPOSITED 0589763 DEP
BY DR NGUHILEN M GBASHI IRO
WACP AGSM 2025
REGISTRATION@ B81 MKD
SMTENGDTP4YWCXH4 CSH B</t>
  </si>
  <si>
    <t>CASH DEPOSITED OJOWU
MARGARET YAKUBU @ ZARIA BR
SMTENGDTGNZDEAEQ CSH BY
OJOWU MARGARET YAKUBU @
ENG KADUNA - KADU</t>
  </si>
  <si>
    <t>CASH DEPOSITED
SMTENGDTEIV4LA8N CSH BY
EMOITOLOGA ANTHONY @ ENG-
ASABA1</t>
  </si>
  <si>
    <t>CASH DEPOSITED
SMTENGDT6VWAURVT CSH BY
OKORO CHRISTOPHER OBIADERI
@ ENG- ASABA1</t>
  </si>
  <si>
    <t>CASH DEPOSITED B52 DEP BY
DR. CLEMENTINA EZECHUKWU
@NNEWI SMTENGDTMTZYUGOJ
CSH BY DR. CLEMENTINA
EZECHUKWU @ ENG</t>
  </si>
  <si>
    <t>CASH DEPOSITED CS DEP BY DR.
APATA OLADAPO (INDUCTION
FEE) SMTENGDTP7D0AFXE CSH
BY CS DEP BY DR. APATA
OLADAPO (I</t>
  </si>
  <si>
    <t>CASH DEPOSITED CASH DEP BY
ISEI FAITH @JOS2
SMTENGDTXBM1JBZ2 CSH BY
ISEI FAITH @ ENG JOS-AHMADU
BELLO WAY 2</t>
  </si>
  <si>
    <t>OFFSHORE CHARGE OUTWARD
TRANSFER ENGFTD32OCT25003
TRF IFO-PAYMENT FOR ASGM
REG. FEES</t>
  </si>
  <si>
    <t>COMMISSION ON OUTWARD
TRANSFER FORE
ENGFTD32OCT25003 TRF IFO-
PAYMENT FOR ASGM REG. FEES</t>
  </si>
  <si>
    <t>FUNDS TRANSFER OUTWARD -
FCY ENGFTD32OCT25003 TRF
IFO-PAYMENT FOR ASGM REG.
FEES</t>
  </si>
  <si>
    <t>SWIFT FEE ENGFTD32OCT25003
TRF IFO-PAYMENT FOR ASGM
REG. FEES</t>
  </si>
  <si>
    <t>VALUE ADDED TAX
ENGFTD32OCT25003 TRF IFO-
PAYMENT FOR ASGM REG. FEES</t>
  </si>
  <si>
    <t>CASH DEPOSITED MEMBERSHIP
PYMT BY DR NWOSU KELECHI
CHIMEZIE AT MARY SLESSOR
SMTENGDT3XUKIQYZ CSH BY
DR NWOSU KELE</t>
  </si>
  <si>
    <t>CASH DEPOSITED MEMBERSHIP
INDUCTEE REGISTRATION FEE
PYMT BY DR BLESSING JOSEPH
UKAM AT MARY SLESSOR
SMTENGDTKAF0ME</t>
  </si>
  <si>
    <t>CASH DEPOSITED CSH DEP BY
GBELABO FRANKLIN IBINABO
@C92 SMTENGDT4FIEOOSO CSH
BY CSH DEP BY GBELABO
FRANKLIN IBIN</t>
  </si>
  <si>
    <t>CASH DEPOSITED
SMTENGDTGMCLWQJ2 CSH BY
CASH DEP BY DR ZAKARI
ISMAILA WASE @B84 @ ENG
BAUCHI - COMMERCIAL ROAD</t>
  </si>
  <si>
    <t>CASH DEPOSITED SLIP NO
1188847 DEP BY BELLO
ABDULKARIM @ ZARIA BR
SMTENGDTUKVSCBIT CSH BY
SLIP NO 1188847 DEP BY</t>
  </si>
  <si>
    <t>CASH DEPOSITED 00084976
CASH DEP BY DR GODWIN EWU
@ C34 SMTENGDTJ7VUHTUP
CSH BY 00084976 CASH DEP BY
DR GODWIN EW</t>
  </si>
  <si>
    <t>CASH DEPOSITED
SMTENGDTAOIHGXNB CSH BY
USUAH JOSHUA @ ENG UYO-
ORON ROAD</t>
  </si>
  <si>
    <t>OFFSHORE CHARGE OUTWARD
TRANSFER ENGFTD32OCT25004
TRF IFO LIKAK RESEARCH-
PAYMENT FOR AGSM REG. FEES</t>
  </si>
  <si>
    <t>COMMISSION ON OUTWARD
TRANSFER FORE
ENGFTD32OCT25004 TRF IFO
LIKAK RESEARCH-PAYMENT FOR
AGSM REG. FEES</t>
  </si>
  <si>
    <t>FUNDS TRANSFER OUTWARD -
FCY ENGFTD32OCT25004 TRF
IFO LIKAK RESEARCH-PAYMENT
FOR AGSM REG. FEES</t>
  </si>
  <si>
    <t>SWIFT FEE ENGFTD32OCT25004
TRF IFO LIKAK RESEARCH-
PAYMENT FOR AGSM REG. FEES</t>
  </si>
  <si>
    <t>VALUE ADDED TAX
ENGFTD32OCT25004 TRF IFO
LIKAK RESEARCH-PAYMENT FOR
AGSM REG. FEES</t>
  </si>
  <si>
    <t>CASH DEPOSITED INVOICE
NO-536 AGSM DAKAR
SMTENGDTVDN5HPQM CSH BY
PROF IFEOMA ANOCHIE @B98 @
ENG PH - ABA ROAD 2</t>
  </si>
  <si>
    <t>CASH DEPOSITED CS DEP BY DR.
ABIODUN OYENEYIN @AKR2
SMTENGDTU31UVSRB CSH BY
DR. ABIODUN OYENEYIN @ ENG
ONDO - AKU</t>
  </si>
  <si>
    <t>OFFSHORE CHARGE OUTWARD
TRANSFER ENGFTD32OCT25005
TRF IFO LIKAK RESEARCH-
PAYMENT FOR REG. FEES.</t>
  </si>
  <si>
    <t>COMMISSION ON OUTWARD
TRANSFER FORE
ENGFTD32OCT25005 TRF IFO
LIKAK RESEARCH-PAYMENT FOR
REG. FEES.</t>
  </si>
  <si>
    <t>FUNDS TRANSFER OUTWARD -
FCY ENGFTD32OCT25005 TRF
IFO LIKAK RESEARCH-PAYMENT
FOR REG. FEES.</t>
  </si>
  <si>
    <t>SWIFT FEE ENGFTD32OCT25005
TRF IFO LIKAK RESEARCH-
PAYMENT FOR REG. FEES.</t>
  </si>
  <si>
    <t>VALUE ADDED TAX
ENGFTD32OCT25005 TRF IFO
LIKAK RESEARCH-PAYMENT FOR
REG. FEES.</t>
  </si>
  <si>
    <t>CASH DEPOSITED
SMTENGDTVSNHVQMZ CSH BY
00133649 DEP BY DR. OFOVWE
GABRIEL@C73 @ ENG PH - OLU
OBASANJO</t>
  </si>
  <si>
    <t>CASH DEPOSITED DEP BY IDE
CLINTON @C63</t>
  </si>
  <si>
    <t>CASH DEPOSITED
SMTENGDTGE3AMHJP CSH BY
DR OLAWALE MUSBAU @ ENG
ILORIN - MURITALA WAY</t>
  </si>
  <si>
    <t>CASH DEPOSITED
SMTENGDTA1IJ5MTF CSH BY
AGRIPPA CHINONSO MARY @
ENG OSUN - ILESA</t>
  </si>
  <si>
    <t>CASH DEPOSITED
SMTENGDTYTE3Q8ZM CSH BY
OLADOSU-ADEDOYIN ADEWUNMI
ADEDAMOLA @ ENG OSUN -
ILESA</t>
  </si>
  <si>
    <t>CASH DEPOSITED B29 DEP BY
DR ABIOLA OKESOLA @ BDJ
SMTENGDT7T22CSM3 CSH BY
DR ABIOLA OKESOLA @ ENG
IBADAN -BODIJA</t>
  </si>
  <si>
    <t>CASH DEPOSITED CASH DEP BY
FRANCES NGOZI FOR AGSM
CONFRENCE REGISTRATION @
ADEOLA ODEKU
SMTENGDTJQR4OIBT CSH BY S</t>
  </si>
  <si>
    <t>CASH DEPOSITED 5596648/IDRIS
MUKTAR SMTENGDTFDLDQ6BQ
CSH BY SELF @ ENG VI - AJOSE
ADEOGUN 2</t>
  </si>
  <si>
    <t>CASH DEPOSITED CASH DEP BY
BABATUNDE OLASODE AGSM @
A77 SMTENGDTJHK9HQMP CSH
BY BABATUNDE OLASODE @
ENG ABEOKUTA</t>
  </si>
  <si>
    <t>CASH DEPOSITED CASH DEP BY
OLAYINKA OLASODE AGSM @A77
SMTENGDTFBW3H5O2 CSH BY
OLAYINKA OLASODE @ ENG
ABEOKUTA</t>
  </si>
  <si>
    <t>CASH DEPOSITED
SMTENGDT0FX7YWVQ CSH BY
ISAH ABDULKADIR @ ENG ILORIN
- MURITALA WAY</t>
  </si>
  <si>
    <t>CASH DEPOSITED CSH DEP BY
EMMANUEL AUCHI EDAFE @C92
SMTENGDT4IVH74ED CSH BY
CSH DEP BY EMMANUEL AUCHI
EDAFE @C92</t>
  </si>
  <si>
    <t>OFFSHORE CHARGE OUTWARD
TRANSFER ENGFTD32OCT25006
TRF IFO-PAYMENT FOR AGSM
REG. FEES</t>
  </si>
  <si>
    <t>COMMISSION ON OUTWARD
TRANSFER FORE
ENGFTD32OCT25006 TRF IFO-
PAYMENT FOR AGSM REG. FEES</t>
  </si>
  <si>
    <t>FUNDS TRANSFER OUTWARD -
FCY ENGFTD32OCT25006 TRF
IFO-PAYMENT FOR AGSM REG.
FEES</t>
  </si>
  <si>
    <t>SWIFT FEE ENGFTD32OCT25006
TRF IFO-PAYMENT FOR AGSM
REG. FEES</t>
  </si>
  <si>
    <t>VALUE ADDED TAX
ENGFTD32OCT25006 TRF IFO-
PAYMENT FOR AGSM REG. FEES</t>
  </si>
  <si>
    <t>CASH DEPOSITED CASH DEP BY
DR IHEGBU BERNADETTE
CHINAGOROM MEMBERSHIP FEE
@ADEMOLA F20
SMTENGDTXCRX5Z3E CSH BY
CA</t>
  </si>
  <si>
    <t>CASH DEPOSITED CASH DEP BY
IHEGBU BERNADETTE
CHINAGOROM BUILDING FUND
LEVY @ADEMOLA F20
SMTENGDTMU1UON8C CSH BY
C</t>
  </si>
  <si>
    <t>CASH DEPOSITED CASH DEP BY
IHEGBU BERNADETTE
CHINAGOROM ANNUAL
MEMBERESHIP DUES
@ADEMOLA F20
SMTENGDTVJMOHXVI CSH</t>
  </si>
  <si>
    <t>CASH DEPOSITED
SMTENGDTGW2NDUEG CSH BY
DEP BY MADEENAH SUMONU
APENA@OKEAFA @ ENG ISOLO -
OKE AFA ROAD</t>
  </si>
  <si>
    <t>CASH DEPOSITED
SMTENGDTYYOLADIQ CSH BY
DR OTA KEVWE MERCY @C92 @
ENG PH - CIRCULAR ROAD</t>
  </si>
  <si>
    <t>CASH DEPOSITED
SMTENGDTWKJ5WYVM CSH BY
AYANTOLA SAHEED ADEKOLA @
ENG ABUJA - WUSE 2</t>
  </si>
  <si>
    <t>CASH DEPOSITED
SMTENGDTGDBSTPGU CSH BY
SANNI AMIRAH ADEOLA @ ENG
ABUJA - WUSE 2</t>
  </si>
  <si>
    <t>CASH DEPOSITED AGSM
CONFERENCE REGISTRATION
SMTENGDTZE7YNVNG CSH BY
IKPEME ENOBONG @ ENG UYO-
ORON ROAD</t>
  </si>
  <si>
    <t>OFFSHORE CHARGE OUTWARD
TRANSFER ENGFTD32OCT25007
TRF IFO LIKAK RESEARCH-
PAYMENT FOR AGSM REG. FEES.</t>
  </si>
  <si>
    <t>COMMISSION ON OUTWARD
TRANSFER FORE
ENGFTD32OCT25007 TRF IFO
LIKAK RESEARCH-PAYMENT FOR
AGSM REG. FEES.</t>
  </si>
  <si>
    <t>FUNDS TRANSFER OUTWARD -
FCY ENGFTD32OCT25007 TRF
IFO LIKAK RESEARCH-PAYMENT
FOR AGSM REG. FEES.</t>
  </si>
  <si>
    <t>SWIFT FEE ENGFTD32OCT25007
TRF IFO LIKAK RESEARCH-
PAYMENT FOR AGSM REG. FEES.</t>
  </si>
  <si>
    <t>VALUE ADDED TAX
ENGFTD32OCT25007 TRF IFO
LIKAK RESEARCH-PAYMENT FOR
AGSM REG. FEES.</t>
  </si>
  <si>
    <t>CASH DEPOSITED INDUCTION
SMTENGDTBEXNFQUA CSH BY
CSH DEP BY DR ERNEST EKWE
AKHERE CHARITY @C73 @ ENG
PH - OLU OBA</t>
  </si>
  <si>
    <t>CASH DEPOSITED 152402 CASH
DEP BY MUHAMMAD ISAH AGSM
2025 INDUCTION @ SUL BR
SMTENGDTAFZW7RYG CSH BY
MUHAMMAD ISA</t>
  </si>
  <si>
    <t>CASH DEPOSITED B29 DEP BY
OREOLUWA LAGUNJU @ BDJ
SMTENGDTT92UYVJP CSH BY
OREOLUWA LAGUNJU @ ENG
IBADAN -BODIJA ES</t>
  </si>
  <si>
    <t>OFFSHORE CHARGE OUTWARD
TRANSFER ENGFTD32OCT25009
TRF IFO LIKAK RESEARCH-
PAYMENT FOR AGSM REG. FEES</t>
  </si>
  <si>
    <t>COMMISSION ON OUTWARD
TRANSFER FORE
ENGFTD32OCT25009 TRF IFO
LIKAK RESEARCH-PAYMENT FOR
AGSM REG. FEES</t>
  </si>
  <si>
    <t>FUNDS TRANSFER OUTWARD -
FCY ENGFTD32OCT25009 TRF
IFO LIKAK RESEARCH-PAYMENT
FOR AGSM REG. FEES</t>
  </si>
  <si>
    <t>SWIFT FEE ENGFTD32OCT25009
TRF IFO LIKAK RESEARCH-
PAYMENT FOR AGSM REG. FEES</t>
  </si>
  <si>
    <t>VALUE ADDED TAX
ENGFTD32OCT25009 TRF IFO
LIKAK RESEARCH-PAYMENT FOR
AGSM REG. FEES</t>
  </si>
  <si>
    <t>CASH DEPOSITED
SMTENGDTM6WLVW9L CSH BY
USD/CSH DEP BY KEHINDE
FEYISARA MACHBETH @ OGBA
BRN @ ENG IKEJA - OGBA</t>
  </si>
  <si>
    <t>CASH DEPOSITED
SMTENGDTK1CHODKZ CSH BY
ABUBAKAR HASHIMU @ ENG
LAGOS - SURULERE</t>
  </si>
  <si>
    <t>CASH DEPOSITED CASH DEP BY
DR AKINTEYE OLUWASOLA
KAYODE WILLIAM (AGSM
REGISTRATION FOR
CONFERENCE IN DAKAR
SENEGAL@AREA 8 BR</t>
  </si>
  <si>
    <t>CASH DEPOSITED CAS H DEP BY
OLALUSI OLADOTUN @BDJ</t>
  </si>
  <si>
    <t>CASH DEPOSITED F09/ CS DEP
BY DR. EDO MICHAEL
OSARUNMWENSE @ AKPA 4</t>
  </si>
  <si>
    <t>CASH DEPOSITED 00179919
CASH DEP BY KENECHI
UWAKWE FOR WACP49TH AGSM-
DAKAR 2025@B55</t>
  </si>
  <si>
    <t>CASH DEPOSITED 0452584 BY
JOSHUA MWANKON (VIRTUAL
ATTENDANCE AGSM (DAKAR
2025)@ B51</t>
  </si>
  <si>
    <t>OFFSHORE CHARGE OUTWARD
TRANSFER ENGFTD32OCT25010
TRF IFO LIKAK RESEARCH-
PAYMENT FOR AGSM REG. FEES</t>
  </si>
  <si>
    <t>COMMISSION ON OUTWARD
TRANSFER FORE
ENGFTD32OCT25010 TRF IFO
LIKAK RESEARCH-PAYMENT FOR
AGSM REG. FEES</t>
  </si>
  <si>
    <t>FUNDS TRANSFER OUTWARD -
FCY ENGFTD32OCT25010 TRF
IFO LIKAK RESEARCH-PAYMENT
FOR AGSM REG. FEES</t>
  </si>
  <si>
    <t>SWIFT FEE ENGFTD32OCT25010
TRF IFO LIKAK RESEARCH-
PAYMENT FOR AGSM REG. FEES</t>
  </si>
  <si>
    <t>VALUE ADDED TAX
ENGFTD32OCT25010 TRF IFO
LIKAK RESEARCH-PAYMENT FOR
AGSM REG. FEES</t>
  </si>
  <si>
    <t>CASH DEPOSITED CASH DEP BY
PROF. ABRAHAM GYUSE @ JOS2
SMTENGDT5NHTCIWE CSH BY
PROF. ABRAHAM GYUSE @ ENG
JOS-AHMAD</t>
  </si>
  <si>
    <t>Total Credited to Eco Bank(Acct. no 5700050824) dated 7 Oct. 2025</t>
  </si>
  <si>
    <t>Cash Transferred LIKAK</t>
  </si>
  <si>
    <t>ECO BANK &amp; DOKILINK AGSM PAYMENT LIST / REPORT</t>
  </si>
  <si>
    <t>Category</t>
  </si>
  <si>
    <t>Count of Participants</t>
  </si>
  <si>
    <t>Amount ($)</t>
  </si>
  <si>
    <t>Source(s)</t>
  </si>
  <si>
    <t>Explanation</t>
  </si>
  <si>
    <t>Color Code</t>
  </si>
  <si>
    <t>Bank + Dokilink + Global</t>
  </si>
  <si>
    <t>Transactions matched across all lists. Fully reconciled.</t>
  </si>
  <si>
    <t>🟩 Green</t>
  </si>
  <si>
    <t>Missing Transactions (Global only)</t>
  </si>
  <si>
    <t>Global list</t>
  </si>
  <si>
    <t>🟥 Red</t>
  </si>
  <si>
    <t>Participants registered on‑site, no payment amounts captured.</t>
  </si>
  <si>
    <t>🟦 Blue</t>
  </si>
  <si>
    <t>Duplicate Entries (Global only)</t>
  </si>
  <si>
    <t>Same participant recorded twice. Needs cleanup.</t>
  </si>
  <si>
    <t>🟪 Purple</t>
  </si>
  <si>
    <t>Grand Total (All Sources)</t>
  </si>
  <si>
    <t>Combined</t>
  </si>
  <si>
    <t>Includes confirmed + unlinked + missing.</t>
  </si>
  <si>
    <t>Recorded globally but not in Bank/Dokilink. Includes participants from Gambia, Ghana, Liberia, Sierra Leone.</t>
  </si>
  <si>
    <r>
      <rPr>
        <b/>
        <sz val="11"/>
        <color theme="1"/>
        <rFont val="Calibri"/>
        <family val="2"/>
        <scheme val="minor"/>
      </rPr>
      <t>5. Duplicates: 16</t>
    </r>
    <r>
      <rPr>
        <sz val="11"/>
        <color theme="1"/>
        <rFont val="Calibri"/>
        <family val="2"/>
        <scheme val="minor"/>
      </rPr>
      <t xml:space="preserve"> transactions were identified as repeated entries in the Global List.</t>
    </r>
  </si>
  <si>
    <t>Notes</t>
  </si>
  <si>
    <t>Non‑AGSM Cash Payments</t>
  </si>
  <si>
    <t>Other payments not tied to AGSM</t>
  </si>
  <si>
    <t>AGSM Cash Payments (Bank)</t>
  </si>
  <si>
    <t>Bank account total (AGSM + Non‑AGSM)</t>
  </si>
  <si>
    <t>AGSM Cash Payments (Dokilink)</t>
  </si>
  <si>
    <t>Transfer to Eco Bank (Acct. 5700050824)</t>
  </si>
  <si>
    <t>Direct transfer</t>
  </si>
  <si>
    <t>Grand Total AGSM Collections</t>
  </si>
  <si>
    <t>WACP Eco Bank &amp; Dokilink Collections Summary</t>
  </si>
  <si>
    <t>Deposits tied to AGSM</t>
  </si>
  <si>
    <t>Recorded transfer</t>
  </si>
  <si>
    <t>AGSM Payments via Dokilink</t>
  </si>
  <si>
    <t>Collections through Dokilink</t>
  </si>
  <si>
    <t>Amount Credited to Eco Bank (7 Oct 2025)</t>
  </si>
  <si>
    <t>Dokilink transfer</t>
  </si>
  <si>
    <t>Still owed</t>
  </si>
  <si>
    <t>Total Collections</t>
  </si>
  <si>
    <t>Two transfers (120,000 + 60,000)</t>
  </si>
  <si>
    <t>Net Collections credited to Eco Bank</t>
  </si>
  <si>
    <t>Grand Total AGSM Collections (Bank + Dokilink)</t>
  </si>
  <si>
    <t>Final Reconciliation Totals</t>
  </si>
  <si>
    <t>WACP AGSM 2025 – Master Financial Summary</t>
  </si>
  <si>
    <t>WACP AGSM 2025 – Transaction Reconciliation &amp; Summary</t>
  </si>
  <si>
    <t>Name</t>
  </si>
  <si>
    <t>Charges</t>
  </si>
  <si>
    <t>Dr Akosua Owusu-Sarpong</t>
  </si>
  <si>
    <t>Dr Abraham Fifen</t>
  </si>
  <si>
    <t>Dr Ekaobong  Otu</t>
  </si>
  <si>
    <t>Dr Nnamdi Onuoha</t>
  </si>
  <si>
    <t>Dr Lizzy  Ebettie</t>
  </si>
  <si>
    <t>Dr Edem Lodoh</t>
  </si>
  <si>
    <t>Dr Marilyn Ete Dafeta</t>
  </si>
  <si>
    <t xml:space="preserve">Dr Maryam  Tukur </t>
  </si>
  <si>
    <t>Dr Chukwuebuka Ndukwulueze</t>
  </si>
  <si>
    <t>Dr Augustine Kwesi Amoako</t>
  </si>
  <si>
    <t>Dr Ojeme Itoandon</t>
  </si>
  <si>
    <t>Dr Adelaide Ankomaa  Asante</t>
  </si>
  <si>
    <t>Dr ALERUCHI WALA</t>
  </si>
  <si>
    <t>Dr M Auda</t>
  </si>
  <si>
    <t>Dr Fatima Mustapha</t>
  </si>
  <si>
    <t>Dr SAMUEL PIE</t>
  </si>
  <si>
    <t>Dr Naomi Bulum fal</t>
  </si>
  <si>
    <t xml:space="preserve">Dr MOTUNRAYO  IBILOYE </t>
  </si>
  <si>
    <t xml:space="preserve">Dr Vera Adanna  Okpede </t>
  </si>
  <si>
    <t>Dr Princess Kathryn  Mensah</t>
  </si>
  <si>
    <t>Dr Matilda Koryoe Amissah</t>
  </si>
  <si>
    <t>Dr Ejemhen Ojie</t>
  </si>
  <si>
    <t>Dr John Orinya</t>
  </si>
  <si>
    <t>Dr Uloma Ann Okafor</t>
  </si>
  <si>
    <t>Dr Emmanuel Nsor-yinne Anafo</t>
  </si>
  <si>
    <t>Dr HABIBA MUHAMMAD RABIU</t>
  </si>
  <si>
    <t>Dr Kweku Bedu Tetteh</t>
  </si>
  <si>
    <t>Dr Zainab Hassan</t>
  </si>
  <si>
    <t xml:space="preserve">Dr Msoo Immanuel  Bitto </t>
  </si>
  <si>
    <t>Dr Daniella Akrasi-Sarpong</t>
  </si>
  <si>
    <t>Dr Olufunmilola Ayodeji</t>
  </si>
  <si>
    <t xml:space="preserve">Dr Salim Yusuf  Muhammad </t>
  </si>
  <si>
    <t xml:space="preserve">Dr Ewura Afua Blankson </t>
  </si>
  <si>
    <t xml:space="preserve">Dr Funmilola Aishat Bello-Taslim </t>
  </si>
  <si>
    <t>Dr Efosa Emmanuel  Aimien</t>
  </si>
  <si>
    <t>Dr Hajara Inna Futa</t>
  </si>
  <si>
    <t>Dr Michelle Gyasi</t>
  </si>
  <si>
    <t xml:space="preserve">Dr Solomon  Gyabaah </t>
  </si>
  <si>
    <t xml:space="preserve">Dr Azeezat  Braheem </t>
  </si>
  <si>
    <t>Dr Contact Nozeks</t>
  </si>
  <si>
    <t>Dr Abednego  Attoh</t>
  </si>
  <si>
    <t>Dr Cudjoe</t>
  </si>
  <si>
    <t>Dr Abdul Wahid Bawa</t>
  </si>
  <si>
    <t>Dr SADIYA SAEED HABIB</t>
  </si>
  <si>
    <t>Dr JANET DJANGMAH</t>
  </si>
  <si>
    <t xml:space="preserve">Dr Kalilu  Jagne </t>
  </si>
  <si>
    <t>Dr MUHYIDEEN BASHIR</t>
  </si>
  <si>
    <t>Dr Aisha Bolarinwa</t>
  </si>
  <si>
    <t>Dr TERWASE ANYIMAN</t>
  </si>
  <si>
    <t>Dr Zainab Kasim Garba</t>
  </si>
  <si>
    <t>Dr Abdulmumin Yakubu</t>
  </si>
  <si>
    <t>Dr Olatunde Samo</t>
  </si>
  <si>
    <t>Dr MEDINA BOLA ZUBAIR</t>
  </si>
  <si>
    <t>Dr Francis Agbovie</t>
  </si>
  <si>
    <t>Dr KWAME AKOI</t>
  </si>
  <si>
    <t>Dr Akorfa Ama Wotordzor</t>
  </si>
  <si>
    <t>Dr Jude Yekpowudu</t>
  </si>
  <si>
    <t>Dr Hafsat Jinjiri Dutse</t>
  </si>
  <si>
    <t>Dr Sumayya Garba Abubakar</t>
  </si>
  <si>
    <t>Dr Lara Oladele</t>
  </si>
  <si>
    <t>Dr Ike Kenechukwu</t>
  </si>
  <si>
    <t>Dr Zainab-Raji Gidado</t>
  </si>
  <si>
    <t>Dr CHIOMA ANAUKWU</t>
  </si>
  <si>
    <t>Dr Phyllis Engmann</t>
  </si>
  <si>
    <t>Dr Obasanmi  Susan</t>
  </si>
  <si>
    <t>Dr Jeremiah  Alli</t>
  </si>
  <si>
    <t>Dr Daniel Amenu</t>
  </si>
  <si>
    <t>Dr FATIMA UMAR FARUK</t>
  </si>
  <si>
    <t xml:space="preserve">Dr Fatima Mallum </t>
  </si>
  <si>
    <t>Dr Esere Obodo</t>
  </si>
  <si>
    <t>Dr OYOVWI OTOH</t>
  </si>
  <si>
    <t>Dr Bashirat Bello</t>
  </si>
  <si>
    <t>Dr Abdul-Ganiyu  Edun</t>
  </si>
  <si>
    <t>Dr Sotonye Imafidon</t>
  </si>
  <si>
    <t xml:space="preserve">Dr Anna Fokuoh-Boadu </t>
  </si>
  <si>
    <t>Dr Femi</t>
  </si>
  <si>
    <t xml:space="preserve">Dr Edith  Salau </t>
  </si>
  <si>
    <t>Dr ROBERT  ASSUAH</t>
  </si>
  <si>
    <t>Dr Damilola Okusaga</t>
  </si>
  <si>
    <t>Dr Haja Abibatu Jalloh</t>
  </si>
  <si>
    <t>Dr Frederick Kwarteng Owusu</t>
  </si>
  <si>
    <t>Dr Brenda Oppong Bawuah</t>
  </si>
  <si>
    <t xml:space="preserve">Dr Ojiaku  Lilian ifechukwude </t>
  </si>
  <si>
    <t>Dr Nurat Adejoke Rabiu</t>
  </si>
  <si>
    <t>Dr Phil  Dowuona</t>
  </si>
  <si>
    <t xml:space="preserve">Dr Grace Kyunni </t>
  </si>
  <si>
    <t>Dr KPAKPAWO-OKETE EHIREME</t>
  </si>
  <si>
    <t>Dr Yaa Dufoa Brako</t>
  </si>
  <si>
    <t>Dr Joana Amankwa-Kyeremeh</t>
  </si>
  <si>
    <t>Dr Amoa Koay</t>
  </si>
  <si>
    <t xml:space="preserve">Dr Rita Tamambang </t>
  </si>
  <si>
    <t>Dr Vivian Anyanwu</t>
  </si>
  <si>
    <t>Dr Helesa</t>
  </si>
  <si>
    <t>Dr Obed Bamfo</t>
  </si>
  <si>
    <t>Dr Fatimo Adegoke</t>
  </si>
  <si>
    <t>Dr Patrick Bediako</t>
  </si>
  <si>
    <t>Dr Michael Azi</t>
  </si>
  <si>
    <t>Dr Fuzaila Saaka-Dumba</t>
  </si>
  <si>
    <t>Dr Betty  Ayisi</t>
  </si>
  <si>
    <t>Dr David Bening</t>
  </si>
  <si>
    <t>Dr Asmau Belko Nuruddeen</t>
  </si>
  <si>
    <t xml:space="preserve">Dr Albert  Agbi </t>
  </si>
  <si>
    <t>Dr Henry Dike</t>
  </si>
  <si>
    <t>Dr Maame Amankwaa  Ofori-Asumadu</t>
  </si>
  <si>
    <t>Dr DUKE KWAKU AGBODEKA</t>
  </si>
  <si>
    <t>Dr Hauwa S. Baba</t>
  </si>
  <si>
    <t xml:space="preserve">Dr Deborah  Uanzekin </t>
  </si>
  <si>
    <t>Dr JOEL DJANGMA AKWETEY</t>
  </si>
  <si>
    <t>Dr Amanda Fofie</t>
  </si>
  <si>
    <t>Dr RICHARDOM QUARM</t>
  </si>
  <si>
    <t>Dr ONYI UTAJI</t>
  </si>
  <si>
    <t>Dr Nadiya Abba Mahmud</t>
  </si>
  <si>
    <t>Dr Samson Aiwobeuke Oshomoh</t>
  </si>
  <si>
    <t>Dr Dzifa Dellor</t>
  </si>
  <si>
    <t>Dr Iyanne Sackey</t>
  </si>
  <si>
    <t>Dr Kwadwo Gyan</t>
  </si>
  <si>
    <t>Dr Jerry</t>
  </si>
  <si>
    <t>Dr Efua Yankah</t>
  </si>
  <si>
    <t>Mrs Sakinatu Umaru</t>
  </si>
  <si>
    <t>Dr WILLIAM PEREZ AKOTO AMANKRA</t>
  </si>
  <si>
    <t>Dr JOSEPH AYINDE</t>
  </si>
  <si>
    <t>Dr David Darkwah</t>
  </si>
  <si>
    <t>Dr Salomey Obah-Duku</t>
  </si>
  <si>
    <t>Dr Gabriella Bedu-Addo</t>
  </si>
  <si>
    <t>Dr Joy Ibanga Bulor-Anthony</t>
  </si>
  <si>
    <t xml:space="preserve">Dr Emelda  Asem-Ahiablee </t>
  </si>
  <si>
    <t>Dr Franklin Okafor</t>
  </si>
  <si>
    <t xml:space="preserve">Dr Chinenye  Chukwu </t>
  </si>
  <si>
    <t>Dr Obenga  Yebea</t>
  </si>
  <si>
    <t>Dr Mohammed Kudus Moro</t>
  </si>
  <si>
    <t>Dr FOLASHADE ALEGE</t>
  </si>
  <si>
    <t>Dr Nana Yaa Saka Dwomoh</t>
  </si>
  <si>
    <t>Dr Abalaku Yakubu Obele</t>
  </si>
  <si>
    <t>Dr Tosin Adaramola</t>
  </si>
  <si>
    <t>Dr Temitope Ibukun Olatayo</t>
  </si>
  <si>
    <t>Dr Barbara Addai Owusu</t>
  </si>
  <si>
    <t xml:space="preserve">Dr NKEMJIKA  UDO-INYANG </t>
  </si>
  <si>
    <t xml:space="preserve">Dr Victoria  Agyeman </t>
  </si>
  <si>
    <t>Dr Kobina Bineye</t>
  </si>
  <si>
    <t>Dr Kofi Abaidoo-Ayin</t>
  </si>
  <si>
    <t>Dr Jonathan  Ayodele</t>
  </si>
  <si>
    <t>Dr Sharon Ekua Buabin-Otchere</t>
  </si>
  <si>
    <t>Dr Patricia Owusu</t>
  </si>
  <si>
    <t>Dr Emmanuel Tweneboah</t>
  </si>
  <si>
    <t>Dr Adejoke Aiyenigba</t>
  </si>
  <si>
    <t xml:space="preserve">Dr Hauwa  Toko </t>
  </si>
  <si>
    <t>Dr Divine Aseye Yao Amenuke</t>
  </si>
  <si>
    <t>Dr EKEMINI EKPE</t>
  </si>
  <si>
    <t xml:space="preserve">Dr OLUBUSOLA CAROLINE  OLUKOJU </t>
  </si>
  <si>
    <t>Dr Zainab  Chiroma</t>
  </si>
  <si>
    <t xml:space="preserve">Dr Umar ABBA Ibrahim </t>
  </si>
  <si>
    <t>Dr Aisha Bulu</t>
  </si>
  <si>
    <t>Dr Gideon Abaka Quagraine</t>
  </si>
  <si>
    <t>Dr Sahr Gborie</t>
  </si>
  <si>
    <t>Dr Mohamed  Smith</t>
  </si>
  <si>
    <t xml:space="preserve">Dr Okocha Patricia Gagman </t>
  </si>
  <si>
    <t>Dr Michael Tanu Brima</t>
  </si>
  <si>
    <t xml:space="preserve">Dr Haja Safiyatu   Sovula </t>
  </si>
  <si>
    <t>Dr Ralph  Owusu</t>
  </si>
  <si>
    <t>Dr Emefa Dzordzorme</t>
  </si>
  <si>
    <t>Dr John Antwi</t>
  </si>
  <si>
    <t>Dr Shardeyo Benys</t>
  </si>
  <si>
    <t>Dr Anita Ago Asare</t>
  </si>
  <si>
    <t>Dr Adeline Asante Kwabiah</t>
  </si>
  <si>
    <t>Dr Elsie  Adjacodjoe</t>
  </si>
  <si>
    <t>Dr Ekua Afful</t>
  </si>
  <si>
    <t>Dr M Sumayya</t>
  </si>
  <si>
    <t>Dr Priscillia Adejei</t>
  </si>
  <si>
    <t>Dr Godsown</t>
  </si>
  <si>
    <t>Dr Yemah Bockarie</t>
  </si>
  <si>
    <t>Dr Quartey Quartey</t>
  </si>
  <si>
    <t>Dr Akosua Adalyn</t>
  </si>
  <si>
    <t>Dr Grace Offo</t>
  </si>
  <si>
    <t>Dr Mjaw</t>
  </si>
  <si>
    <t>Dr ED Majesty</t>
  </si>
  <si>
    <t>Dr C Cudjoe</t>
  </si>
  <si>
    <t>Dr Joseph Golbador</t>
  </si>
  <si>
    <t>Dr Chris  Addae</t>
  </si>
  <si>
    <t>Dr C Coreah</t>
  </si>
  <si>
    <t>Dr Agnes Ashley</t>
  </si>
  <si>
    <t>Dr Joseph Awotwi</t>
  </si>
  <si>
    <t xml:space="preserve">Dr Ousman  Leigh </t>
  </si>
  <si>
    <t>Dr IBUCHUKWU ORABUEZE</t>
  </si>
  <si>
    <t>Dr Adaeze Onyekwena</t>
  </si>
  <si>
    <t>Dr Adusi  Pokuyaw</t>
  </si>
  <si>
    <t>Dr Adanma Ekenna</t>
  </si>
  <si>
    <t xml:space="preserve">Dr Blossom Maduafokwa </t>
  </si>
  <si>
    <t>Dr OLUSEYE SOBANDE</t>
  </si>
  <si>
    <t>dr Sherif  Olaniyi</t>
  </si>
  <si>
    <t>Dr Avwarute Olomu-Ochei</t>
  </si>
  <si>
    <t>Dr MABEL ONWUKA</t>
  </si>
  <si>
    <t>Prof Albert Akpalu</t>
  </si>
  <si>
    <t>Dr Josephine Akpalu</t>
  </si>
  <si>
    <t>Dr FELICIA  OKON</t>
  </si>
  <si>
    <t>Dr Nurudeen Gbadamosi</t>
  </si>
  <si>
    <t>Dr Sa'adatu Sambo</t>
  </si>
  <si>
    <t>Dr Ogechukwu Ezeike</t>
  </si>
  <si>
    <t>Dr MAYOWA ADETOYE</t>
  </si>
  <si>
    <t>Dr Akinwumi Ojo</t>
  </si>
  <si>
    <t xml:space="preserve">Dr Effua  Usuf </t>
  </si>
  <si>
    <t xml:space="preserve">Dr ADETOLA AYANKOLA </t>
  </si>
  <si>
    <t xml:space="preserve">Dr Nkechi  Ijezie </t>
  </si>
  <si>
    <t>Dr MAMUS   MIA OPUTTEH</t>
  </si>
  <si>
    <t xml:space="preserve">Dr Henrietta  Ugbeni </t>
  </si>
  <si>
    <t>Dr Rose Okwunu Abah</t>
  </si>
  <si>
    <t>Dr Amma Benneh- Akwasi Kuma</t>
  </si>
  <si>
    <t>Dr Richard Gyasi</t>
  </si>
  <si>
    <t>Dr Bolanle Oyedepo</t>
  </si>
  <si>
    <t>Dr Godiya Andrew</t>
  </si>
  <si>
    <t>Dr ABIMBOLA ABOLUWARIN</t>
  </si>
  <si>
    <t xml:space="preserve">Prof Yao Tettey </t>
  </si>
  <si>
    <t xml:space="preserve">Dr Afua Abrahams </t>
  </si>
  <si>
    <t xml:space="preserve">Prof EDWIN KWAME  WIREDU </t>
  </si>
  <si>
    <t>Dr Bunmi Tokun</t>
  </si>
  <si>
    <t xml:space="preserve">Dr Taiwo  Olusa </t>
  </si>
  <si>
    <t>Dr Adebimpe Ogunmodede</t>
  </si>
  <si>
    <t>Dr Surayya Sunusi</t>
  </si>
  <si>
    <t>Dr Efemena Onowugbeda</t>
  </si>
  <si>
    <t xml:space="preserve">Dr Chinwendu Maryam  Amuta-Igwe </t>
  </si>
  <si>
    <t xml:space="preserve">Dr Ogochukwu  Ejesieme </t>
  </si>
  <si>
    <t xml:space="preserve">Dr Hilda Chinwe  Afakwu-Adimoha </t>
  </si>
  <si>
    <t>Dr Nafis Abdulfatai</t>
  </si>
  <si>
    <t>Dr EDET USUN</t>
  </si>
  <si>
    <t>Dr Onyalewa Agbaji</t>
  </si>
  <si>
    <t>Dr Chiemerie Onyeka</t>
  </si>
  <si>
    <t>Dr Tobechukwu Ojiugo Tony-Okeke</t>
  </si>
  <si>
    <t>Dr Ewuraa Abena  Manu</t>
  </si>
  <si>
    <t>Dr Ivy Ekem</t>
  </si>
  <si>
    <t>Prof Emilia Udofia</t>
  </si>
  <si>
    <t>Dr ABUBKAR ABDULLAH</t>
  </si>
  <si>
    <t>Dr Olohita Azeke</t>
  </si>
  <si>
    <t xml:space="preserve">Dr Ijeoma  Agbara </t>
  </si>
  <si>
    <t>Dr Ibifiri Hart-Omoaghe</t>
  </si>
  <si>
    <t xml:space="preserve">Dr Roli  Ajuyah </t>
  </si>
  <si>
    <t>Dr Sylvia Anthony-Eweputanna</t>
  </si>
  <si>
    <t>Dr Uju Gertrude Okeke</t>
  </si>
  <si>
    <t>Dr Ogechi Ezerioha</t>
  </si>
  <si>
    <t>Dr IJEOMA ONONIWU</t>
  </si>
  <si>
    <t>Dr EUGENE  BAAFI AMPOFO</t>
  </si>
  <si>
    <t>Dr Alaoma Kawa</t>
  </si>
  <si>
    <t xml:space="preserve">Dr Adeola Oluwaseun  Adekeye </t>
  </si>
  <si>
    <t>Dr ROSINA NJOKU</t>
  </si>
  <si>
    <t>Dr Obasi Izuchukwu</t>
  </si>
  <si>
    <t>Dr George  Eze</t>
  </si>
  <si>
    <t>Dr Halidu Shehu</t>
  </si>
  <si>
    <t>Prof Chioli Chijioke</t>
  </si>
  <si>
    <t>Dr Yvonne A Dei-Adomakoh</t>
  </si>
  <si>
    <t>Dr Taiwo Ojedoja</t>
  </si>
  <si>
    <t>Dr Omope Adebanjo</t>
  </si>
  <si>
    <t>Dr Oyeyemi Afolabi</t>
  </si>
  <si>
    <t xml:space="preserve">Dr SOMTO NGONADI </t>
  </si>
  <si>
    <t>Dr Karen Forrest</t>
  </si>
  <si>
    <t xml:space="preserve">Dr Prince Ofudu </t>
  </si>
  <si>
    <t>Dr Uduak Okomo</t>
  </si>
  <si>
    <t>Dr Boli BILLAMBO</t>
  </si>
  <si>
    <t>Dr Richard Dei-Asamoa</t>
  </si>
  <si>
    <t>Dr Mohammadou Kabir Cham</t>
  </si>
  <si>
    <t>Dr Mehana Braimah</t>
  </si>
  <si>
    <t>Dr Billy Bosu</t>
  </si>
  <si>
    <t>Dr Kofi Tekyi Asamoah</t>
  </si>
  <si>
    <t>Dr Damaris Moneke</t>
  </si>
  <si>
    <t>Dr Amobi Omoha</t>
  </si>
  <si>
    <t>Dr GESITARI DIRIYAI</t>
  </si>
  <si>
    <t xml:space="preserve">Dr Nkeiruka  Mbadiwe </t>
  </si>
  <si>
    <t>Dr Abdullahi Mohammed Chado</t>
  </si>
  <si>
    <t>Dr Perebodo Ogigbah</t>
  </si>
  <si>
    <t>Dr Onyinye Nwazor</t>
  </si>
  <si>
    <t>Prof Yawo ATAKOUMA</t>
  </si>
  <si>
    <t>Prof Gabriel Olabiyi  Ogun</t>
  </si>
  <si>
    <t>Dr Sheila APPIAH-PIPPIM</t>
  </si>
  <si>
    <t>Dr Christina Osei-Yeboah</t>
  </si>
  <si>
    <t xml:space="preserve">Dr OLALEKAN  ADESOKAN </t>
  </si>
  <si>
    <t xml:space="preserve">Dr Marian Opoku-Agyakwa </t>
  </si>
  <si>
    <t xml:space="preserve">Dr Lamin ES  Jaiteh </t>
  </si>
  <si>
    <t>Dr LOVINA UDOH</t>
  </si>
  <si>
    <t>Dr Sopakirite Douglas</t>
  </si>
  <si>
    <t xml:space="preserve">Dr Joan  Akande </t>
  </si>
  <si>
    <t>Dr Chinwe Ogbonnaa-Njoku</t>
  </si>
  <si>
    <t>Dr Omodele Ajayi</t>
  </si>
  <si>
    <t>Dr COLLINS KOKURO</t>
  </si>
  <si>
    <t>Dr Ifedayo Ajayi</t>
  </si>
  <si>
    <t>Dr Titilayo Temitope  Adeoye</t>
  </si>
  <si>
    <t xml:space="preserve">Dr SUNDAY MUSA  OGUCHE </t>
  </si>
  <si>
    <t>Prof Reginald O Obiako</t>
  </si>
  <si>
    <t>Prof Asmell Ramos Cabrera</t>
  </si>
  <si>
    <t>Dr Saeed Jibreel</t>
  </si>
  <si>
    <t>Dr Naa Larteley</t>
  </si>
  <si>
    <t>Dr Z   Iliyasu</t>
  </si>
  <si>
    <t>Dr Ono Joyce</t>
  </si>
  <si>
    <t>Dr Temi  Taiwo</t>
  </si>
  <si>
    <t>Dr Esin Nkereuwem</t>
  </si>
  <si>
    <t>Dr Sammy Ohene</t>
  </si>
  <si>
    <t>Dr Kuspusbizi</t>
  </si>
  <si>
    <t>Dr Yemi</t>
  </si>
  <si>
    <t>Dr Durodami</t>
  </si>
  <si>
    <t>Dr Adeigbe Olanrewaju</t>
  </si>
  <si>
    <t>Dr Dele Oye</t>
  </si>
  <si>
    <t>Dr Melvina</t>
  </si>
  <si>
    <t>Dr Stephen Engemann</t>
  </si>
  <si>
    <t>Dr O Haliyu</t>
  </si>
  <si>
    <t>Dr C Akpama</t>
  </si>
  <si>
    <t>Dr Patrick Coker</t>
  </si>
  <si>
    <t>Dr Ronita Luke</t>
  </si>
  <si>
    <t>Dr Komra Kay</t>
  </si>
  <si>
    <t>Dr Sartie  Kenneh</t>
  </si>
  <si>
    <t>Dr Ivy Niya</t>
  </si>
  <si>
    <t>Dr Nana Ama Agyemang</t>
  </si>
  <si>
    <t>Dr REXFORD GYAMFI</t>
  </si>
  <si>
    <t>Dr B Owusu</t>
  </si>
  <si>
    <t>Dr Edmund Dzisi</t>
  </si>
  <si>
    <t xml:space="preserve">Dr Arinze  Ulasi </t>
  </si>
  <si>
    <t>Dr Sheila  Ileli</t>
  </si>
  <si>
    <t xml:space="preserve">Dr Chioma  Chukwumaeze </t>
  </si>
  <si>
    <t>Dr Augustine kwesi  Amoako</t>
  </si>
  <si>
    <t>Dr Modou Jobe</t>
  </si>
  <si>
    <t>Dr Rita Larkoh AFFO</t>
  </si>
  <si>
    <t>Dr Rose Jallah Macauley</t>
  </si>
  <si>
    <t>Dr OMILA AWORABHI-ALAGOA</t>
  </si>
  <si>
    <t>Dr Morufat Titilope OMOTAYO</t>
  </si>
  <si>
    <t>TOTAL.</t>
  </si>
  <si>
    <t>Amount on Global List</t>
  </si>
  <si>
    <t>Amount to be remitted after charges deduction</t>
  </si>
  <si>
    <t>S/N</t>
  </si>
  <si>
    <t xml:space="preserve">DOKILINK ACCOUNT SUMMARY REPORT </t>
  </si>
  <si>
    <t>Dokilink charges</t>
  </si>
  <si>
    <t>DOKILINK AGSM PAYMENT LIST / REPORT</t>
  </si>
  <si>
    <t>Expected Remitted Amount after charges deduction</t>
  </si>
  <si>
    <t>Outstanding balance owed by LILAK</t>
  </si>
  <si>
    <t>Outstanding balance owed by Dokilink</t>
  </si>
  <si>
    <t>Includes linked (108,260.00) and unlinked (6,672.00) deposits</t>
  </si>
  <si>
    <t>All cash payment to Dokilink + Charges</t>
  </si>
  <si>
    <t>Expected Remittance (Net of Charges)</t>
  </si>
  <si>
    <t>Dokilink Expected Remittance (Net of Charges)</t>
  </si>
  <si>
    <t>Transaction fees deducted by Dokilink from total cash payments.</t>
  </si>
  <si>
    <t>Total Cash Payments to Dokilink</t>
  </si>
  <si>
    <t>Gand Total AGSM Collections less Dokilink charges</t>
  </si>
  <si>
    <t>The reconciliation exercise compared participant transactions across the Global List, Bank cash deposits, and Dokilink records.</t>
  </si>
  <si>
    <t>On‑Site Participants (Global only)</t>
  </si>
  <si>
    <r>
      <rPr>
        <b/>
        <sz val="11"/>
        <color theme="1"/>
        <rFont val="Calibri"/>
        <family val="2"/>
        <scheme val="minor"/>
      </rPr>
      <t>3. Missing Transactions: 87</t>
    </r>
    <r>
      <rPr>
        <sz val="11"/>
        <color theme="1"/>
        <rFont val="Calibri"/>
        <family val="2"/>
        <scheme val="minor"/>
      </rPr>
      <t xml:space="preserve"> participants appeared only on the Global List, with no corresponding Bank/Dokilink record. These include participants from G</t>
    </r>
    <r>
      <rPr>
        <b/>
        <sz val="11"/>
        <color theme="1"/>
        <rFont val="Calibri"/>
        <family val="2"/>
        <scheme val="minor"/>
      </rPr>
      <t>ambia, Ghana, Liberia, and Sierra Leone.</t>
    </r>
  </si>
  <si>
    <r>
      <rPr>
        <b/>
        <sz val="11"/>
        <color theme="1"/>
        <rFont val="Calibri"/>
        <family val="2"/>
        <scheme val="minor"/>
      </rPr>
      <t>4. On‑Site Participants: 16</t>
    </r>
    <r>
      <rPr>
        <sz val="11"/>
        <color theme="1"/>
        <rFont val="Calibri"/>
        <family val="2"/>
        <scheme val="minor"/>
      </rPr>
      <t xml:space="preserve"> participants were recorded exclusively in the Global Registry, with no payment amounts captured In Bank/Dokilin records</t>
    </r>
  </si>
  <si>
    <t>On-Site Participants (Global Registry)</t>
  </si>
  <si>
    <t>Outstanding owed by Dokilink</t>
  </si>
  <si>
    <r>
      <t xml:space="preserve">AGSM - Total reconciled inflows (Bank + Dokilink) = </t>
    </r>
    <r>
      <rPr>
        <b/>
        <sz val="11"/>
        <rFont val="Calibri"/>
        <family val="2"/>
        <scheme val="minor"/>
      </rPr>
      <t>$179,916.00</t>
    </r>
    <r>
      <rPr>
        <sz val="11"/>
        <rFont val="Calibri"/>
        <family val="2"/>
        <scheme val="minor"/>
      </rPr>
      <t>;</t>
    </r>
  </si>
  <si>
    <r>
      <t xml:space="preserve">Global‑only entries = </t>
    </r>
    <r>
      <rPr>
        <b/>
        <sz val="11"/>
        <rFont val="Calibri"/>
        <family val="2"/>
        <scheme val="minor"/>
      </rPr>
      <t>$18,767.70</t>
    </r>
    <r>
      <rPr>
        <sz val="11"/>
        <rFont val="Calibri"/>
        <family val="2"/>
        <scheme val="minor"/>
      </rPr>
      <t xml:space="preserve">; Overall financial flows = </t>
    </r>
    <r>
      <rPr>
        <b/>
        <u val="double"/>
        <sz val="11"/>
        <rFont val="Calibri"/>
        <family val="2"/>
        <scheme val="minor"/>
      </rPr>
      <t>$198,683.70</t>
    </r>
  </si>
  <si>
    <t>Eco Bank Transfer</t>
  </si>
  <si>
    <t>Internal transfer</t>
  </si>
  <si>
    <t>Cash Transferred to LIKAK</t>
  </si>
  <si>
    <t xml:space="preserve"> Dakar AGSM owe us</t>
  </si>
  <si>
    <t>Outstanding balance owed by Dakar AGSM</t>
  </si>
  <si>
    <r>
      <rPr>
        <b/>
        <sz val="11"/>
        <color theme="1"/>
        <rFont val="Palatino Linotype"/>
        <family val="1"/>
      </rPr>
      <t xml:space="preserve">1. Linked Transactions: 874 </t>
    </r>
    <r>
      <rPr>
        <sz val="11"/>
        <color theme="1"/>
        <rFont val="Palatino Linotype"/>
        <family val="1"/>
      </rPr>
      <t>participants were successfully matched across all sources, representing the bulk of reconciled entries.</t>
    </r>
  </si>
  <si>
    <t>Funds due to BOT ($20 X 977 participants)</t>
  </si>
  <si>
    <r>
      <t xml:space="preserve">while </t>
    </r>
    <r>
      <rPr>
        <b/>
        <sz val="11"/>
        <color theme="1"/>
        <rFont val="Palatino Linotype"/>
        <family val="1"/>
      </rPr>
      <t>$18,767.70</t>
    </r>
    <r>
      <rPr>
        <sz val="11"/>
        <color theme="1"/>
        <rFont val="Palatino Linotype"/>
        <family val="1"/>
      </rPr>
      <t xml:space="preserve"> was identified as missing (Global only), bringing overall financial flows to </t>
    </r>
    <r>
      <rPr>
        <b/>
        <sz val="11"/>
        <color theme="1"/>
        <rFont val="Palatino Linotype"/>
        <family val="1"/>
      </rPr>
      <t>$198,683.70</t>
    </r>
    <r>
      <rPr>
        <sz val="11"/>
        <color theme="1"/>
        <rFont val="Palatino Linotype"/>
        <family val="1"/>
      </rPr>
      <t>.</t>
    </r>
  </si>
  <si>
    <r>
      <rPr>
        <b/>
        <sz val="11"/>
        <color theme="1"/>
        <rFont val="Calibri"/>
        <family val="2"/>
        <scheme val="minor"/>
      </rPr>
      <t>Totals: Altogether, 977</t>
    </r>
    <r>
      <rPr>
        <sz val="11"/>
        <color theme="1"/>
        <rFont val="Calibri"/>
        <family val="2"/>
        <scheme val="minor"/>
      </rPr>
      <t xml:space="preserve"> participants were reviewed. Of these, </t>
    </r>
    <r>
      <rPr>
        <b/>
        <sz val="11"/>
        <color theme="1"/>
        <rFont val="Calibri"/>
        <family val="2"/>
        <scheme val="minor"/>
      </rPr>
      <t>$179,916.00</t>
    </r>
    <r>
      <rPr>
        <sz val="11"/>
        <color theme="1"/>
        <rFont val="Calibri"/>
        <family val="2"/>
        <scheme val="minor"/>
      </rPr>
      <t xml:space="preserve"> was reconciled across paid transactions, </t>
    </r>
  </si>
  <si>
    <t xml:space="preserve">Confirmed Payments </t>
  </si>
  <si>
    <t xml:space="preserve">Confirmed Payments  (Global list ↔ Bank/Dokilink list) </t>
  </si>
  <si>
    <t xml:space="preserve">Total outstanding balance owed by Dakar AGSM </t>
  </si>
  <si>
    <t>Total Funds due to LIKAK</t>
  </si>
  <si>
    <t>Add: Cash received from College President</t>
  </si>
  <si>
    <t>Funds due to BOT ($20 per participants)</t>
  </si>
  <si>
    <t>Variance</t>
  </si>
  <si>
    <t>Dokilink Remittance</t>
  </si>
  <si>
    <t>Actual AGSM deposits received</t>
  </si>
  <si>
    <r>
      <t xml:space="preserve">Shortfall — </t>
    </r>
    <r>
      <rPr>
        <b/>
        <sz val="11"/>
        <color theme="1"/>
        <rFont val="Calibri"/>
        <charset val="134"/>
        <scheme val="minor"/>
      </rPr>
      <t>outstanding from Dokilink (part of Dakar’s funds)</t>
    </r>
  </si>
  <si>
    <t>AGSM + Dokilink expected + Eco</t>
  </si>
  <si>
    <t>Actual cash inflows to LIKAK</t>
  </si>
  <si>
    <t>Combined liability</t>
  </si>
  <si>
    <t>Adjustment reducing liability</t>
  </si>
  <si>
    <t>Net Outstanding Balance Owed by Dakar AGSM</t>
  </si>
  <si>
    <t>Amount Due ($)</t>
  </si>
  <si>
    <t>Amount Received ($)</t>
  </si>
  <si>
    <t>AGSM Total Collections Due to Dakar</t>
  </si>
  <si>
    <t>AGSM &amp; Non‑AGSM Collections and Transfers with Dakar – WACP</t>
  </si>
  <si>
    <t>Outstanding Balance Owed by Dakar AGSM (Scenario A)</t>
  </si>
  <si>
    <t xml:space="preserve"> Income Statement</t>
  </si>
  <si>
    <t xml:space="preserve">Non‑AGSM cash payment (excess paid to LIKAK) </t>
  </si>
  <si>
    <t>4,764  shortfall from Dolilink. clarify from Dakar/LIKAK</t>
  </si>
  <si>
    <t>Note 4,764 outstanding from DOKIlink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</si>
</sst>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_ "/>
    <numFmt numFmtId="166" formatCode="0.00_ "/>
    <numFmt numFmtId="167" formatCode="_-[$$-409]* #,##0.00_ ;_-[$$-409]* \-#,##0.00\ ;_-[$$-409]* &quot;-&quot;??_ ;_-@_ "/>
    <numFmt numFmtId="168" formatCode="_-* #,##0.00\ [$XOF]_-;\-* #,##0.00\ [$XOF]_-;_-* &quot;-&quot;??\ [$XOF]_-;_-@_-"/>
    <numFmt numFmtId="169" formatCode="[$-409]d\-mmm\-yyyy;@"/>
  </numFmts>
  <fonts count="9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alatino Linotype"/>
      <family val="1"/>
    </font>
    <font>
      <sz val="11"/>
      <color rgb="FF000000"/>
      <name val="Palatino Linotype"/>
      <family val="1"/>
    </font>
    <font>
      <sz val="11"/>
      <color theme="1"/>
      <name val="Palatino Linotype"/>
      <family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Palatino Linotype"/>
      <family val="1"/>
    </font>
    <font>
      <sz val="11"/>
      <color theme="0"/>
      <name val="Palatino Linotype"/>
      <family val="1"/>
    </font>
    <font>
      <sz val="11"/>
      <color rgb="FF00B050"/>
      <name val="Palatino Linotype"/>
      <family val="1"/>
    </font>
    <font>
      <sz val="11"/>
      <name val="Palatino Linotype"/>
      <family val="1"/>
    </font>
    <font>
      <sz val="11"/>
      <color rgb="FFFF0000"/>
      <name val="Palatino Linotype"/>
      <family val="1"/>
    </font>
    <font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Palatino Linotype"/>
      <family val="1"/>
    </font>
    <font>
      <b/>
      <sz val="11"/>
      <color rgb="FFFF0000"/>
      <name val="Palatino Linotype"/>
      <family val="1"/>
    </font>
    <font>
      <b/>
      <sz val="11"/>
      <color theme="1"/>
      <name val="Palatino Linotype"/>
      <family val="1"/>
    </font>
    <font>
      <u/>
      <sz val="11"/>
      <color theme="1"/>
      <name val="Palatino Linotype"/>
      <family val="1"/>
    </font>
    <font>
      <b/>
      <u val="doubleAccounting"/>
      <sz val="11"/>
      <color theme="1"/>
      <name val="Palatino Linotype"/>
      <family val="1"/>
    </font>
    <font>
      <sz val="11"/>
      <color rgb="FF0E20CC"/>
      <name val="Palatino Linotype"/>
      <family val="1"/>
    </font>
    <font>
      <b/>
      <sz val="18"/>
      <color rgb="FF0E20CC"/>
      <name val="Palatino Linotype"/>
      <family val="1"/>
    </font>
    <font>
      <b/>
      <u val="doubleAccounting"/>
      <sz val="11"/>
      <name val="Palatino Linotype"/>
      <family val="1"/>
    </font>
    <font>
      <u val="double"/>
      <sz val="11"/>
      <color rgb="FFFF0000"/>
      <name val="Palatino Linotype"/>
      <family val="1"/>
    </font>
    <font>
      <b/>
      <u val="double"/>
      <sz val="11"/>
      <color rgb="FFFF0000"/>
      <name val="Palatino Linotype"/>
      <family val="1"/>
    </font>
    <font>
      <b/>
      <u val="double"/>
      <sz val="11"/>
      <name val="Palatino Linotype"/>
      <family val="1"/>
    </font>
    <font>
      <b/>
      <u val="double"/>
      <sz val="11"/>
      <color theme="1"/>
      <name val="Palatino Linotype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u val="singleAccounting"/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b/>
      <u val="doubleAccounting"/>
      <sz val="12"/>
      <color rgb="FF0006EE"/>
      <name val="Calibri"/>
      <family val="2"/>
      <scheme val="minor"/>
    </font>
    <font>
      <u/>
      <sz val="11"/>
      <name val="Palatino Linotype"/>
      <family val="1"/>
    </font>
    <font>
      <sz val="11"/>
      <color rgb="FFFFFFFF"/>
      <name val="Palatino Linotype"/>
      <family val="1"/>
    </font>
    <font>
      <i/>
      <sz val="11"/>
      <color rgb="FFFFFFFF"/>
      <name val="Palatino Linotype"/>
      <family val="1"/>
    </font>
    <font>
      <b/>
      <u val="singleAccounting"/>
      <sz val="12"/>
      <color theme="1"/>
      <name val="Calibri"/>
      <family val="2"/>
      <scheme val="minor"/>
    </font>
    <font>
      <b/>
      <u val="doubleAccounting"/>
      <sz val="12"/>
      <color theme="1"/>
      <name val="Calibri"/>
      <family val="2"/>
      <scheme val="minor"/>
    </font>
    <font>
      <b/>
      <u val="singleAccounting"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sz val="11"/>
      <color rgb="FF7030A0"/>
      <name val="Palatino Linotype"/>
      <family val="1"/>
    </font>
    <font>
      <u val="singleAccounting"/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sz val="11"/>
      <color theme="1"/>
      <name val="Calibri"/>
      <family val="2"/>
      <scheme val="minor"/>
    </font>
    <font>
      <b/>
      <u val="doubleAccounting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 val="doubleAccounting"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1"/>
      <name val="Palatino Linotype"/>
      <family val="1"/>
    </font>
    <font>
      <b/>
      <u val="double"/>
      <sz val="11"/>
      <color theme="1"/>
      <name val="Calibri"/>
      <family val="2"/>
      <scheme val="minor"/>
    </font>
    <font>
      <b/>
      <u val="doubleAccounting"/>
      <sz val="11"/>
      <color rgb="FFFF0000"/>
      <name val="Palatino Linotype"/>
      <family val="1"/>
    </font>
    <font>
      <u val="singleAccounting"/>
      <sz val="11"/>
      <name val="Palatino Linotype"/>
      <family val="1"/>
    </font>
    <font>
      <b/>
      <u val="doubleAccounting"/>
      <sz val="14"/>
      <color theme="1"/>
      <name val="Palatino Linotype"/>
      <family val="1"/>
    </font>
    <font>
      <u val="singleAccounting"/>
      <sz val="11"/>
      <color theme="1"/>
      <name val="Palatino Linotype"/>
      <family val="1"/>
    </font>
    <font>
      <b/>
      <sz val="12"/>
      <color rgb="FF08127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2"/>
      <color rgb="FF081276"/>
      <name val="Palatino Linotype"/>
      <family val="1"/>
    </font>
    <font>
      <b/>
      <sz val="11"/>
      <color rgb="FFF61908"/>
      <name val="Calibri"/>
      <family val="2"/>
      <scheme val="minor"/>
    </font>
    <font>
      <b/>
      <u/>
      <sz val="11"/>
      <color rgb="FFF61908"/>
      <name val="Calibri"/>
      <family val="2"/>
      <scheme val="minor"/>
    </font>
    <font>
      <sz val="11"/>
      <color rgb="FFF61908"/>
      <name val="Calibri"/>
      <family val="2"/>
      <scheme val="minor"/>
    </font>
    <font>
      <b/>
      <u val="double"/>
      <sz val="11"/>
      <color rgb="FFF61908"/>
      <name val="Calibri"/>
      <family val="2"/>
      <scheme val="minor"/>
    </font>
    <font>
      <b/>
      <sz val="18"/>
      <color rgb="FF002060"/>
      <name val="Palatino Linotype"/>
      <family val="1"/>
    </font>
    <font>
      <u val="doubleAccounting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 val="doubleAccounting"/>
      <sz val="11"/>
      <color rgb="FFFF0000"/>
      <name val="Calibri"/>
      <family val="2"/>
      <scheme val="minor"/>
    </font>
    <font>
      <sz val="11"/>
      <color rgb="FF0E20CC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u val="double"/>
      <sz val="11"/>
      <name val="Calibri"/>
      <family val="2"/>
      <scheme val="minor"/>
    </font>
    <font>
      <u val="singleAccounting"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 val="double"/>
      <sz val="11"/>
      <color rgb="FFFF0000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rgb="FF0006EE"/>
      <name val="Calibri"/>
      <family val="2"/>
      <scheme val="minor"/>
    </font>
    <font>
      <sz val="11"/>
      <color rgb="FF0006EE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94133"/>
        <bgColor indexed="64"/>
      </patternFill>
    </fill>
    <fill>
      <patternFill patternType="solid">
        <fgColor rgb="FFDF91D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164" fontId="2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164" fontId="13" fillId="0" borderId="0" applyFont="0" applyFill="0" applyBorder="0" applyAlignment="0" applyProtection="0">
      <alignment vertical="center"/>
    </xf>
    <xf numFmtId="44" fontId="65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</cellStyleXfs>
  <cellXfs count="710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left" vertical="top" wrapText="1"/>
    </xf>
    <xf numFmtId="164" fontId="16" fillId="4" borderId="0" xfId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164" fontId="25" fillId="4" borderId="0" xfId="1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/>
    </xf>
    <xf numFmtId="164" fontId="18" fillId="4" borderId="0" xfId="1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left" vertical="top" wrapText="1"/>
    </xf>
    <xf numFmtId="0" fontId="31" fillId="4" borderId="0" xfId="0" applyFont="1" applyFill="1" applyAlignment="1">
      <alignment horizontal="center" vertical="center" wrapText="1"/>
    </xf>
    <xf numFmtId="164" fontId="16" fillId="3" borderId="0" xfId="1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/>
    </xf>
    <xf numFmtId="0" fontId="16" fillId="0" borderId="0" xfId="0" applyFont="1" applyAlignment="1">
      <alignment horizontal="left" vertical="top" wrapText="1"/>
    </xf>
    <xf numFmtId="164" fontId="16" fillId="0" borderId="0" xfId="1" applyFont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164" fontId="22" fillId="4" borderId="0" xfId="1" applyFont="1" applyFill="1" applyBorder="1" applyAlignment="1">
      <alignment horizontal="center" vertical="center" wrapText="1"/>
    </xf>
    <xf numFmtId="0" fontId="31" fillId="4" borderId="0" xfId="0" applyFont="1" applyFill="1" applyAlignment="1">
      <alignment horizontal="center" vertical="top"/>
    </xf>
    <xf numFmtId="164" fontId="19" fillId="4" borderId="0" xfId="1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left" vertical="top"/>
    </xf>
    <xf numFmtId="0" fontId="31" fillId="4" borderId="9" xfId="0" applyFont="1" applyFill="1" applyBorder="1" applyAlignment="1">
      <alignment horizontal="center" vertical="center" wrapText="1"/>
    </xf>
    <xf numFmtId="164" fontId="31" fillId="4" borderId="9" xfId="1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left" vertical="top" wrapText="1"/>
    </xf>
    <xf numFmtId="164" fontId="16" fillId="4" borderId="9" xfId="1" applyFont="1" applyFill="1" applyBorder="1" applyAlignment="1">
      <alignment horizontal="center" vertical="center" wrapText="1"/>
    </xf>
    <xf numFmtId="164" fontId="16" fillId="3" borderId="9" xfId="1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left" vertical="top" wrapText="1"/>
    </xf>
    <xf numFmtId="164" fontId="18" fillId="4" borderId="9" xfId="1" applyFont="1" applyFill="1" applyBorder="1" applyAlignment="1">
      <alignment horizontal="center" vertical="center" wrapText="1"/>
    </xf>
    <xf numFmtId="164" fontId="18" fillId="3" borderId="9" xfId="1" applyFont="1" applyFill="1" applyBorder="1" applyAlignment="1">
      <alignment horizontal="center" vertical="center" wrapText="1"/>
    </xf>
    <xf numFmtId="164" fontId="26" fillId="3" borderId="9" xfId="1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left" vertical="center"/>
    </xf>
    <xf numFmtId="0" fontId="16" fillId="4" borderId="11" xfId="0" applyFont="1" applyFill="1" applyBorder="1" applyAlignment="1">
      <alignment horizontal="center" vertical="center" wrapText="1"/>
    </xf>
    <xf numFmtId="0" fontId="29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31" fillId="4" borderId="14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left" vertical="top" wrapText="1"/>
    </xf>
    <xf numFmtId="0" fontId="18" fillId="4" borderId="11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164" fontId="21" fillId="3" borderId="9" xfId="1" applyFont="1" applyFill="1" applyBorder="1" applyAlignment="1">
      <alignment horizontal="center" wrapText="1"/>
    </xf>
    <xf numFmtId="0" fontId="34" fillId="4" borderId="0" xfId="0" applyFont="1" applyFill="1" applyAlignment="1">
      <alignment horizontal="center" vertical="center"/>
    </xf>
    <xf numFmtId="0" fontId="34" fillId="4" borderId="0" xfId="0" applyFont="1" applyFill="1" applyAlignment="1">
      <alignment horizontal="center" vertical="center" wrapText="1"/>
    </xf>
    <xf numFmtId="164" fontId="34" fillId="4" borderId="0" xfId="1" applyFont="1" applyFill="1" applyBorder="1" applyAlignment="1">
      <alignment horizontal="center" vertical="center" wrapText="1"/>
    </xf>
    <xf numFmtId="0" fontId="31" fillId="4" borderId="11" xfId="0" applyFont="1" applyFill="1" applyBorder="1" applyAlignment="1">
      <alignment horizontal="center" vertical="center" wrapText="1"/>
    </xf>
    <xf numFmtId="43" fontId="22" fillId="4" borderId="0" xfId="1" applyNumberFormat="1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top" wrapText="1"/>
    </xf>
    <xf numFmtId="0" fontId="14" fillId="0" borderId="0" xfId="3"/>
    <xf numFmtId="0" fontId="14" fillId="0" borderId="9" xfId="3" applyBorder="1" applyAlignment="1">
      <alignment horizontal="center"/>
    </xf>
    <xf numFmtId="0" fontId="43" fillId="0" borderId="9" xfId="3" applyFont="1" applyBorder="1" applyAlignment="1">
      <alignment horizontal="left" wrapText="1"/>
    </xf>
    <xf numFmtId="43" fontId="44" fillId="0" borderId="9" xfId="4" applyFont="1" applyBorder="1" applyAlignment="1">
      <alignment horizontal="right" shrinkToFit="1"/>
    </xf>
    <xf numFmtId="43" fontId="0" fillId="0" borderId="9" xfId="4" applyFont="1" applyBorder="1"/>
    <xf numFmtId="0" fontId="14" fillId="0" borderId="9" xfId="3" applyBorder="1"/>
    <xf numFmtId="43" fontId="0" fillId="0" borderId="9" xfId="4" applyFont="1" applyBorder="1" applyAlignment="1">
      <alignment horizontal="left"/>
    </xf>
    <xf numFmtId="43" fontId="0" fillId="0" borderId="9" xfId="4" applyFont="1" applyBorder="1" applyAlignment="1">
      <alignment horizontal="right"/>
    </xf>
    <xf numFmtId="0" fontId="14" fillId="4" borderId="9" xfId="3" applyFill="1" applyBorder="1" applyAlignment="1">
      <alignment horizontal="center"/>
    </xf>
    <xf numFmtId="43" fontId="45" fillId="4" borderId="9" xfId="4" applyFont="1" applyFill="1" applyBorder="1" applyAlignment="1">
      <alignment horizontal="right"/>
    </xf>
    <xf numFmtId="43" fontId="0" fillId="4" borderId="9" xfId="4" applyFont="1" applyFill="1" applyBorder="1"/>
    <xf numFmtId="0" fontId="14" fillId="4" borderId="9" xfId="3" applyFill="1" applyBorder="1"/>
    <xf numFmtId="0" fontId="14" fillId="4" borderId="0" xfId="3" applyFill="1"/>
    <xf numFmtId="43" fontId="46" fillId="4" borderId="9" xfId="4" applyFont="1" applyFill="1" applyBorder="1" applyAlignment="1">
      <alignment horizontal="right" shrinkToFit="1"/>
    </xf>
    <xf numFmtId="0" fontId="43" fillId="4" borderId="9" xfId="3" applyFont="1" applyFill="1" applyBorder="1" applyAlignment="1">
      <alignment horizontal="left" wrapText="1"/>
    </xf>
    <xf numFmtId="43" fontId="44" fillId="4" borderId="9" xfId="4" applyFont="1" applyFill="1" applyBorder="1" applyAlignment="1">
      <alignment horizontal="right" shrinkToFit="1"/>
    </xf>
    <xf numFmtId="43" fontId="47" fillId="4" borderId="9" xfId="4" applyFont="1" applyFill="1" applyBorder="1" applyAlignment="1">
      <alignment horizontal="right" shrinkToFit="1"/>
    </xf>
    <xf numFmtId="43" fontId="0" fillId="4" borderId="16" xfId="4" applyFont="1" applyFill="1" applyBorder="1"/>
    <xf numFmtId="0" fontId="14" fillId="4" borderId="16" xfId="3" applyFill="1" applyBorder="1"/>
    <xf numFmtId="0" fontId="14" fillId="4" borderId="10" xfId="3" applyFill="1" applyBorder="1" applyAlignment="1">
      <alignment horizontal="center"/>
    </xf>
    <xf numFmtId="43" fontId="0" fillId="4" borderId="11" xfId="4" applyFont="1" applyFill="1" applyBorder="1"/>
    <xf numFmtId="43" fontId="0" fillId="4" borderId="11" xfId="4" applyFont="1" applyFill="1" applyBorder="1" applyAlignment="1">
      <alignment horizontal="right"/>
    </xf>
    <xf numFmtId="0" fontId="14" fillId="4" borderId="12" xfId="3" applyFill="1" applyBorder="1"/>
    <xf numFmtId="0" fontId="14" fillId="4" borderId="0" xfId="3" applyFill="1" applyAlignment="1">
      <alignment horizontal="center"/>
    </xf>
    <xf numFmtId="43" fontId="48" fillId="4" borderId="0" xfId="4" applyFont="1" applyFill="1" applyBorder="1" applyAlignment="1">
      <alignment horizontal="right"/>
    </xf>
    <xf numFmtId="43" fontId="0" fillId="4" borderId="0" xfId="4" applyFont="1" applyFill="1" applyBorder="1"/>
    <xf numFmtId="43" fontId="0" fillId="4" borderId="0" xfId="4" applyFont="1" applyFill="1" applyBorder="1" applyAlignment="1">
      <alignment horizontal="right"/>
    </xf>
    <xf numFmtId="43" fontId="0" fillId="4" borderId="9" xfId="4" applyFont="1" applyFill="1" applyBorder="1" applyAlignment="1">
      <alignment horizontal="left"/>
    </xf>
    <xf numFmtId="0" fontId="41" fillId="4" borderId="0" xfId="3" applyFont="1" applyFill="1"/>
    <xf numFmtId="0" fontId="28" fillId="4" borderId="0" xfId="3" applyFont="1" applyFill="1"/>
    <xf numFmtId="43" fontId="0" fillId="4" borderId="9" xfId="4" applyFont="1" applyFill="1" applyBorder="1" applyAlignment="1">
      <alignment horizontal="right"/>
    </xf>
    <xf numFmtId="2" fontId="45" fillId="4" borderId="9" xfId="3" applyNumberFormat="1" applyFont="1" applyFill="1" applyBorder="1" applyAlignment="1">
      <alignment horizontal="right"/>
    </xf>
    <xf numFmtId="2" fontId="14" fillId="4" borderId="9" xfId="3" applyNumberFormat="1" applyFill="1" applyBorder="1"/>
    <xf numFmtId="2" fontId="45" fillId="4" borderId="9" xfId="3" applyNumberFormat="1" applyFont="1" applyFill="1" applyBorder="1"/>
    <xf numFmtId="0" fontId="28" fillId="4" borderId="9" xfId="3" applyFont="1" applyFill="1" applyBorder="1"/>
    <xf numFmtId="43" fontId="28" fillId="4" borderId="9" xfId="4" applyFont="1" applyFill="1" applyBorder="1"/>
    <xf numFmtId="43" fontId="45" fillId="4" borderId="9" xfId="4" applyFont="1" applyFill="1" applyBorder="1" applyAlignment="1">
      <alignment horizontal="left"/>
    </xf>
    <xf numFmtId="0" fontId="16" fillId="4" borderId="9" xfId="3" applyFont="1" applyFill="1" applyBorder="1" applyAlignment="1">
      <alignment horizontal="center" vertical="center" wrapText="1"/>
    </xf>
    <xf numFmtId="43" fontId="28" fillId="4" borderId="9" xfId="4" applyFont="1" applyFill="1" applyBorder="1" applyAlignment="1">
      <alignment horizontal="right"/>
    </xf>
    <xf numFmtId="0" fontId="16" fillId="4" borderId="0" xfId="3" applyFont="1" applyFill="1" applyAlignment="1">
      <alignment horizontal="center" vertical="center" wrapText="1"/>
    </xf>
    <xf numFmtId="43" fontId="14" fillId="4" borderId="9" xfId="3" applyNumberFormat="1" applyFill="1" applyBorder="1"/>
    <xf numFmtId="0" fontId="42" fillId="4" borderId="0" xfId="3" applyFont="1" applyFill="1"/>
    <xf numFmtId="43" fontId="42" fillId="4" borderId="9" xfId="4" applyFont="1" applyFill="1" applyBorder="1" applyAlignment="1">
      <alignment horizontal="left"/>
    </xf>
    <xf numFmtId="43" fontId="45" fillId="4" borderId="11" xfId="4" applyFont="1" applyFill="1" applyBorder="1" applyAlignment="1">
      <alignment horizontal="right"/>
    </xf>
    <xf numFmtId="43" fontId="45" fillId="4" borderId="0" xfId="4" applyFont="1" applyFill="1" applyBorder="1" applyAlignment="1">
      <alignment horizontal="right"/>
    </xf>
    <xf numFmtId="43" fontId="50" fillId="4" borderId="9" xfId="4" applyFont="1" applyFill="1" applyBorder="1" applyAlignment="1">
      <alignment horizontal="right" shrinkToFit="1"/>
    </xf>
    <xf numFmtId="43" fontId="28" fillId="4" borderId="9" xfId="4" applyFont="1" applyFill="1" applyBorder="1" applyAlignment="1">
      <alignment horizontal="left"/>
    </xf>
    <xf numFmtId="43" fontId="14" fillId="4" borderId="0" xfId="3" applyNumberFormat="1" applyFill="1"/>
    <xf numFmtId="0" fontId="42" fillId="0" borderId="0" xfId="3" applyFont="1"/>
    <xf numFmtId="43" fontId="14" fillId="0" borderId="9" xfId="3" applyNumberFormat="1" applyBorder="1"/>
    <xf numFmtId="0" fontId="14" fillId="4" borderId="1" xfId="3" applyFill="1" applyBorder="1"/>
    <xf numFmtId="43" fontId="0" fillId="4" borderId="0" xfId="4" applyFont="1" applyFill="1"/>
    <xf numFmtId="43" fontId="28" fillId="4" borderId="0" xfId="4" applyFont="1" applyFill="1" applyBorder="1" applyAlignment="1">
      <alignment horizontal="right"/>
    </xf>
    <xf numFmtId="0" fontId="28" fillId="4" borderId="0" xfId="3" applyFont="1" applyFill="1" applyAlignment="1">
      <alignment horizontal="center"/>
    </xf>
    <xf numFmtId="43" fontId="51" fillId="4" borderId="0" xfId="4" applyFont="1" applyFill="1" applyBorder="1" applyAlignment="1">
      <alignment horizontal="right"/>
    </xf>
    <xf numFmtId="43" fontId="41" fillId="0" borderId="0" xfId="4" applyFont="1"/>
    <xf numFmtId="0" fontId="14" fillId="4" borderId="11" xfId="3" applyFill="1" applyBorder="1"/>
    <xf numFmtId="0" fontId="28" fillId="4" borderId="14" xfId="3" applyFont="1" applyFill="1" applyBorder="1"/>
    <xf numFmtId="43" fontId="28" fillId="4" borderId="14" xfId="4" applyFont="1" applyFill="1" applyBorder="1" applyAlignment="1">
      <alignment horizontal="right"/>
    </xf>
    <xf numFmtId="0" fontId="28" fillId="4" borderId="15" xfId="3" applyFont="1" applyFill="1" applyBorder="1"/>
    <xf numFmtId="0" fontId="28" fillId="4" borderId="21" xfId="3" applyFont="1" applyFill="1" applyBorder="1"/>
    <xf numFmtId="43" fontId="28" fillId="4" borderId="21" xfId="4" applyFont="1" applyFill="1" applyBorder="1" applyAlignment="1">
      <alignment horizontal="right"/>
    </xf>
    <xf numFmtId="0" fontId="28" fillId="4" borderId="22" xfId="3" applyFont="1" applyFill="1" applyBorder="1"/>
    <xf numFmtId="43" fontId="41" fillId="4" borderId="9" xfId="4" applyFont="1" applyFill="1" applyBorder="1" applyAlignment="1">
      <alignment horizontal="left"/>
    </xf>
    <xf numFmtId="0" fontId="43" fillId="4" borderId="16" xfId="3" applyFont="1" applyFill="1" applyBorder="1" applyAlignment="1">
      <alignment horizontal="left" wrapText="1"/>
    </xf>
    <xf numFmtId="43" fontId="52" fillId="4" borderId="21" xfId="4" applyFont="1" applyFill="1" applyBorder="1" applyAlignment="1">
      <alignment horizontal="right"/>
    </xf>
    <xf numFmtId="43" fontId="0" fillId="4" borderId="14" xfId="4" applyFont="1" applyFill="1" applyBorder="1"/>
    <xf numFmtId="43" fontId="0" fillId="4" borderId="21" xfId="4" applyFont="1" applyFill="1" applyBorder="1"/>
    <xf numFmtId="0" fontId="43" fillId="4" borderId="0" xfId="3" applyFont="1" applyFill="1" applyAlignment="1">
      <alignment horizontal="left" wrapText="1"/>
    </xf>
    <xf numFmtId="43" fontId="0" fillId="4" borderId="21" xfId="4" applyFont="1" applyFill="1" applyBorder="1" applyAlignment="1">
      <alignment horizontal="right"/>
    </xf>
    <xf numFmtId="0" fontId="14" fillId="4" borderId="22" xfId="3" applyFill="1" applyBorder="1"/>
    <xf numFmtId="0" fontId="14" fillId="4" borderId="20" xfId="3" applyFill="1" applyBorder="1" applyAlignment="1">
      <alignment horizontal="center"/>
    </xf>
    <xf numFmtId="0" fontId="28" fillId="4" borderId="13" xfId="3" applyFont="1" applyFill="1" applyBorder="1" applyAlignment="1">
      <alignment horizontal="center"/>
    </xf>
    <xf numFmtId="0" fontId="28" fillId="4" borderId="20" xfId="3" applyFont="1" applyFill="1" applyBorder="1" applyAlignment="1">
      <alignment horizontal="center"/>
    </xf>
    <xf numFmtId="43" fontId="45" fillId="4" borderId="16" xfId="4" applyFont="1" applyFill="1" applyBorder="1" applyAlignment="1">
      <alignment horizontal="right"/>
    </xf>
    <xf numFmtId="43" fontId="13" fillId="4" borderId="9" xfId="4" applyFont="1" applyFill="1" applyBorder="1" applyAlignment="1">
      <alignment horizontal="right"/>
    </xf>
    <xf numFmtId="43" fontId="13" fillId="4" borderId="9" xfId="4" applyFont="1" applyFill="1" applyBorder="1" applyAlignment="1">
      <alignment horizontal="left"/>
    </xf>
    <xf numFmtId="0" fontId="14" fillId="4" borderId="13" xfId="3" applyFill="1" applyBorder="1" applyAlignment="1">
      <alignment horizontal="center"/>
    </xf>
    <xf numFmtId="43" fontId="0" fillId="4" borderId="14" xfId="4" applyFont="1" applyFill="1" applyBorder="1" applyAlignment="1">
      <alignment horizontal="right"/>
    </xf>
    <xf numFmtId="0" fontId="14" fillId="4" borderId="15" xfId="3" applyFill="1" applyBorder="1"/>
    <xf numFmtId="0" fontId="18" fillId="4" borderId="14" xfId="0" applyFont="1" applyFill="1" applyBorder="1" applyAlignment="1">
      <alignment horizontal="center" vertical="center" wrapText="1"/>
    </xf>
    <xf numFmtId="164" fontId="18" fillId="4" borderId="14" xfId="1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6" fontId="22" fillId="6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4" fontId="17" fillId="0" borderId="1" xfId="5" applyFont="1" applyBorder="1" applyAlignment="1">
      <alignment horizontal="center" vertical="center" shrinkToFit="1"/>
    </xf>
    <xf numFmtId="166" fontId="17" fillId="0" borderId="1" xfId="5" applyNumberFormat="1" applyFont="1" applyBorder="1" applyAlignment="1">
      <alignment horizontal="center" vertical="center" shrinkToFit="1"/>
    </xf>
    <xf numFmtId="0" fontId="16" fillId="2" borderId="1" xfId="0" applyFont="1" applyFill="1" applyBorder="1" applyAlignment="1">
      <alignment horizontal="center" vertical="center" wrapText="1"/>
    </xf>
    <xf numFmtId="166" fontId="16" fillId="2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 wrapText="1"/>
    </xf>
    <xf numFmtId="166" fontId="16" fillId="0" borderId="1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6" fontId="17" fillId="0" borderId="1" xfId="0" applyNumberFormat="1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6" fontId="17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 wrapText="1"/>
    </xf>
    <xf numFmtId="166" fontId="16" fillId="2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43" fontId="16" fillId="0" borderId="1" xfId="5" applyNumberFormat="1" applyFont="1" applyBorder="1" applyAlignment="1">
      <alignment horizontal="center" wrapText="1"/>
    </xf>
    <xf numFmtId="166" fontId="16" fillId="0" borderId="1" xfId="5" applyNumberFormat="1" applyFont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2" fontId="17" fillId="2" borderId="1" xfId="0" applyNumberFormat="1" applyFont="1" applyFill="1" applyBorder="1" applyAlignment="1">
      <alignment horizontal="center" wrapText="1"/>
    </xf>
    <xf numFmtId="166" fontId="16" fillId="0" borderId="1" xfId="5" applyNumberFormat="1" applyFont="1" applyBorder="1" applyAlignment="1">
      <alignment horizontal="center" shrinkToFit="1"/>
    </xf>
    <xf numFmtId="166" fontId="16" fillId="0" borderId="1" xfId="0" applyNumberFormat="1" applyFont="1" applyBorder="1" applyAlignment="1">
      <alignment horizontal="center" wrapText="1"/>
    </xf>
    <xf numFmtId="0" fontId="19" fillId="0" borderId="1" xfId="2" applyFill="1" applyBorder="1" applyAlignment="1">
      <alignment horizontal="center" vertical="center" wrapText="1"/>
    </xf>
    <xf numFmtId="166" fontId="17" fillId="2" borderId="1" xfId="0" applyNumberFormat="1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vertical="center" wrapText="1"/>
    </xf>
    <xf numFmtId="166" fontId="16" fillId="7" borderId="1" xfId="0" applyNumberFormat="1" applyFont="1" applyFill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/>
    </xf>
    <xf numFmtId="0" fontId="53" fillId="0" borderId="1" xfId="2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/>
    </xf>
    <xf numFmtId="166" fontId="16" fillId="8" borderId="1" xfId="0" applyNumberFormat="1" applyFont="1" applyFill="1" applyBorder="1" applyAlignment="1">
      <alignment horizontal="center" vertical="center" wrapText="1"/>
    </xf>
    <xf numFmtId="0" fontId="19" fillId="8" borderId="1" xfId="2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166" fontId="16" fillId="0" borderId="1" xfId="0" applyNumberFormat="1" applyFont="1" applyBorder="1" applyAlignment="1">
      <alignment horizontal="center"/>
    </xf>
    <xf numFmtId="166" fontId="16" fillId="0" borderId="1" xfId="5" applyNumberFormat="1" applyFont="1" applyBorder="1" applyAlignment="1">
      <alignment horizontal="center" vertical="center" shrinkToFit="1"/>
    </xf>
    <xf numFmtId="0" fontId="16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166" fontId="16" fillId="9" borderId="1" xfId="5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166" fontId="16" fillId="2" borderId="0" xfId="0" applyNumberFormat="1" applyFont="1" applyFill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wrapText="1"/>
    </xf>
    <xf numFmtId="0" fontId="16" fillId="0" borderId="2" xfId="0" applyFont="1" applyBorder="1" applyAlignment="1">
      <alignment horizontal="center" vertical="center" wrapText="1"/>
    </xf>
    <xf numFmtId="166" fontId="16" fillId="0" borderId="2" xfId="5" applyNumberFormat="1" applyFont="1" applyBorder="1" applyAlignment="1">
      <alignment horizontal="center" shrinkToFit="1"/>
    </xf>
    <xf numFmtId="166" fontId="16" fillId="2" borderId="3" xfId="0" applyNumberFormat="1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166" fontId="16" fillId="2" borderId="2" xfId="0" applyNumberFormat="1" applyFont="1" applyFill="1" applyBorder="1" applyAlignment="1">
      <alignment horizontal="center" vertical="center" wrapText="1"/>
    </xf>
    <xf numFmtId="166" fontId="16" fillId="2" borderId="4" xfId="0" applyNumberFormat="1" applyFont="1" applyFill="1" applyBorder="1" applyAlignment="1">
      <alignment horizontal="center" vertical="center" wrapText="1"/>
    </xf>
    <xf numFmtId="166" fontId="16" fillId="0" borderId="4" xfId="0" applyNumberFormat="1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166" fontId="16" fillId="0" borderId="5" xfId="0" applyNumberFormat="1" applyFont="1" applyBorder="1" applyAlignment="1">
      <alignment horizontal="center" vertical="center" wrapText="1"/>
    </xf>
    <xf numFmtId="0" fontId="16" fillId="2" borderId="25" xfId="0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horizontal="center"/>
    </xf>
    <xf numFmtId="0" fontId="16" fillId="0" borderId="2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/>
    </xf>
    <xf numFmtId="166" fontId="16" fillId="0" borderId="25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66" fontId="16" fillId="0" borderId="2" xfId="0" applyNumberFormat="1" applyFont="1" applyBorder="1" applyAlignment="1">
      <alignment horizontal="center" vertical="center"/>
    </xf>
    <xf numFmtId="43" fontId="16" fillId="0" borderId="1" xfId="5" applyNumberFormat="1" applyFont="1" applyFill="1" applyBorder="1" applyAlignment="1">
      <alignment horizontal="center" wrapText="1"/>
    </xf>
    <xf numFmtId="166" fontId="16" fillId="0" borderId="1" xfId="5" applyNumberFormat="1" applyFont="1" applyFill="1" applyBorder="1" applyAlignment="1">
      <alignment horizontal="center" wrapText="1"/>
    </xf>
    <xf numFmtId="0" fontId="16" fillId="2" borderId="5" xfId="0" applyFont="1" applyFill="1" applyBorder="1" applyAlignment="1">
      <alignment horizontal="center" vertical="center" wrapText="1"/>
    </xf>
    <xf numFmtId="166" fontId="16" fillId="2" borderId="5" xfId="0" applyNumberFormat="1" applyFont="1" applyFill="1" applyBorder="1" applyAlignment="1">
      <alignment horizontal="center" vertical="center" wrapText="1"/>
    </xf>
    <xf numFmtId="0" fontId="17" fillId="0" borderId="1" xfId="0" applyFont="1" applyBorder="1"/>
    <xf numFmtId="164" fontId="17" fillId="0" borderId="1" xfId="5" applyFont="1" applyFill="1" applyBorder="1" applyAlignment="1">
      <alignment horizontal="center" vertical="center" shrinkToFit="1"/>
    </xf>
    <xf numFmtId="166" fontId="17" fillId="0" borderId="1" xfId="5" applyNumberFormat="1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horizontal="center" wrapText="1"/>
    </xf>
    <xf numFmtId="0" fontId="17" fillId="7" borderId="6" xfId="0" applyFont="1" applyFill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6" fontId="16" fillId="9" borderId="1" xfId="0" applyNumberFormat="1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166" fontId="16" fillId="10" borderId="1" xfId="0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6" fontId="16" fillId="0" borderId="4" xfId="5" applyNumberFormat="1" applyFont="1" applyBorder="1" applyAlignment="1">
      <alignment horizontal="center" shrinkToFit="1"/>
    </xf>
    <xf numFmtId="166" fontId="16" fillId="2" borderId="25" xfId="0" applyNumberFormat="1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166" fontId="16" fillId="0" borderId="25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wrapText="1"/>
    </xf>
    <xf numFmtId="0" fontId="16" fillId="2" borderId="25" xfId="0" applyFont="1" applyFill="1" applyBorder="1" applyAlignment="1">
      <alignment horizontal="center" wrapText="1"/>
    </xf>
    <xf numFmtId="166" fontId="16" fillId="0" borderId="25" xfId="5" applyNumberFormat="1" applyFont="1" applyBorder="1" applyAlignment="1">
      <alignment horizontal="center" shrinkToFit="1"/>
    </xf>
    <xf numFmtId="166" fontId="16" fillId="2" borderId="25" xfId="0" applyNumberFormat="1" applyFont="1" applyFill="1" applyBorder="1" applyAlignment="1">
      <alignment horizontal="center" wrapText="1"/>
    </xf>
    <xf numFmtId="166" fontId="16" fillId="0" borderId="25" xfId="5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6" fontId="16" fillId="0" borderId="2" xfId="5" applyNumberFormat="1" applyFont="1" applyBorder="1" applyAlignment="1">
      <alignment horizontal="center" vertical="center"/>
    </xf>
    <xf numFmtId="166" fontId="16" fillId="0" borderId="1" xfId="5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167" fontId="22" fillId="8" borderId="28" xfId="0" applyNumberFormat="1" applyFont="1" applyFill="1" applyBorder="1" applyAlignment="1">
      <alignment horizontal="center" vertical="center" wrapText="1"/>
    </xf>
    <xf numFmtId="168" fontId="16" fillId="3" borderId="29" xfId="0" applyNumberFormat="1" applyFont="1" applyFill="1" applyBorder="1" applyAlignment="1">
      <alignment horizontal="center" vertical="center" wrapText="1"/>
    </xf>
    <xf numFmtId="167" fontId="22" fillId="8" borderId="30" xfId="0" applyNumberFormat="1" applyFont="1" applyFill="1" applyBorder="1" applyAlignment="1">
      <alignment horizontal="center" vertical="center" wrapText="1"/>
    </xf>
    <xf numFmtId="168" fontId="16" fillId="3" borderId="31" xfId="0" applyNumberFormat="1" applyFont="1" applyFill="1" applyBorder="1" applyAlignment="1">
      <alignment horizontal="center" vertical="center" wrapText="1"/>
    </xf>
    <xf numFmtId="166" fontId="16" fillId="0" borderId="2" xfId="0" applyNumberFormat="1" applyFont="1" applyBorder="1" applyAlignment="1">
      <alignment horizontal="center" vertical="center" wrapText="1"/>
    </xf>
    <xf numFmtId="164" fontId="18" fillId="4" borderId="0" xfId="0" applyNumberFormat="1" applyFont="1" applyFill="1" applyAlignment="1">
      <alignment horizontal="center" vertical="center" wrapText="1"/>
    </xf>
    <xf numFmtId="164" fontId="18" fillId="4" borderId="0" xfId="1" applyFont="1" applyFill="1" applyAlignment="1">
      <alignment horizontal="center" vertical="center" wrapText="1"/>
    </xf>
    <xf numFmtId="0" fontId="13" fillId="0" borderId="0" xfId="3" applyFont="1"/>
    <xf numFmtId="43" fontId="13" fillId="0" borderId="9" xfId="4" applyFont="1" applyBorder="1" applyAlignment="1">
      <alignment horizontal="left"/>
    </xf>
    <xf numFmtId="43" fontId="13" fillId="0" borderId="9" xfId="4" applyFont="1" applyBorder="1" applyAlignment="1">
      <alignment horizontal="right"/>
    </xf>
    <xf numFmtId="43" fontId="13" fillId="4" borderId="9" xfId="4" applyFont="1" applyFill="1" applyBorder="1"/>
    <xf numFmtId="43" fontId="13" fillId="4" borderId="0" xfId="4" applyFont="1" applyFill="1" applyBorder="1" applyAlignment="1">
      <alignment horizontal="right"/>
    </xf>
    <xf numFmtId="2" fontId="13" fillId="4" borderId="9" xfId="3" applyNumberFormat="1" applyFont="1" applyFill="1" applyBorder="1"/>
    <xf numFmtId="4" fontId="13" fillId="4" borderId="0" xfId="3" applyNumberFormat="1" applyFont="1" applyFill="1"/>
    <xf numFmtId="4" fontId="13" fillId="4" borderId="11" xfId="3" applyNumberFormat="1" applyFont="1" applyFill="1" applyBorder="1"/>
    <xf numFmtId="43" fontId="56" fillId="4" borderId="11" xfId="4" applyFont="1" applyFill="1" applyBorder="1" applyAlignment="1">
      <alignment horizontal="right"/>
    </xf>
    <xf numFmtId="43" fontId="56" fillId="4" borderId="14" xfId="4" applyFont="1" applyFill="1" applyBorder="1" applyAlignment="1">
      <alignment horizontal="right"/>
    </xf>
    <xf numFmtId="43" fontId="57" fillId="4" borderId="11" xfId="4" applyFont="1" applyFill="1" applyBorder="1" applyAlignment="1">
      <alignment horizontal="right"/>
    </xf>
    <xf numFmtId="43" fontId="58" fillId="4" borderId="14" xfId="4" applyFont="1" applyFill="1" applyBorder="1" applyAlignment="1">
      <alignment horizontal="right"/>
    </xf>
    <xf numFmtId="0" fontId="42" fillId="0" borderId="9" xfId="3" applyFont="1" applyBorder="1" applyAlignment="1">
      <alignment horizontal="left" vertical="top"/>
    </xf>
    <xf numFmtId="0" fontId="59" fillId="0" borderId="0" xfId="3" applyFont="1" applyAlignment="1">
      <alignment vertical="center"/>
    </xf>
    <xf numFmtId="43" fontId="60" fillId="4" borderId="9" xfId="4" applyFont="1" applyFill="1" applyBorder="1" applyAlignment="1">
      <alignment horizontal="right" shrinkToFit="1"/>
    </xf>
    <xf numFmtId="43" fontId="13" fillId="4" borderId="11" xfId="4" applyFont="1" applyFill="1" applyBorder="1" applyAlignment="1">
      <alignment horizontal="right"/>
    </xf>
    <xf numFmtId="2" fontId="13" fillId="4" borderId="9" xfId="3" applyNumberFormat="1" applyFont="1" applyFill="1" applyBorder="1" applyAlignment="1">
      <alignment horizontal="right"/>
    </xf>
    <xf numFmtId="43" fontId="13" fillId="4" borderId="9" xfId="4" applyFont="1" applyFill="1" applyBorder="1" applyAlignment="1">
      <alignment horizontal="right" shrinkToFit="1"/>
    </xf>
    <xf numFmtId="43" fontId="60" fillId="0" borderId="9" xfId="4" applyFont="1" applyBorder="1" applyAlignment="1">
      <alignment horizontal="right" shrinkToFit="1"/>
    </xf>
    <xf numFmtId="43" fontId="13" fillId="4" borderId="16" xfId="4" applyFont="1" applyFill="1" applyBorder="1" applyAlignment="1">
      <alignment horizontal="right"/>
    </xf>
    <xf numFmtId="43" fontId="44" fillId="4" borderId="9" xfId="4" applyFont="1" applyFill="1" applyBorder="1" applyAlignment="1">
      <alignment horizontal="left" shrinkToFit="1"/>
    </xf>
    <xf numFmtId="0" fontId="13" fillId="4" borderId="9" xfId="3" applyFont="1" applyFill="1" applyBorder="1"/>
    <xf numFmtId="0" fontId="61" fillId="4" borderId="14" xfId="3" applyFont="1" applyFill="1" applyBorder="1" applyAlignment="1">
      <alignment horizontal="center" vertical="center" wrapText="1"/>
    </xf>
    <xf numFmtId="0" fontId="61" fillId="4" borderId="11" xfId="3" applyFont="1" applyFill="1" applyBorder="1" applyAlignment="1">
      <alignment horizontal="center" wrapText="1"/>
    </xf>
    <xf numFmtId="0" fontId="61" fillId="4" borderId="21" xfId="3" applyFont="1" applyFill="1" applyBorder="1" applyAlignment="1">
      <alignment horizontal="center" wrapText="1"/>
    </xf>
    <xf numFmtId="0" fontId="61" fillId="4" borderId="14" xfId="3" applyFont="1" applyFill="1" applyBorder="1" applyAlignment="1">
      <alignment horizontal="center" wrapText="1"/>
    </xf>
    <xf numFmtId="0" fontId="18" fillId="4" borderId="19" xfId="0" applyFont="1" applyFill="1" applyBorder="1" applyAlignment="1">
      <alignment horizontal="center" vertical="center" wrapText="1"/>
    </xf>
    <xf numFmtId="0" fontId="37" fillId="5" borderId="20" xfId="0" applyFont="1" applyFill="1" applyBorder="1" applyAlignment="1">
      <alignment horizontal="center" vertical="center" wrapText="1"/>
    </xf>
    <xf numFmtId="0" fontId="37" fillId="5" borderId="21" xfId="0" applyFont="1" applyFill="1" applyBorder="1" applyAlignment="1">
      <alignment horizontal="left" vertical="top" wrapText="1"/>
    </xf>
    <xf numFmtId="0" fontId="62" fillId="4" borderId="0" xfId="0" applyFont="1" applyFill="1" applyAlignment="1">
      <alignment horizontal="left" vertical="center"/>
    </xf>
    <xf numFmtId="164" fontId="62" fillId="4" borderId="0" xfId="1" applyFont="1" applyFill="1" applyBorder="1" applyAlignment="1">
      <alignment horizontal="center" vertical="center" wrapText="1"/>
    </xf>
    <xf numFmtId="0" fontId="25" fillId="4" borderId="0" xfId="0" applyFont="1" applyFill="1" applyAlignment="1">
      <alignment horizontal="left" vertical="top" wrapText="1"/>
    </xf>
    <xf numFmtId="0" fontId="25" fillId="4" borderId="0" xfId="0" applyFont="1" applyFill="1" applyAlignment="1">
      <alignment horizontal="center"/>
    </xf>
    <xf numFmtId="164" fontId="14" fillId="0" borderId="0" xfId="1" applyFont="1" applyAlignment="1"/>
    <xf numFmtId="0" fontId="12" fillId="0" borderId="0" xfId="3" applyFont="1"/>
    <xf numFmtId="164" fontId="14" fillId="0" borderId="0" xfId="3" applyNumberFormat="1"/>
    <xf numFmtId="164" fontId="12" fillId="0" borderId="0" xfId="3" applyNumberFormat="1" applyFont="1"/>
    <xf numFmtId="164" fontId="33" fillId="4" borderId="11" xfId="1" applyFont="1" applyFill="1" applyBorder="1" applyAlignment="1">
      <alignment horizontal="center" vertical="center" wrapText="1"/>
    </xf>
    <xf numFmtId="164" fontId="36" fillId="4" borderId="11" xfId="1" applyFont="1" applyFill="1" applyBorder="1" applyAlignment="1">
      <alignment horizontal="center" vertical="center" wrapText="1"/>
    </xf>
    <xf numFmtId="164" fontId="63" fillId="0" borderId="0" xfId="3" applyNumberFormat="1" applyFont="1"/>
    <xf numFmtId="164" fontId="42" fillId="0" borderId="0" xfId="3" applyNumberFormat="1" applyFont="1"/>
    <xf numFmtId="164" fontId="41" fillId="0" borderId="0" xfId="1" applyFont="1" applyAlignment="1"/>
    <xf numFmtId="0" fontId="41" fillId="0" borderId="0" xfId="3" applyFont="1"/>
    <xf numFmtId="164" fontId="14" fillId="4" borderId="0" xfId="1" applyFont="1" applyFill="1" applyAlignment="1"/>
    <xf numFmtId="164" fontId="28" fillId="4" borderId="0" xfId="1" applyFont="1" applyFill="1" applyAlignment="1"/>
    <xf numFmtId="164" fontId="41" fillId="4" borderId="0" xfId="1" applyFont="1" applyFill="1" applyAlignment="1"/>
    <xf numFmtId="164" fontId="34" fillId="4" borderId="0" xfId="1" applyFont="1" applyFill="1" applyAlignment="1">
      <alignment horizontal="center" vertical="center" wrapText="1"/>
    </xf>
    <xf numFmtId="164" fontId="64" fillId="4" borderId="0" xfId="1" applyFont="1" applyFill="1" applyAlignment="1">
      <alignment horizontal="center" vertical="center" wrapText="1"/>
    </xf>
    <xf numFmtId="164" fontId="16" fillId="4" borderId="0" xfId="1" applyFont="1" applyFill="1" applyAlignment="1">
      <alignment horizontal="center" vertical="center" wrapText="1"/>
    </xf>
    <xf numFmtId="164" fontId="25" fillId="4" borderId="0" xfId="1" applyFont="1" applyFill="1" applyAlignment="1">
      <alignment horizontal="center" vertical="center" wrapText="1"/>
    </xf>
    <xf numFmtId="164" fontId="22" fillId="4" borderId="0" xfId="1" applyFont="1" applyFill="1" applyAlignment="1">
      <alignment horizontal="center" vertical="center" wrapText="1"/>
    </xf>
    <xf numFmtId="164" fontId="13" fillId="4" borderId="0" xfId="1" applyFont="1" applyFill="1" applyAlignment="1"/>
    <xf numFmtId="43" fontId="42" fillId="4" borderId="0" xfId="3" applyNumberFormat="1" applyFont="1" applyFill="1"/>
    <xf numFmtId="43" fontId="18" fillId="4" borderId="0" xfId="0" applyNumberFormat="1" applyFont="1" applyFill="1" applyAlignment="1">
      <alignment horizontal="center" vertical="center" wrapText="1"/>
    </xf>
    <xf numFmtId="0" fontId="11" fillId="4" borderId="0" xfId="3" applyFont="1" applyFill="1"/>
    <xf numFmtId="43" fontId="42" fillId="0" borderId="0" xfId="3" applyNumberFormat="1" applyFont="1"/>
    <xf numFmtId="0" fontId="49" fillId="4" borderId="11" xfId="3" applyFont="1" applyFill="1" applyBorder="1" applyAlignment="1">
      <alignment horizontal="left" vertical="center"/>
    </xf>
    <xf numFmtId="43" fontId="68" fillId="4" borderId="21" xfId="4" applyFont="1" applyFill="1" applyBorder="1" applyAlignment="1">
      <alignment horizontal="right"/>
    </xf>
    <xf numFmtId="0" fontId="10" fillId="4" borderId="0" xfId="3" applyFont="1" applyFill="1"/>
    <xf numFmtId="43" fontId="10" fillId="0" borderId="9" xfId="3" applyNumberFormat="1" applyFont="1" applyBorder="1"/>
    <xf numFmtId="43" fontId="10" fillId="0" borderId="9" xfId="3" applyNumberFormat="1" applyFont="1" applyBorder="1" applyAlignment="1">
      <alignment wrapText="1"/>
    </xf>
    <xf numFmtId="43" fontId="14" fillId="0" borderId="0" xfId="3" applyNumberFormat="1"/>
    <xf numFmtId="164" fontId="10" fillId="0" borderId="0" xfId="1" applyFont="1" applyAlignment="1"/>
    <xf numFmtId="0" fontId="18" fillId="10" borderId="0" xfId="0" applyFont="1" applyFill="1" applyAlignment="1">
      <alignment horizontal="center" vertical="center" wrapText="1"/>
    </xf>
    <xf numFmtId="0" fontId="42" fillId="0" borderId="9" xfId="3" applyFont="1" applyBorder="1" applyAlignment="1">
      <alignment horizontal="center" vertical="center"/>
    </xf>
    <xf numFmtId="43" fontId="42" fillId="0" borderId="9" xfId="3" applyNumberFormat="1" applyFont="1" applyBorder="1"/>
    <xf numFmtId="43" fontId="63" fillId="0" borderId="9" xfId="3" applyNumberFormat="1" applyFont="1" applyBorder="1"/>
    <xf numFmtId="0" fontId="42" fillId="0" borderId="9" xfId="3" applyFont="1" applyBorder="1" applyAlignment="1">
      <alignment horizontal="center"/>
    </xf>
    <xf numFmtId="0" fontId="10" fillId="0" borderId="9" xfId="3" applyFont="1" applyBorder="1"/>
    <xf numFmtId="0" fontId="10" fillId="0" borderId="9" xfId="3" applyFont="1" applyBorder="1" applyAlignment="1">
      <alignment wrapText="1"/>
    </xf>
    <xf numFmtId="0" fontId="42" fillId="0" borderId="9" xfId="3" applyFont="1" applyBorder="1"/>
    <xf numFmtId="43" fontId="66" fillId="0" borderId="9" xfId="3" applyNumberFormat="1" applyFont="1" applyBorder="1"/>
    <xf numFmtId="0" fontId="42" fillId="11" borderId="9" xfId="3" applyFont="1" applyFill="1" applyBorder="1" applyAlignment="1">
      <alignment horizontal="center"/>
    </xf>
    <xf numFmtId="0" fontId="14" fillId="11" borderId="9" xfId="3" applyFill="1" applyBorder="1"/>
    <xf numFmtId="43" fontId="42" fillId="11" borderId="9" xfId="3" applyNumberFormat="1" applyFont="1" applyFill="1" applyBorder="1"/>
    <xf numFmtId="43" fontId="66" fillId="11" borderId="9" xfId="3" applyNumberFormat="1" applyFont="1" applyFill="1" applyBorder="1"/>
    <xf numFmtId="43" fontId="42" fillId="12" borderId="9" xfId="3" applyNumberFormat="1" applyFont="1" applyFill="1" applyBorder="1"/>
    <xf numFmtId="0" fontId="42" fillId="12" borderId="9" xfId="3" applyFont="1" applyFill="1" applyBorder="1"/>
    <xf numFmtId="0" fontId="14" fillId="12" borderId="9" xfId="3" applyFill="1" applyBorder="1"/>
    <xf numFmtId="43" fontId="66" fillId="12" borderId="9" xfId="3" applyNumberFormat="1" applyFont="1" applyFill="1" applyBorder="1"/>
    <xf numFmtId="0" fontId="59" fillId="0" borderId="9" xfId="3" applyFont="1" applyBorder="1" applyAlignment="1">
      <alignment horizontal="center" vertical="center"/>
    </xf>
    <xf numFmtId="44" fontId="59" fillId="0" borderId="9" xfId="6" applyFont="1" applyBorder="1" applyAlignment="1">
      <alignment horizontal="center" vertical="center"/>
    </xf>
    <xf numFmtId="0" fontId="69" fillId="12" borderId="0" xfId="3" applyFont="1" applyFill="1"/>
    <xf numFmtId="43" fontId="56" fillId="12" borderId="0" xfId="4" applyFont="1" applyFill="1" applyBorder="1" applyAlignment="1">
      <alignment horizontal="right"/>
    </xf>
    <xf numFmtId="43" fontId="16" fillId="4" borderId="0" xfId="0" applyNumberFormat="1" applyFont="1" applyFill="1" applyAlignment="1">
      <alignment horizontal="center" vertical="center" wrapText="1"/>
    </xf>
    <xf numFmtId="164" fontId="33" fillId="4" borderId="9" xfId="1" applyFont="1" applyFill="1" applyBorder="1" applyAlignment="1">
      <alignment horizontal="center" vertical="center" wrapText="1"/>
    </xf>
    <xf numFmtId="164" fontId="64" fillId="4" borderId="0" xfId="1" applyFont="1" applyFill="1" applyBorder="1" applyAlignment="1">
      <alignment horizontal="center" vertical="center" wrapText="1"/>
    </xf>
    <xf numFmtId="0" fontId="31" fillId="4" borderId="0" xfId="0" applyFont="1" applyFill="1" applyAlignment="1">
      <alignment horizontal="left" vertical="top"/>
    </xf>
    <xf numFmtId="0" fontId="31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left" vertical="top"/>
    </xf>
    <xf numFmtId="0" fontId="29" fillId="4" borderId="0" xfId="0" applyFont="1" applyFill="1" applyAlignment="1">
      <alignment horizontal="center" vertical="center"/>
    </xf>
    <xf numFmtId="164" fontId="31" fillId="4" borderId="0" xfId="1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wrapText="1"/>
    </xf>
    <xf numFmtId="164" fontId="16" fillId="4" borderId="0" xfId="1" applyFont="1" applyFill="1" applyBorder="1" applyAlignment="1">
      <alignment horizontal="center" shrinkToFit="1"/>
    </xf>
    <xf numFmtId="164" fontId="18" fillId="4" borderId="0" xfId="1" applyFont="1" applyFill="1" applyBorder="1" applyAlignment="1">
      <alignment horizontal="center" vertical="center" shrinkToFit="1"/>
    </xf>
    <xf numFmtId="164" fontId="17" fillId="4" borderId="0" xfId="1" applyFont="1" applyFill="1" applyBorder="1" applyAlignment="1">
      <alignment horizontal="center" vertical="center" shrinkToFit="1"/>
    </xf>
    <xf numFmtId="164" fontId="16" fillId="4" borderId="0" xfId="1" applyFont="1" applyFill="1" applyBorder="1" applyAlignment="1">
      <alignment horizontal="center" vertical="center"/>
    </xf>
    <xf numFmtId="164" fontId="16" fillId="4" borderId="0" xfId="1" applyFont="1" applyFill="1" applyBorder="1" applyAlignment="1">
      <alignment horizontal="center"/>
    </xf>
    <xf numFmtId="164" fontId="16" fillId="4" borderId="0" xfId="1" applyFont="1" applyFill="1" applyBorder="1" applyAlignment="1">
      <alignment horizontal="center" wrapText="1"/>
    </xf>
    <xf numFmtId="164" fontId="26" fillId="4" borderId="0" xfId="1" applyFont="1" applyFill="1" applyBorder="1" applyAlignment="1">
      <alignment horizontal="center" vertical="center" wrapText="1"/>
    </xf>
    <xf numFmtId="164" fontId="18" fillId="4" borderId="0" xfId="1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/>
    </xf>
    <xf numFmtId="0" fontId="21" fillId="4" borderId="0" xfId="0" applyFont="1" applyFill="1" applyAlignment="1">
      <alignment horizontal="center" wrapText="1"/>
    </xf>
    <xf numFmtId="164" fontId="21" fillId="4" borderId="0" xfId="1" applyFont="1" applyFill="1" applyBorder="1" applyAlignment="1">
      <alignment horizontal="center" wrapText="1"/>
    </xf>
    <xf numFmtId="0" fontId="17" fillId="4" borderId="0" xfId="0" applyFont="1" applyFill="1" applyAlignment="1">
      <alignment horizontal="center" wrapText="1"/>
    </xf>
    <xf numFmtId="164" fontId="17" fillId="4" borderId="0" xfId="1" applyFont="1" applyFill="1" applyBorder="1" applyAlignment="1">
      <alignment horizontal="center" wrapText="1"/>
    </xf>
    <xf numFmtId="164" fontId="16" fillId="4" borderId="0" xfId="1" applyFont="1" applyFill="1" applyBorder="1" applyAlignment="1">
      <alignment horizontal="center" vertical="center" shrinkToFit="1"/>
    </xf>
    <xf numFmtId="0" fontId="16" fillId="4" borderId="0" xfId="0" applyFont="1" applyFill="1" applyAlignment="1">
      <alignment horizontal="left" vertical="center"/>
    </xf>
    <xf numFmtId="0" fontId="29" fillId="4" borderId="0" xfId="0" applyFont="1" applyFill="1" applyAlignment="1">
      <alignment horizontal="center" vertical="center" wrapText="1"/>
    </xf>
    <xf numFmtId="164" fontId="36" fillId="4" borderId="0" xfId="1" applyFont="1" applyFill="1" applyBorder="1" applyAlignment="1">
      <alignment horizontal="center" vertical="center" wrapText="1"/>
    </xf>
    <xf numFmtId="164" fontId="15" fillId="4" borderId="0" xfId="1" applyFont="1" applyFill="1" applyBorder="1" applyAlignment="1">
      <alignment horizontal="center" vertical="center" wrapText="1"/>
    </xf>
    <xf numFmtId="164" fontId="27" fillId="4" borderId="0" xfId="1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wrapText="1"/>
    </xf>
    <xf numFmtId="164" fontId="18" fillId="4" borderId="0" xfId="1" applyFont="1" applyFill="1" applyBorder="1" applyAlignment="1">
      <alignment horizontal="center" wrapText="1"/>
    </xf>
    <xf numFmtId="0" fontId="32" fillId="4" borderId="0" xfId="2" applyFont="1" applyFill="1" applyBorder="1" applyAlignment="1">
      <alignment horizontal="center" vertical="center"/>
    </xf>
    <xf numFmtId="164" fontId="33" fillId="4" borderId="0" xfId="1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left" vertical="top" wrapText="1"/>
    </xf>
    <xf numFmtId="164" fontId="24" fillId="4" borderId="0" xfId="1" applyFont="1" applyFill="1" applyBorder="1" applyAlignment="1">
      <alignment horizontal="center" vertical="center" wrapText="1"/>
    </xf>
    <xf numFmtId="164" fontId="25" fillId="4" borderId="0" xfId="1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wrapText="1"/>
    </xf>
    <xf numFmtId="164" fontId="25" fillId="4" borderId="0" xfId="1" applyFont="1" applyFill="1" applyBorder="1" applyAlignment="1">
      <alignment horizontal="center"/>
    </xf>
    <xf numFmtId="164" fontId="25" fillId="4" borderId="0" xfId="1" applyFont="1" applyFill="1" applyBorder="1" applyAlignment="1">
      <alignment horizontal="center" vertical="center" shrinkToFit="1"/>
    </xf>
    <xf numFmtId="164" fontId="25" fillId="4" borderId="0" xfId="1" applyFont="1" applyFill="1" applyBorder="1" applyAlignment="1">
      <alignment horizontal="center" shrinkToFit="1"/>
    </xf>
    <xf numFmtId="0" fontId="30" fillId="4" borderId="0" xfId="0" applyFont="1" applyFill="1" applyAlignment="1">
      <alignment horizontal="center" vertical="center" wrapText="1"/>
    </xf>
    <xf numFmtId="164" fontId="30" fillId="4" borderId="0" xfId="1" applyFont="1" applyFill="1" applyBorder="1" applyAlignment="1">
      <alignment horizontal="center" vertical="center" wrapText="1"/>
    </xf>
    <xf numFmtId="0" fontId="37" fillId="4" borderId="0" xfId="0" applyFont="1" applyFill="1" applyAlignment="1">
      <alignment horizontal="center" vertical="center" wrapText="1"/>
    </xf>
    <xf numFmtId="0" fontId="37" fillId="4" borderId="0" xfId="0" applyFont="1" applyFill="1" applyAlignment="1">
      <alignment horizontal="left" vertical="top" wrapText="1"/>
    </xf>
    <xf numFmtId="0" fontId="38" fillId="4" borderId="0" xfId="0" applyFont="1" applyFill="1" applyAlignment="1">
      <alignment horizontal="center" vertical="center"/>
    </xf>
    <xf numFmtId="164" fontId="37" fillId="4" borderId="0" xfId="1" applyFont="1" applyFill="1" applyBorder="1" applyAlignment="1">
      <alignment horizontal="center" vertical="center" wrapText="1"/>
    </xf>
    <xf numFmtId="0" fontId="39" fillId="4" borderId="0" xfId="0" applyFont="1" applyFill="1" applyAlignment="1">
      <alignment horizontal="center" vertical="center"/>
    </xf>
    <xf numFmtId="164" fontId="40" fillId="4" borderId="0" xfId="0" applyNumberFormat="1" applyFont="1" applyFill="1" applyAlignment="1">
      <alignment horizontal="center" vertical="center" wrapText="1"/>
    </xf>
    <xf numFmtId="164" fontId="31" fillId="4" borderId="9" xfId="1" applyFont="1" applyFill="1" applyBorder="1" applyAlignment="1">
      <alignment horizontal="center" vertical="top"/>
    </xf>
    <xf numFmtId="164" fontId="31" fillId="4" borderId="9" xfId="1" applyFont="1" applyFill="1" applyBorder="1" applyAlignment="1">
      <alignment horizontal="center" vertical="center"/>
    </xf>
    <xf numFmtId="164" fontId="18" fillId="4" borderId="9" xfId="1" applyFont="1" applyFill="1" applyBorder="1" applyAlignment="1">
      <alignment horizontal="left" vertical="center"/>
    </xf>
    <xf numFmtId="164" fontId="42" fillId="4" borderId="9" xfId="1" applyFont="1" applyFill="1" applyBorder="1" applyAlignment="1">
      <alignment horizontal="left" vertical="center"/>
    </xf>
    <xf numFmtId="164" fontId="16" fillId="4" borderId="9" xfId="1" applyFont="1" applyFill="1" applyBorder="1" applyAlignment="1">
      <alignment horizontal="left" vertical="top" wrapText="1"/>
    </xf>
    <xf numFmtId="164" fontId="10" fillId="4" borderId="9" xfId="1" applyFont="1" applyFill="1" applyBorder="1" applyAlignment="1">
      <alignment horizontal="left" vertical="center"/>
    </xf>
    <xf numFmtId="164" fontId="70" fillId="4" borderId="9" xfId="1" applyFont="1" applyFill="1" applyBorder="1" applyAlignment="1">
      <alignment horizontal="center" vertical="center" wrapText="1"/>
    </xf>
    <xf numFmtId="0" fontId="71" fillId="0" borderId="9" xfId="3" applyFont="1" applyBorder="1"/>
    <xf numFmtId="164" fontId="42" fillId="4" borderId="9" xfId="1" applyFont="1" applyFill="1" applyBorder="1" applyAlignment="1">
      <alignment horizontal="left" vertical="center" wrapText="1"/>
    </xf>
    <xf numFmtId="164" fontId="10" fillId="4" borderId="9" xfId="1" applyFont="1" applyFill="1" applyBorder="1" applyAlignment="1">
      <alignment horizontal="left" vertical="center" wrapText="1"/>
    </xf>
    <xf numFmtId="164" fontId="72" fillId="4" borderId="9" xfId="1" applyFont="1" applyFill="1" applyBorder="1" applyAlignment="1">
      <alignment horizontal="center" vertical="center" wrapText="1"/>
    </xf>
    <xf numFmtId="164" fontId="18" fillId="13" borderId="9" xfId="1" applyFont="1" applyFill="1" applyBorder="1" applyAlignment="1">
      <alignment horizontal="center" vertical="center" wrapText="1"/>
    </xf>
    <xf numFmtId="164" fontId="31" fillId="12" borderId="9" xfId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164" fontId="31" fillId="4" borderId="23" xfId="1" applyFont="1" applyFill="1" applyBorder="1" applyAlignment="1">
      <alignment horizontal="left" vertical="top"/>
    </xf>
    <xf numFmtId="43" fontId="42" fillId="0" borderId="9" xfId="3" applyNumberFormat="1" applyFont="1" applyBorder="1" applyAlignment="1">
      <alignment wrapText="1"/>
    </xf>
    <xf numFmtId="164" fontId="73" fillId="4" borderId="9" xfId="1" applyFont="1" applyFill="1" applyBorder="1" applyAlignment="1">
      <alignment horizontal="center" vertical="center" wrapText="1"/>
    </xf>
    <xf numFmtId="164" fontId="36" fillId="4" borderId="9" xfId="0" applyNumberFormat="1" applyFont="1" applyFill="1" applyBorder="1" applyAlignment="1">
      <alignment horizontal="center" vertical="center" wrapText="1"/>
    </xf>
    <xf numFmtId="0" fontId="29" fillId="4" borderId="9" xfId="0" applyFont="1" applyFill="1" applyBorder="1" applyAlignment="1">
      <alignment horizontal="left" vertical="top" wrapText="1"/>
    </xf>
    <xf numFmtId="164" fontId="31" fillId="14" borderId="23" xfId="1" applyFont="1" applyFill="1" applyBorder="1" applyAlignment="1">
      <alignment horizontal="center" vertical="center" wrapText="1"/>
    </xf>
    <xf numFmtId="0" fontId="16" fillId="14" borderId="9" xfId="0" applyFont="1" applyFill="1" applyBorder="1" applyAlignment="1">
      <alignment horizontal="center" vertical="center" wrapText="1"/>
    </xf>
    <xf numFmtId="43" fontId="36" fillId="14" borderId="9" xfId="0" applyNumberFormat="1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left" vertical="top" wrapText="1"/>
    </xf>
    <xf numFmtId="0" fontId="18" fillId="4" borderId="15" xfId="0" applyFont="1" applyFill="1" applyBorder="1" applyAlignment="1">
      <alignment horizontal="center" vertical="center" wrapText="1"/>
    </xf>
    <xf numFmtId="0" fontId="37" fillId="15" borderId="21" xfId="0" applyFont="1" applyFill="1" applyBorder="1" applyAlignment="1">
      <alignment horizontal="center" vertical="center" wrapText="1"/>
    </xf>
    <xf numFmtId="0" fontId="38" fillId="15" borderId="21" xfId="0" applyFont="1" applyFill="1" applyBorder="1" applyAlignment="1">
      <alignment horizontal="center" vertical="center"/>
    </xf>
    <xf numFmtId="0" fontId="39" fillId="15" borderId="21" xfId="0" applyFont="1" applyFill="1" applyBorder="1" applyAlignment="1">
      <alignment horizontal="center" vertical="center"/>
    </xf>
    <xf numFmtId="164" fontId="37" fillId="15" borderId="21" xfId="1" applyFont="1" applyFill="1" applyBorder="1" applyAlignment="1">
      <alignment horizontal="center" vertical="center" wrapText="1"/>
    </xf>
    <xf numFmtId="164" fontId="74" fillId="15" borderId="14" xfId="0" applyNumberFormat="1" applyFont="1" applyFill="1" applyBorder="1" applyAlignment="1">
      <alignment horizontal="center" vertical="center" wrapText="1"/>
    </xf>
    <xf numFmtId="164" fontId="37" fillId="15" borderId="22" xfId="1" applyFont="1" applyFill="1" applyBorder="1" applyAlignment="1">
      <alignment horizontal="center" vertical="center" wrapText="1"/>
    </xf>
    <xf numFmtId="0" fontId="9" fillId="0" borderId="0" xfId="7"/>
    <xf numFmtId="43" fontId="0" fillId="0" borderId="0" xfId="8" applyFont="1"/>
    <xf numFmtId="0" fontId="9" fillId="0" borderId="9" xfId="7" applyBorder="1"/>
    <xf numFmtId="43" fontId="0" fillId="0" borderId="9" xfId="8" applyFont="1" applyBorder="1"/>
    <xf numFmtId="0" fontId="42" fillId="0" borderId="0" xfId="7" applyFont="1"/>
    <xf numFmtId="4" fontId="9" fillId="0" borderId="9" xfId="7" applyNumberFormat="1" applyBorder="1"/>
    <xf numFmtId="0" fontId="42" fillId="0" borderId="9" xfId="7" applyFont="1" applyBorder="1" applyAlignment="1">
      <alignment horizontal="center" vertical="center" wrapText="1"/>
    </xf>
    <xf numFmtId="0" fontId="42" fillId="0" borderId="9" xfId="7" applyFont="1" applyBorder="1" applyAlignment="1">
      <alignment horizontal="center" vertical="center"/>
    </xf>
    <xf numFmtId="43" fontId="42" fillId="0" borderId="9" xfId="8" applyFont="1" applyBorder="1" applyAlignment="1">
      <alignment horizontal="center" vertical="center"/>
    </xf>
    <xf numFmtId="169" fontId="9" fillId="0" borderId="9" xfId="7" applyNumberFormat="1" applyBorder="1"/>
    <xf numFmtId="0" fontId="9" fillId="0" borderId="10" xfId="7" applyBorder="1"/>
    <xf numFmtId="0" fontId="9" fillId="0" borderId="11" xfId="7" applyBorder="1"/>
    <xf numFmtId="43" fontId="66" fillId="0" borderId="11" xfId="7" applyNumberFormat="1" applyFont="1" applyBorder="1"/>
    <xf numFmtId="0" fontId="9" fillId="0" borderId="12" xfId="7" applyBorder="1"/>
    <xf numFmtId="43" fontId="66" fillId="0" borderId="11" xfId="8" applyFont="1" applyBorder="1"/>
    <xf numFmtId="0" fontId="42" fillId="0" borderId="9" xfId="7" applyFont="1" applyBorder="1"/>
    <xf numFmtId="0" fontId="42" fillId="0" borderId="9" xfId="7" applyFont="1" applyBorder="1" applyAlignment="1">
      <alignment horizontal="right"/>
    </xf>
    <xf numFmtId="4" fontId="42" fillId="0" borderId="9" xfId="7" applyNumberFormat="1" applyFont="1" applyBorder="1"/>
    <xf numFmtId="43" fontId="42" fillId="0" borderId="9" xfId="8" applyFont="1" applyBorder="1"/>
    <xf numFmtId="43" fontId="0" fillId="17" borderId="9" xfId="8" applyFont="1" applyFill="1" applyBorder="1"/>
    <xf numFmtId="0" fontId="9" fillId="4" borderId="0" xfId="7" applyFill="1"/>
    <xf numFmtId="0" fontId="9" fillId="18" borderId="0" xfId="7" applyFill="1"/>
    <xf numFmtId="164" fontId="31" fillId="3" borderId="16" xfId="1" applyFont="1" applyFill="1" applyBorder="1" applyAlignment="1">
      <alignment horizontal="center" vertical="center"/>
    </xf>
    <xf numFmtId="164" fontId="18" fillId="3" borderId="16" xfId="1" applyFont="1" applyFill="1" applyBorder="1" applyAlignment="1">
      <alignment horizontal="center" vertical="center" wrapText="1"/>
    </xf>
    <xf numFmtId="164" fontId="33" fillId="3" borderId="16" xfId="1" applyFont="1" applyFill="1" applyBorder="1" applyAlignment="1">
      <alignment horizontal="center" vertical="center" wrapText="1"/>
    </xf>
    <xf numFmtId="0" fontId="18" fillId="14" borderId="23" xfId="0" applyFont="1" applyFill="1" applyBorder="1" applyAlignment="1">
      <alignment horizontal="center" vertical="center" wrapText="1"/>
    </xf>
    <xf numFmtId="164" fontId="31" fillId="4" borderId="23" xfId="1" applyFont="1" applyFill="1" applyBorder="1" applyAlignment="1">
      <alignment horizontal="center" vertical="center" wrapText="1"/>
    </xf>
    <xf numFmtId="164" fontId="31" fillId="4" borderId="23" xfId="1" applyFont="1" applyFill="1" applyBorder="1" applyAlignment="1">
      <alignment horizontal="center" vertical="center"/>
    </xf>
    <xf numFmtId="164" fontId="18" fillId="4" borderId="23" xfId="1" applyFont="1" applyFill="1" applyBorder="1" applyAlignment="1">
      <alignment horizontal="center" vertical="center" wrapText="1"/>
    </xf>
    <xf numFmtId="164" fontId="75" fillId="4" borderId="9" xfId="1" applyFont="1" applyFill="1" applyBorder="1" applyAlignment="1">
      <alignment horizontal="center" vertical="center" wrapText="1"/>
    </xf>
    <xf numFmtId="164" fontId="42" fillId="0" borderId="9" xfId="1" applyFont="1" applyBorder="1" applyAlignment="1"/>
    <xf numFmtId="0" fontId="42" fillId="0" borderId="9" xfId="0" applyFont="1" applyBorder="1" applyAlignment="1">
      <alignment horizontal="center" vertical="center" wrapText="1"/>
    </xf>
    <xf numFmtId="0" fontId="42" fillId="0" borderId="9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76" fillId="0" borderId="9" xfId="0" applyFont="1" applyBorder="1" applyAlignment="1">
      <alignment horizontal="center" vertical="center" wrapText="1"/>
    </xf>
    <xf numFmtId="0" fontId="9" fillId="0" borderId="0" xfId="0" applyFont="1"/>
    <xf numFmtId="4" fontId="59" fillId="17" borderId="9" xfId="0" applyNumberFormat="1" applyFont="1" applyFill="1" applyBorder="1" applyAlignment="1">
      <alignment vertical="center" wrapText="1"/>
    </xf>
    <xf numFmtId="4" fontId="77" fillId="4" borderId="9" xfId="0" applyNumberFormat="1" applyFont="1" applyFill="1" applyBorder="1" applyAlignment="1">
      <alignment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left" vertical="top" wrapText="1"/>
    </xf>
    <xf numFmtId="0" fontId="16" fillId="3" borderId="9" xfId="0" applyFont="1" applyFill="1" applyBorder="1" applyAlignment="1">
      <alignment horizontal="center" wrapText="1"/>
    </xf>
    <xf numFmtId="164" fontId="16" fillId="3" borderId="9" xfId="1" applyFont="1" applyFill="1" applyBorder="1" applyAlignment="1">
      <alignment horizontal="center" shrinkToFit="1"/>
    </xf>
    <xf numFmtId="0" fontId="18" fillId="3" borderId="9" xfId="0" applyFont="1" applyFill="1" applyBorder="1" applyAlignment="1">
      <alignment horizontal="left" vertical="top" wrapText="1"/>
    </xf>
    <xf numFmtId="0" fontId="18" fillId="3" borderId="9" xfId="0" applyFont="1" applyFill="1" applyBorder="1" applyAlignment="1">
      <alignment horizontal="center" vertical="center" wrapText="1"/>
    </xf>
    <xf numFmtId="164" fontId="18" fillId="3" borderId="9" xfId="1" applyFont="1" applyFill="1" applyBorder="1" applyAlignment="1">
      <alignment horizontal="center" vertical="center" shrinkToFit="1"/>
    </xf>
    <xf numFmtId="164" fontId="17" fillId="3" borderId="9" xfId="1" applyFont="1" applyFill="1" applyBorder="1" applyAlignment="1">
      <alignment horizontal="center" vertical="center" shrinkToFit="1"/>
    </xf>
    <xf numFmtId="164" fontId="16" fillId="3" borderId="9" xfId="1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/>
    </xf>
    <xf numFmtId="164" fontId="16" fillId="3" borderId="9" xfId="1" applyFont="1" applyFill="1" applyBorder="1" applyAlignment="1">
      <alignment horizontal="center"/>
    </xf>
    <xf numFmtId="164" fontId="16" fillId="3" borderId="9" xfId="1" applyFont="1" applyFill="1" applyBorder="1" applyAlignment="1">
      <alignment horizontal="center" wrapText="1"/>
    </xf>
    <xf numFmtId="43" fontId="16" fillId="3" borderId="9" xfId="0" applyNumberFormat="1" applyFont="1" applyFill="1" applyBorder="1" applyAlignment="1">
      <alignment horizontal="center" vertical="center" wrapText="1"/>
    </xf>
    <xf numFmtId="164" fontId="18" fillId="3" borderId="9" xfId="1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/>
    </xf>
    <xf numFmtId="0" fontId="21" fillId="3" borderId="9" xfId="0" applyFont="1" applyFill="1" applyBorder="1" applyAlignment="1">
      <alignment horizontal="center" wrapText="1"/>
    </xf>
    <xf numFmtId="0" fontId="17" fillId="3" borderId="9" xfId="0" applyFont="1" applyFill="1" applyBorder="1" applyAlignment="1">
      <alignment horizontal="center" wrapText="1"/>
    </xf>
    <xf numFmtId="164" fontId="17" fillId="3" borderId="9" xfId="1" applyFont="1" applyFill="1" applyBorder="1" applyAlignment="1">
      <alignment horizontal="center" wrapText="1"/>
    </xf>
    <xf numFmtId="164" fontId="16" fillId="3" borderId="9" xfId="1" applyFont="1" applyFill="1" applyBorder="1" applyAlignment="1">
      <alignment horizontal="center" vertical="center" shrinkToFit="1"/>
    </xf>
    <xf numFmtId="164" fontId="64" fillId="3" borderId="0" xfId="1" applyFont="1" applyFill="1" applyAlignment="1">
      <alignment horizontal="center" vertical="center" wrapText="1"/>
    </xf>
    <xf numFmtId="0" fontId="41" fillId="0" borderId="9" xfId="0" applyFont="1" applyBorder="1" applyAlignment="1">
      <alignment horizontal="center" vertical="center" wrapText="1"/>
    </xf>
    <xf numFmtId="0" fontId="18" fillId="19" borderId="9" xfId="0" applyFont="1" applyFill="1" applyBorder="1" applyAlignment="1">
      <alignment horizontal="center" vertical="center" wrapText="1"/>
    </xf>
    <xf numFmtId="0" fontId="18" fillId="19" borderId="9" xfId="0" applyFont="1" applyFill="1" applyBorder="1" applyAlignment="1">
      <alignment horizontal="left" wrapText="1"/>
    </xf>
    <xf numFmtId="164" fontId="18" fillId="19" borderId="9" xfId="1" applyFont="1" applyFill="1" applyBorder="1" applyAlignment="1">
      <alignment horizontal="center" vertical="center" wrapText="1"/>
    </xf>
    <xf numFmtId="0" fontId="18" fillId="19" borderId="9" xfId="0" applyFont="1" applyFill="1" applyBorder="1" applyAlignment="1">
      <alignment horizontal="left" vertical="top" wrapText="1"/>
    </xf>
    <xf numFmtId="0" fontId="18" fillId="19" borderId="9" xfId="0" applyFont="1" applyFill="1" applyBorder="1" applyAlignment="1">
      <alignment horizontal="center" vertical="center"/>
    </xf>
    <xf numFmtId="164" fontId="18" fillId="19" borderId="9" xfId="1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/>
    </xf>
    <xf numFmtId="0" fontId="18" fillId="19" borderId="9" xfId="0" applyFont="1" applyFill="1" applyBorder="1" applyAlignment="1">
      <alignment horizontal="center" wrapText="1"/>
    </xf>
    <xf numFmtId="164" fontId="18" fillId="19" borderId="9" xfId="1" applyFont="1" applyFill="1" applyBorder="1" applyAlignment="1">
      <alignment horizontal="center" wrapText="1"/>
    </xf>
    <xf numFmtId="164" fontId="15" fillId="19" borderId="9" xfId="1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left" vertical="top" wrapText="1"/>
    </xf>
    <xf numFmtId="164" fontId="16" fillId="5" borderId="9" xfId="1" applyFont="1" applyFill="1" applyBorder="1" applyAlignment="1">
      <alignment horizontal="center" vertical="center" wrapText="1"/>
    </xf>
    <xf numFmtId="164" fontId="16" fillId="5" borderId="9" xfId="1" applyFont="1" applyFill="1" applyBorder="1" applyAlignment="1">
      <alignment horizontal="center" wrapText="1"/>
    </xf>
    <xf numFmtId="0" fontId="9" fillId="5" borderId="9" xfId="0" applyFont="1" applyFill="1" applyBorder="1" applyAlignment="1">
      <alignment horizontal="center" vertical="center" wrapText="1"/>
    </xf>
    <xf numFmtId="0" fontId="16" fillId="20" borderId="9" xfId="0" applyFont="1" applyFill="1" applyBorder="1" applyAlignment="1">
      <alignment horizontal="center" vertical="center" wrapText="1"/>
    </xf>
    <xf numFmtId="0" fontId="16" fillId="20" borderId="9" xfId="0" applyFont="1" applyFill="1" applyBorder="1" applyAlignment="1">
      <alignment horizontal="left" vertical="top" wrapText="1"/>
    </xf>
    <xf numFmtId="164" fontId="16" fillId="20" borderId="9" xfId="1" applyFont="1" applyFill="1" applyBorder="1" applyAlignment="1">
      <alignment horizontal="center" vertical="center" wrapText="1"/>
    </xf>
    <xf numFmtId="0" fontId="16" fillId="20" borderId="9" xfId="0" applyFont="1" applyFill="1" applyBorder="1" applyAlignment="1">
      <alignment horizontal="center" wrapText="1"/>
    </xf>
    <xf numFmtId="164" fontId="16" fillId="20" borderId="9" xfId="1" applyFont="1" applyFill="1" applyBorder="1" applyAlignment="1">
      <alignment horizontal="center"/>
    </xf>
    <xf numFmtId="164" fontId="16" fillId="20" borderId="9" xfId="1" applyFont="1" applyFill="1" applyBorder="1" applyAlignment="1">
      <alignment horizontal="center" vertical="center" shrinkToFit="1"/>
    </xf>
    <xf numFmtId="164" fontId="16" fillId="20" borderId="9" xfId="1" applyFont="1" applyFill="1" applyBorder="1" applyAlignment="1">
      <alignment horizontal="center" vertical="center"/>
    </xf>
    <xf numFmtId="0" fontId="16" fillId="20" borderId="9" xfId="0" applyFont="1" applyFill="1" applyBorder="1" applyAlignment="1">
      <alignment horizontal="center"/>
    </xf>
    <xf numFmtId="164" fontId="16" fillId="20" borderId="9" xfId="1" applyFont="1" applyFill="1" applyBorder="1" applyAlignment="1">
      <alignment horizontal="center" shrinkToFit="1"/>
    </xf>
    <xf numFmtId="0" fontId="29" fillId="20" borderId="9" xfId="0" applyFont="1" applyFill="1" applyBorder="1" applyAlignment="1">
      <alignment horizontal="center" vertical="center" wrapText="1"/>
    </xf>
    <xf numFmtId="0" fontId="9" fillId="20" borderId="9" xfId="0" applyFont="1" applyFill="1" applyBorder="1" applyAlignment="1">
      <alignment horizontal="center" vertical="center" wrapText="1"/>
    </xf>
    <xf numFmtId="4" fontId="71" fillId="0" borderId="9" xfId="0" applyNumberFormat="1" applyFont="1" applyBorder="1" applyAlignment="1">
      <alignment vertical="center" wrapText="1"/>
    </xf>
    <xf numFmtId="164" fontId="18" fillId="4" borderId="19" xfId="1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164" fontId="28" fillId="0" borderId="12" xfId="1" applyFont="1" applyBorder="1" applyAlignment="1">
      <alignment vertical="center" wrapText="1"/>
    </xf>
    <xf numFmtId="164" fontId="51" fillId="0" borderId="10" xfId="1" applyFont="1" applyBorder="1" applyAlignment="1">
      <alignment vertical="center" wrapText="1"/>
    </xf>
    <xf numFmtId="0" fontId="79" fillId="0" borderId="9" xfId="0" applyFont="1" applyBorder="1" applyAlignment="1">
      <alignment vertical="center" wrapText="1"/>
    </xf>
    <xf numFmtId="0" fontId="81" fillId="0" borderId="9" xfId="0" applyFont="1" applyBorder="1" applyAlignment="1">
      <alignment horizontal="center" vertical="center" wrapText="1"/>
    </xf>
    <xf numFmtId="0" fontId="31" fillId="4" borderId="18" xfId="0" applyFont="1" applyFill="1" applyBorder="1" applyAlignment="1">
      <alignment horizontal="left" vertical="top"/>
    </xf>
    <xf numFmtId="0" fontId="18" fillId="4" borderId="18" xfId="0" applyFont="1" applyFill="1" applyBorder="1" applyAlignment="1">
      <alignment horizontal="left" vertical="center"/>
    </xf>
    <xf numFmtId="0" fontId="9" fillId="4" borderId="18" xfId="0" applyFont="1" applyFill="1" applyBorder="1" applyAlignment="1">
      <alignment horizontal="left" vertical="center"/>
    </xf>
    <xf numFmtId="0" fontId="18" fillId="4" borderId="20" xfId="0" applyFont="1" applyFill="1" applyBorder="1" applyAlignment="1">
      <alignment horizontal="left" vertical="center"/>
    </xf>
    <xf numFmtId="0" fontId="18" fillId="4" borderId="21" xfId="0" applyFont="1" applyFill="1" applyBorder="1" applyAlignment="1">
      <alignment horizontal="center" vertical="center" wrapText="1"/>
    </xf>
    <xf numFmtId="164" fontId="18" fillId="4" borderId="21" xfId="1" applyFont="1" applyFill="1" applyBorder="1" applyAlignment="1">
      <alignment horizontal="center" vertical="center" wrapText="1"/>
    </xf>
    <xf numFmtId="164" fontId="0" fillId="4" borderId="0" xfId="1" applyFont="1" applyFill="1" applyAlignment="1"/>
    <xf numFmtId="164" fontId="42" fillId="0" borderId="0" xfId="1" applyFont="1" applyAlignment="1"/>
    <xf numFmtId="0" fontId="0" fillId="0" borderId="9" xfId="0" applyBorder="1"/>
    <xf numFmtId="164" fontId="0" fillId="0" borderId="9" xfId="1" applyFont="1" applyBorder="1" applyAlignment="1"/>
    <xf numFmtId="164" fontId="0" fillId="4" borderId="9" xfId="1" applyFont="1" applyFill="1" applyBorder="1" applyAlignment="1"/>
    <xf numFmtId="43" fontId="8" fillId="0" borderId="9" xfId="3" applyNumberFormat="1" applyFont="1" applyBorder="1" applyAlignment="1">
      <alignment wrapText="1"/>
    </xf>
    <xf numFmtId="164" fontId="14" fillId="0" borderId="9" xfId="3" applyNumberFormat="1" applyBorder="1"/>
    <xf numFmtId="164" fontId="63" fillId="0" borderId="9" xfId="3" applyNumberFormat="1" applyFont="1" applyBorder="1"/>
    <xf numFmtId="43" fontId="8" fillId="16" borderId="9" xfId="3" applyNumberFormat="1" applyFont="1" applyFill="1" applyBorder="1"/>
    <xf numFmtId="0" fontId="0" fillId="16" borderId="0" xfId="0" applyFill="1"/>
    <xf numFmtId="43" fontId="66" fillId="16" borderId="9" xfId="3" applyNumberFormat="1" applyFont="1" applyFill="1" applyBorder="1"/>
    <xf numFmtId="0" fontId="14" fillId="16" borderId="9" xfId="3" applyFill="1" applyBorder="1"/>
    <xf numFmtId="43" fontId="84" fillId="0" borderId="9" xfId="3" applyNumberFormat="1" applyFont="1" applyBorder="1"/>
    <xf numFmtId="0" fontId="10" fillId="0" borderId="0" xfId="3" applyFont="1"/>
    <xf numFmtId="43" fontId="10" fillId="0" borderId="0" xfId="3" applyNumberFormat="1" applyFont="1"/>
    <xf numFmtId="43" fontId="63" fillId="0" borderId="0" xfId="3" applyNumberFormat="1" applyFont="1"/>
    <xf numFmtId="0" fontId="42" fillId="0" borderId="0" xfId="3" applyFont="1" applyAlignment="1">
      <alignment horizontal="center" vertical="center"/>
    </xf>
    <xf numFmtId="43" fontId="66" fillId="0" borderId="0" xfId="3" applyNumberFormat="1" applyFont="1"/>
    <xf numFmtId="0" fontId="10" fillId="0" borderId="0" xfId="3" applyFont="1" applyAlignment="1">
      <alignment wrapText="1"/>
    </xf>
    <xf numFmtId="0" fontId="71" fillId="0" borderId="0" xfId="3" applyFont="1"/>
    <xf numFmtId="43" fontId="42" fillId="12" borderId="0" xfId="3" applyNumberFormat="1" applyFont="1" applyFill="1"/>
    <xf numFmtId="0" fontId="42" fillId="12" borderId="0" xfId="3" applyFont="1" applyFill="1"/>
    <xf numFmtId="0" fontId="14" fillId="12" borderId="0" xfId="3" applyFill="1"/>
    <xf numFmtId="43" fontId="66" fillId="12" borderId="0" xfId="3" applyNumberFormat="1" applyFont="1" applyFill="1"/>
    <xf numFmtId="0" fontId="42" fillId="4" borderId="0" xfId="3" applyFont="1" applyFill="1" applyAlignment="1">
      <alignment horizontal="center"/>
    </xf>
    <xf numFmtId="43" fontId="66" fillId="4" borderId="0" xfId="3" applyNumberFormat="1" applyFont="1" applyFill="1"/>
    <xf numFmtId="0" fontId="85" fillId="0" borderId="9" xfId="3" applyFont="1" applyBorder="1" applyAlignment="1">
      <alignment horizontal="center"/>
    </xf>
    <xf numFmtId="0" fontId="41" fillId="0" borderId="9" xfId="3" applyFont="1" applyBorder="1"/>
    <xf numFmtId="43" fontId="86" fillId="0" borderId="9" xfId="3" applyNumberFormat="1" applyFont="1" applyBorder="1"/>
    <xf numFmtId="43" fontId="12" fillId="0" borderId="0" xfId="3" applyNumberFormat="1" applyFont="1"/>
    <xf numFmtId="0" fontId="8" fillId="0" borderId="9" xfId="7" applyFont="1" applyBorder="1" applyAlignment="1">
      <alignment wrapText="1"/>
    </xf>
    <xf numFmtId="0" fontId="8" fillId="4" borderId="0" xfId="0" applyFont="1" applyFill="1"/>
    <xf numFmtId="0" fontId="0" fillId="4" borderId="0" xfId="0" applyFill="1"/>
    <xf numFmtId="43" fontId="0" fillId="4" borderId="0" xfId="0" applyNumberFormat="1" applyFill="1"/>
    <xf numFmtId="0" fontId="18" fillId="22" borderId="0" xfId="0" applyFont="1" applyFill="1" applyAlignment="1">
      <alignment horizontal="center" vertical="center" wrapText="1"/>
    </xf>
    <xf numFmtId="0" fontId="18" fillId="23" borderId="0" xfId="0" applyFont="1" applyFill="1" applyAlignment="1">
      <alignment horizontal="center" vertical="center" wrapText="1"/>
    </xf>
    <xf numFmtId="0" fontId="32" fillId="19" borderId="9" xfId="2" applyFont="1" applyFill="1" applyBorder="1" applyAlignment="1">
      <alignment horizontal="center" vertical="center"/>
    </xf>
    <xf numFmtId="164" fontId="27" fillId="19" borderId="9" xfId="1" applyFont="1" applyFill="1" applyBorder="1" applyAlignment="1">
      <alignment horizontal="center" vertical="center" wrapText="1"/>
    </xf>
    <xf numFmtId="43" fontId="45" fillId="4" borderId="9" xfId="4" applyFont="1" applyFill="1" applyBorder="1" applyAlignment="1">
      <alignment horizontal="right" shrinkToFit="1"/>
    </xf>
    <xf numFmtId="0" fontId="8" fillId="4" borderId="9" xfId="3" applyFont="1" applyFill="1" applyBorder="1" applyAlignment="1">
      <alignment horizontal="left"/>
    </xf>
    <xf numFmtId="164" fontId="36" fillId="20" borderId="9" xfId="1" applyFont="1" applyFill="1" applyBorder="1" applyAlignment="1">
      <alignment horizontal="center" vertical="center" wrapText="1"/>
    </xf>
    <xf numFmtId="43" fontId="31" fillId="13" borderId="9" xfId="1" applyNumberFormat="1" applyFont="1" applyFill="1" applyBorder="1" applyAlignment="1">
      <alignment horizontal="center" vertical="center" wrapText="1"/>
    </xf>
    <xf numFmtId="43" fontId="33" fillId="13" borderId="9" xfId="1" applyNumberFormat="1" applyFont="1" applyFill="1" applyBorder="1" applyAlignment="1">
      <alignment horizontal="center" vertical="center" wrapText="1"/>
    </xf>
    <xf numFmtId="0" fontId="29" fillId="14" borderId="9" xfId="0" applyFont="1" applyFill="1" applyBorder="1" applyAlignment="1">
      <alignment horizontal="center" vertical="top" wrapText="1"/>
    </xf>
    <xf numFmtId="164" fontId="30" fillId="4" borderId="9" xfId="1" applyFont="1" applyFill="1" applyBorder="1" applyAlignment="1">
      <alignment horizontal="center" vertical="center" wrapText="1"/>
    </xf>
    <xf numFmtId="0" fontId="42" fillId="13" borderId="9" xfId="0" applyFont="1" applyFill="1" applyBorder="1" applyAlignment="1">
      <alignment vertical="center" wrapText="1"/>
    </xf>
    <xf numFmtId="0" fontId="42" fillId="11" borderId="9" xfId="0" applyFont="1" applyFill="1" applyBorder="1" applyAlignment="1">
      <alignment vertical="center" wrapText="1"/>
    </xf>
    <xf numFmtId="0" fontId="42" fillId="13" borderId="9" xfId="3" applyFont="1" applyFill="1" applyBorder="1" applyAlignment="1">
      <alignment horizontal="center" vertical="center"/>
    </xf>
    <xf numFmtId="0" fontId="14" fillId="13" borderId="9" xfId="3" applyFill="1" applyBorder="1"/>
    <xf numFmtId="0" fontId="14" fillId="13" borderId="0" xfId="3" applyFill="1"/>
    <xf numFmtId="43" fontId="66" fillId="13" borderId="9" xfId="3" applyNumberFormat="1" applyFont="1" applyFill="1" applyBorder="1"/>
    <xf numFmtId="0" fontId="42" fillId="0" borderId="9" xfId="0" applyFont="1" applyBorder="1" applyAlignment="1">
      <alignment horizontal="center" vertical="center"/>
    </xf>
    <xf numFmtId="164" fontId="42" fillId="0" borderId="9" xfId="1" applyFont="1" applyBorder="1" applyAlignment="1">
      <alignment horizontal="center" vertical="center"/>
    </xf>
    <xf numFmtId="164" fontId="42" fillId="0" borderId="9" xfId="1" applyFont="1" applyBorder="1" applyAlignment="1">
      <alignment horizontal="center" vertical="top" wrapText="1"/>
    </xf>
    <xf numFmtId="164" fontId="42" fillId="0" borderId="9" xfId="1" applyFont="1" applyBorder="1" applyAlignment="1">
      <alignment horizontal="center" wrapText="1"/>
    </xf>
    <xf numFmtId="0" fontId="7" fillId="4" borderId="18" xfId="0" applyFont="1" applyFill="1" applyBorder="1" applyAlignment="1">
      <alignment horizontal="left" vertical="center"/>
    </xf>
    <xf numFmtId="0" fontId="87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42" fillId="4" borderId="0" xfId="0" applyFont="1" applyFill="1" applyAlignment="1">
      <alignment horizontal="center" vertical="top"/>
    </xf>
    <xf numFmtId="0" fontId="42" fillId="4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center" vertical="center" wrapText="1"/>
    </xf>
    <xf numFmtId="164" fontId="6" fillId="4" borderId="0" xfId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164" fontId="28" fillId="0" borderId="0" xfId="1" applyFont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top" wrapText="1"/>
    </xf>
    <xf numFmtId="164" fontId="28" fillId="0" borderId="0" xfId="1" applyFont="1" applyBorder="1" applyAlignment="1">
      <alignment horizontal="center" vertical="center" wrapText="1"/>
    </xf>
    <xf numFmtId="0" fontId="28" fillId="0" borderId="13" xfId="0" applyFont="1" applyBorder="1" applyAlignment="1">
      <alignment horizontal="left" vertical="top"/>
    </xf>
    <xf numFmtId="0" fontId="28" fillId="0" borderId="15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left" vertical="top"/>
    </xf>
    <xf numFmtId="0" fontId="28" fillId="0" borderId="22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top"/>
    </xf>
    <xf numFmtId="0" fontId="85" fillId="0" borderId="9" xfId="0" applyFont="1" applyBorder="1" applyAlignment="1">
      <alignment vertical="center" wrapText="1"/>
    </xf>
    <xf numFmtId="0" fontId="42" fillId="4" borderId="0" xfId="0" applyFont="1" applyFill="1" applyAlignment="1">
      <alignment horizontal="center" vertical="center"/>
    </xf>
    <xf numFmtId="0" fontId="42" fillId="4" borderId="0" xfId="0" applyFont="1" applyFill="1" applyAlignment="1">
      <alignment vertical="center" wrapText="1"/>
    </xf>
    <xf numFmtId="0" fontId="28" fillId="4" borderId="0" xfId="0" applyFont="1" applyFill="1" applyAlignment="1">
      <alignment horizontal="left" vertical="top" wrapText="1"/>
    </xf>
    <xf numFmtId="0" fontId="51" fillId="4" borderId="0" xfId="0" applyFont="1" applyFill="1" applyAlignment="1">
      <alignment horizontal="center" vertical="top" wrapText="1"/>
    </xf>
    <xf numFmtId="0" fontId="28" fillId="4" borderId="0" xfId="0" applyFont="1" applyFill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12" borderId="9" xfId="0" applyFont="1" applyFill="1" applyBorder="1" applyAlignment="1">
      <alignment vertical="center" wrapText="1"/>
    </xf>
    <xf numFmtId="0" fontId="42" fillId="24" borderId="9" xfId="0" applyFont="1" applyFill="1" applyBorder="1" applyAlignment="1">
      <alignment vertical="center" wrapText="1"/>
    </xf>
    <xf numFmtId="0" fontId="6" fillId="24" borderId="9" xfId="0" applyFont="1" applyFill="1" applyBorder="1" applyAlignment="1">
      <alignment horizontal="center" vertical="center" wrapText="1"/>
    </xf>
    <xf numFmtId="0" fontId="42" fillId="4" borderId="10" xfId="0" applyFont="1" applyFill="1" applyBorder="1" applyAlignment="1">
      <alignment vertical="center"/>
    </xf>
    <xf numFmtId="0" fontId="28" fillId="4" borderId="12" xfId="0" applyFont="1" applyFill="1" applyBorder="1" applyAlignment="1">
      <alignment horizontal="center" vertical="center" wrapText="1"/>
    </xf>
    <xf numFmtId="43" fontId="42" fillId="0" borderId="23" xfId="6" applyNumberFormat="1" applyFont="1" applyBorder="1" applyAlignment="1">
      <alignment horizontal="center" vertical="center" wrapText="1"/>
    </xf>
    <xf numFmtId="43" fontId="6" fillId="0" borderId="9" xfId="6" applyNumberFormat="1" applyFont="1" applyBorder="1" applyAlignment="1">
      <alignment vertical="center" wrapText="1"/>
    </xf>
    <xf numFmtId="43" fontId="6" fillId="13" borderId="9" xfId="6" applyNumberFormat="1" applyFont="1" applyFill="1" applyBorder="1" applyAlignment="1">
      <alignment vertical="center" wrapText="1"/>
    </xf>
    <xf numFmtId="43" fontId="6" fillId="24" borderId="9" xfId="6" applyNumberFormat="1" applyFont="1" applyFill="1" applyBorder="1" applyAlignment="1">
      <alignment vertical="center" wrapText="1"/>
    </xf>
    <xf numFmtId="43" fontId="71" fillId="0" borderId="9" xfId="6" applyNumberFormat="1" applyFont="1" applyBorder="1" applyAlignment="1">
      <alignment vertical="center" wrapText="1"/>
    </xf>
    <xf numFmtId="43" fontId="42" fillId="0" borderId="9" xfId="6" applyNumberFormat="1" applyFont="1" applyBorder="1" applyAlignment="1">
      <alignment horizontal="center" vertical="center" wrapText="1"/>
    </xf>
    <xf numFmtId="43" fontId="28" fillId="0" borderId="0" xfId="6" applyNumberFormat="1" applyFont="1" applyAlignment="1">
      <alignment horizontal="center" vertical="center" wrapText="1"/>
    </xf>
    <xf numFmtId="43" fontId="6" fillId="4" borderId="0" xfId="6" applyNumberFormat="1" applyFont="1" applyFill="1" applyBorder="1" applyAlignment="1">
      <alignment horizontal="center" vertical="center" wrapText="1"/>
    </xf>
    <xf numFmtId="43" fontId="28" fillId="0" borderId="11" xfId="6" applyNumberFormat="1" applyFont="1" applyBorder="1" applyAlignment="1">
      <alignment vertical="center" wrapText="1"/>
    </xf>
    <xf numFmtId="43" fontId="71" fillId="11" borderId="9" xfId="6" applyNumberFormat="1" applyFont="1" applyFill="1" applyBorder="1" applyAlignment="1">
      <alignment vertical="center" wrapText="1"/>
    </xf>
    <xf numFmtId="43" fontId="80" fillId="0" borderId="9" xfId="6" applyNumberFormat="1" applyFont="1" applyBorder="1" applyAlignment="1">
      <alignment vertical="center" wrapText="1"/>
    </xf>
    <xf numFmtId="43" fontId="28" fillId="4" borderId="0" xfId="6" applyNumberFormat="1" applyFont="1" applyFill="1" applyBorder="1" applyAlignment="1">
      <alignment horizontal="center" vertical="center" wrapText="1"/>
    </xf>
    <xf numFmtId="43" fontId="28" fillId="4" borderId="11" xfId="6" applyNumberFormat="1" applyFont="1" applyFill="1" applyBorder="1" applyAlignment="1">
      <alignment horizontal="center" vertical="center" wrapText="1"/>
    </xf>
    <xf numFmtId="43" fontId="42" fillId="4" borderId="0" xfId="6" applyNumberFormat="1" applyFont="1" applyFill="1" applyBorder="1" applyAlignment="1">
      <alignment horizontal="center" vertical="center"/>
    </xf>
    <xf numFmtId="43" fontId="28" fillId="4" borderId="0" xfId="6" applyNumberFormat="1" applyFont="1" applyFill="1" applyAlignment="1">
      <alignment horizontal="center" vertical="center" wrapText="1"/>
    </xf>
    <xf numFmtId="43" fontId="90" fillId="4" borderId="0" xfId="6" applyNumberFormat="1" applyFont="1" applyFill="1" applyAlignment="1">
      <alignment horizontal="center" vertical="center" wrapText="1"/>
    </xf>
    <xf numFmtId="43" fontId="89" fillId="4" borderId="0" xfId="6" applyNumberFormat="1" applyFont="1" applyFill="1" applyAlignment="1">
      <alignment horizontal="center" vertical="center" wrapText="1"/>
    </xf>
    <xf numFmtId="43" fontId="28" fillId="3" borderId="0" xfId="6" applyNumberFormat="1" applyFont="1" applyFill="1" applyBorder="1" applyAlignment="1">
      <alignment horizontal="center" vertical="center" wrapText="1"/>
    </xf>
    <xf numFmtId="43" fontId="81" fillId="4" borderId="0" xfId="0" applyNumberFormat="1" applyFont="1" applyFill="1" applyAlignment="1">
      <alignment horizontal="center" vertical="center" wrapText="1"/>
    </xf>
    <xf numFmtId="43" fontId="28" fillId="4" borderId="0" xfId="0" applyNumberFormat="1" applyFont="1" applyFill="1" applyAlignment="1">
      <alignment horizontal="center" vertical="center" wrapText="1"/>
    </xf>
    <xf numFmtId="43" fontId="42" fillId="4" borderId="0" xfId="6" applyNumberFormat="1" applyFont="1" applyFill="1" applyAlignment="1">
      <alignment horizontal="center" vertical="center" wrapText="1"/>
    </xf>
    <xf numFmtId="43" fontId="71" fillId="24" borderId="9" xfId="6" applyNumberFormat="1" applyFont="1" applyFill="1" applyBorder="1" applyAlignment="1">
      <alignment vertical="center" wrapText="1"/>
    </xf>
    <xf numFmtId="43" fontId="28" fillId="0" borderId="14" xfId="6" applyNumberFormat="1" applyFont="1" applyBorder="1" applyAlignment="1">
      <alignment horizontal="center" vertical="center" wrapText="1"/>
    </xf>
    <xf numFmtId="43" fontId="28" fillId="0" borderId="21" xfId="6" applyNumberFormat="1" applyFont="1" applyBorder="1" applyAlignment="1">
      <alignment horizontal="center" vertical="center" wrapText="1"/>
    </xf>
    <xf numFmtId="43" fontId="6" fillId="4" borderId="0" xfId="6" applyNumberFormat="1" applyFont="1" applyFill="1" applyBorder="1" applyAlignment="1">
      <alignment vertical="center" wrapText="1"/>
    </xf>
    <xf numFmtId="0" fontId="42" fillId="3" borderId="9" xfId="0" applyFont="1" applyFill="1" applyBorder="1" applyAlignment="1">
      <alignment vertical="center" wrapText="1"/>
    </xf>
    <xf numFmtId="0" fontId="88" fillId="4" borderId="0" xfId="0" applyFont="1" applyFill="1" applyAlignment="1">
      <alignment horizontal="center" vertical="center"/>
    </xf>
    <xf numFmtId="0" fontId="18" fillId="3" borderId="9" xfId="0" applyFont="1" applyFill="1" applyBorder="1" applyAlignment="1">
      <alignment horizontal="center" wrapText="1"/>
    </xf>
    <xf numFmtId="164" fontId="18" fillId="3" borderId="9" xfId="1" applyFont="1" applyFill="1" applyBorder="1" applyAlignment="1">
      <alignment horizontal="center" wrapText="1"/>
    </xf>
    <xf numFmtId="164" fontId="18" fillId="3" borderId="9" xfId="0" applyNumberFormat="1" applyFont="1" applyFill="1" applyBorder="1" applyAlignment="1">
      <alignment horizontal="center" vertical="center" wrapText="1"/>
    </xf>
    <xf numFmtId="164" fontId="15" fillId="3" borderId="9" xfId="1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8" fillId="0" borderId="9" xfId="1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43" fontId="2" fillId="13" borderId="9" xfId="6" applyNumberFormat="1" applyFont="1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164" fontId="0" fillId="0" borderId="9" xfId="1" applyFont="1" applyBorder="1" applyAlignment="1">
      <alignment vertical="center" wrapText="1"/>
    </xf>
    <xf numFmtId="164" fontId="6" fillId="4" borderId="0" xfId="1" applyFont="1" applyFill="1" applyAlignment="1">
      <alignment horizontal="center" vertical="center" wrapText="1"/>
    </xf>
    <xf numFmtId="164" fontId="48" fillId="0" borderId="9" xfId="1" applyFont="1" applyBorder="1" applyAlignment="1">
      <alignment vertical="center" wrapText="1"/>
    </xf>
    <xf numFmtId="164" fontId="66" fillId="0" borderId="9" xfId="1" applyFont="1" applyBorder="1" applyAlignment="1">
      <alignment vertical="center" wrapText="1"/>
    </xf>
    <xf numFmtId="164" fontId="0" fillId="3" borderId="9" xfId="1" applyFont="1" applyFill="1" applyBorder="1" applyAlignment="1">
      <alignment vertical="center" wrapText="1"/>
    </xf>
    <xf numFmtId="4" fontId="0" fillId="3" borderId="9" xfId="0" applyNumberFormat="1" applyFill="1" applyBorder="1" applyAlignment="1">
      <alignment vertical="center" wrapText="1"/>
    </xf>
    <xf numFmtId="164" fontId="42" fillId="12" borderId="9" xfId="1" applyFont="1" applyFill="1" applyBorder="1" applyAlignment="1">
      <alignment vertical="center" wrapText="1"/>
    </xf>
    <xf numFmtId="0" fontId="0" fillId="12" borderId="9" xfId="0" applyFill="1" applyBorder="1" applyAlignment="1">
      <alignment vertical="center" wrapText="1"/>
    </xf>
    <xf numFmtId="0" fontId="41" fillId="0" borderId="9" xfId="0" applyFont="1" applyBorder="1" applyAlignment="1">
      <alignment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 wrapText="1"/>
    </xf>
    <xf numFmtId="43" fontId="0" fillId="13" borderId="9" xfId="1" applyNumberFormat="1" applyFont="1" applyFill="1" applyBorder="1" applyAlignment="1">
      <alignment vertical="center" wrapText="1"/>
    </xf>
    <xf numFmtId="0" fontId="51" fillId="0" borderId="9" xfId="0" applyFont="1" applyBorder="1" applyAlignment="1">
      <alignment horizontal="center" vertical="center" wrapText="1"/>
    </xf>
    <xf numFmtId="164" fontId="41" fillId="0" borderId="9" xfId="1" applyFont="1" applyBorder="1" applyAlignment="1">
      <alignment horizontal="center" vertical="center" wrapText="1"/>
    </xf>
    <xf numFmtId="0" fontId="94" fillId="0" borderId="9" xfId="0" applyFont="1" applyBorder="1" applyAlignment="1">
      <alignment vertical="center" wrapText="1"/>
    </xf>
    <xf numFmtId="164" fontId="95" fillId="0" borderId="9" xfId="1" applyFont="1" applyBorder="1" applyAlignment="1">
      <alignment vertical="center" wrapText="1"/>
    </xf>
    <xf numFmtId="0" fontId="95" fillId="0" borderId="9" xfId="0" applyFont="1" applyBorder="1" applyAlignment="1">
      <alignment vertical="center" wrapText="1"/>
    </xf>
    <xf numFmtId="0" fontId="95" fillId="0" borderId="9" xfId="0" applyFont="1" applyBorder="1" applyAlignment="1">
      <alignment horizontal="center" vertical="center" wrapText="1"/>
    </xf>
    <xf numFmtId="164" fontId="86" fillId="0" borderId="9" xfId="1" applyFont="1" applyBorder="1" applyAlignment="1">
      <alignment horizontal="center" vertical="center" wrapText="1"/>
    </xf>
    <xf numFmtId="43" fontId="94" fillId="0" borderId="9" xfId="1" applyNumberFormat="1" applyFont="1" applyBorder="1" applyAlignment="1">
      <alignment vertical="center" wrapText="1"/>
    </xf>
    <xf numFmtId="43" fontId="41" fillId="0" borderId="9" xfId="1" applyNumberFormat="1" applyFont="1" applyBorder="1" applyAlignment="1">
      <alignment vertical="center" wrapText="1"/>
    </xf>
    <xf numFmtId="0" fontId="81" fillId="4" borderId="0" xfId="0" applyFont="1" applyFill="1" applyAlignment="1">
      <alignment horizontal="center" vertical="center" wrapText="1"/>
    </xf>
    <xf numFmtId="43" fontId="90" fillId="4" borderId="0" xfId="6" applyNumberFormat="1" applyFont="1" applyFill="1" applyBorder="1" applyAlignment="1">
      <alignment horizontal="center" vertical="center" wrapText="1"/>
    </xf>
    <xf numFmtId="0" fontId="51" fillId="4" borderId="0" xfId="0" applyFont="1" applyFill="1" applyAlignment="1">
      <alignment horizontal="center" vertical="center" wrapText="1"/>
    </xf>
    <xf numFmtId="43" fontId="89" fillId="4" borderId="0" xfId="6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43" fontId="42" fillId="4" borderId="0" xfId="6" applyNumberFormat="1" applyFont="1" applyFill="1" applyBorder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85" fillId="4" borderId="0" xfId="0" applyFont="1" applyFill="1" applyAlignment="1">
      <alignment vertical="center" wrapText="1"/>
    </xf>
    <xf numFmtId="43" fontId="92" fillId="4" borderId="0" xfId="6" applyNumberFormat="1" applyFont="1" applyFill="1" applyBorder="1" applyAlignment="1">
      <alignment horizontal="center" vertical="center" wrapText="1"/>
    </xf>
    <xf numFmtId="0" fontId="41" fillId="4" borderId="0" xfId="0" applyFont="1" applyFill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164" fontId="28" fillId="0" borderId="0" xfId="1" applyFont="1" applyBorder="1" applyAlignment="1">
      <alignment vertical="center" wrapText="1"/>
    </xf>
    <xf numFmtId="0" fontId="4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91" fillId="0" borderId="0" xfId="0" applyFont="1" applyAlignment="1">
      <alignment horizontal="center" vertical="center" wrapText="1"/>
    </xf>
    <xf numFmtId="43" fontId="42" fillId="0" borderId="0" xfId="6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95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vertical="center"/>
    </xf>
    <xf numFmtId="0" fontId="42" fillId="0" borderId="0" xfId="0" applyFont="1" applyAlignment="1">
      <alignment vertical="center" wrapText="1"/>
    </xf>
    <xf numFmtId="43" fontId="6" fillId="0" borderId="0" xfId="6" applyNumberFormat="1" applyFont="1" applyBorder="1" applyAlignment="1">
      <alignment vertical="center" wrapText="1"/>
    </xf>
    <xf numFmtId="0" fontId="79" fillId="0" borderId="0" xfId="0" applyFont="1" applyAlignment="1">
      <alignment horizontal="center" vertical="center" wrapText="1"/>
    </xf>
    <xf numFmtId="43" fontId="82" fillId="0" borderId="0" xfId="6" applyNumberFormat="1" applyFont="1" applyBorder="1" applyAlignment="1">
      <alignment vertical="center" wrapText="1"/>
    </xf>
    <xf numFmtId="43" fontId="48" fillId="13" borderId="9" xfId="1" applyNumberFormat="1" applyFont="1" applyFill="1" applyBorder="1" applyAlignment="1">
      <alignment vertical="center" wrapText="1"/>
    </xf>
    <xf numFmtId="0" fontId="91" fillId="0" borderId="10" xfId="0" applyFont="1" applyBorder="1" applyAlignment="1">
      <alignment horizontal="center" vertical="center" wrapText="1"/>
    </xf>
    <xf numFmtId="0" fontId="91" fillId="0" borderId="11" xfId="0" applyFont="1" applyBorder="1" applyAlignment="1">
      <alignment horizontal="center" vertical="center" wrapText="1"/>
    </xf>
    <xf numFmtId="0" fontId="91" fillId="0" borderId="12" xfId="0" applyFont="1" applyBorder="1" applyAlignment="1">
      <alignment horizontal="center" vertical="center" wrapText="1"/>
    </xf>
    <xf numFmtId="0" fontId="59" fillId="0" borderId="10" xfId="0" applyFont="1" applyBorder="1" applyAlignment="1">
      <alignment horizontal="center" vertical="center"/>
    </xf>
    <xf numFmtId="0" fontId="59" fillId="0" borderId="11" xfId="0" applyFont="1" applyBorder="1" applyAlignment="1">
      <alignment horizontal="center" vertical="center"/>
    </xf>
    <xf numFmtId="0" fontId="59" fillId="0" borderId="12" xfId="0" applyFont="1" applyBorder="1" applyAlignment="1">
      <alignment horizontal="center" vertical="center"/>
    </xf>
    <xf numFmtId="0" fontId="88" fillId="4" borderId="0" xfId="0" applyFont="1" applyFill="1" applyAlignment="1">
      <alignment horizontal="center" vertical="center"/>
    </xf>
    <xf numFmtId="0" fontId="22" fillId="6" borderId="1" xfId="0" applyFont="1" applyFill="1" applyBorder="1" applyAlignment="1">
      <alignment horizontal="center" vertical="center" wrapText="1"/>
    </xf>
    <xf numFmtId="165" fontId="22" fillId="6" borderId="1" xfId="0" applyNumberFormat="1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8" borderId="27" xfId="0" applyFont="1" applyFill="1" applyBorder="1" applyAlignment="1">
      <alignment horizontal="center" vertical="center" wrapText="1"/>
    </xf>
    <xf numFmtId="0" fontId="54" fillId="8" borderId="17" xfId="0" applyFont="1" applyFill="1" applyBorder="1" applyAlignment="1">
      <alignment horizontal="center" vertical="center" wrapText="1"/>
    </xf>
    <xf numFmtId="0" fontId="29" fillId="4" borderId="16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center" vertical="center"/>
    </xf>
    <xf numFmtId="0" fontId="78" fillId="4" borderId="13" xfId="0" applyFont="1" applyFill="1" applyBorder="1" applyAlignment="1">
      <alignment horizontal="center" vertical="center"/>
    </xf>
    <xf numFmtId="0" fontId="78" fillId="4" borderId="14" xfId="0" applyFont="1" applyFill="1" applyBorder="1" applyAlignment="1">
      <alignment horizontal="center" vertical="center"/>
    </xf>
    <xf numFmtId="0" fontId="78" fillId="4" borderId="15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31" fillId="4" borderId="11" xfId="0" applyFont="1" applyFill="1" applyBorder="1" applyAlignment="1">
      <alignment horizontal="center" vertical="center"/>
    </xf>
    <xf numFmtId="0" fontId="31" fillId="4" borderId="12" xfId="0" applyFont="1" applyFill="1" applyBorder="1" applyAlignment="1">
      <alignment horizontal="center" vertical="center"/>
    </xf>
    <xf numFmtId="0" fontId="31" fillId="4" borderId="9" xfId="0" applyFont="1" applyFill="1" applyBorder="1" applyAlignment="1">
      <alignment horizontal="center" vertical="center"/>
    </xf>
    <xf numFmtId="0" fontId="42" fillId="16" borderId="10" xfId="3" applyFont="1" applyFill="1" applyBorder="1" applyAlignment="1">
      <alignment horizontal="center" vertical="center"/>
    </xf>
    <xf numFmtId="0" fontId="42" fillId="16" borderId="11" xfId="3" applyFont="1" applyFill="1" applyBorder="1" applyAlignment="1">
      <alignment horizontal="center" vertical="center"/>
    </xf>
    <xf numFmtId="0" fontId="42" fillId="16" borderId="12" xfId="3" applyFont="1" applyFill="1" applyBorder="1" applyAlignment="1">
      <alignment horizontal="center" vertical="center"/>
    </xf>
    <xf numFmtId="0" fontId="67" fillId="21" borderId="0" xfId="0" applyFont="1" applyFill="1" applyAlignment="1">
      <alignment horizontal="center" vertical="center"/>
    </xf>
    <xf numFmtId="0" fontId="67" fillId="7" borderId="0" xfId="3" applyFont="1" applyFill="1" applyAlignment="1">
      <alignment horizontal="center" vertical="center"/>
    </xf>
    <xf numFmtId="0" fontId="59" fillId="0" borderId="10" xfId="3" applyFont="1" applyBorder="1" applyAlignment="1">
      <alignment horizontal="center" vertical="center"/>
    </xf>
    <xf numFmtId="0" fontId="59" fillId="0" borderId="11" xfId="3" applyFont="1" applyBorder="1" applyAlignment="1">
      <alignment horizontal="center" vertical="center"/>
    </xf>
    <xf numFmtId="0" fontId="59" fillId="0" borderId="12" xfId="3" applyFont="1" applyBorder="1" applyAlignment="1">
      <alignment horizontal="center" vertical="center"/>
    </xf>
    <xf numFmtId="0" fontId="67" fillId="0" borderId="10" xfId="3" applyFont="1" applyBorder="1" applyAlignment="1">
      <alignment horizontal="center" vertical="center"/>
    </xf>
    <xf numFmtId="0" fontId="67" fillId="0" borderId="11" xfId="3" applyFont="1" applyBorder="1" applyAlignment="1">
      <alignment horizontal="center" vertical="center"/>
    </xf>
    <xf numFmtId="0" fontId="67" fillId="0" borderId="12" xfId="3" applyFont="1" applyBorder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center"/>
    </xf>
    <xf numFmtId="164" fontId="31" fillId="4" borderId="10" xfId="1" applyFont="1" applyFill="1" applyBorder="1" applyAlignment="1">
      <alignment horizontal="center" vertical="center"/>
    </xf>
    <xf numFmtId="164" fontId="31" fillId="4" borderId="11" xfId="1" applyFont="1" applyFill="1" applyBorder="1" applyAlignment="1">
      <alignment horizontal="center" vertical="center"/>
    </xf>
    <xf numFmtId="164" fontId="31" fillId="4" borderId="12" xfId="1" applyFont="1" applyFill="1" applyBorder="1" applyAlignment="1">
      <alignment horizontal="center" vertical="center"/>
    </xf>
    <xf numFmtId="164" fontId="29" fillId="4" borderId="10" xfId="1" applyFont="1" applyFill="1" applyBorder="1" applyAlignment="1">
      <alignment horizontal="center" vertical="center"/>
    </xf>
    <xf numFmtId="164" fontId="29" fillId="4" borderId="11" xfId="1" applyFont="1" applyFill="1" applyBorder="1" applyAlignment="1">
      <alignment horizontal="center" vertical="center"/>
    </xf>
    <xf numFmtId="164" fontId="29" fillId="4" borderId="12" xfId="1" applyFont="1" applyFill="1" applyBorder="1" applyAlignment="1">
      <alignment horizontal="center" vertical="center"/>
    </xf>
    <xf numFmtId="0" fontId="59" fillId="7" borderId="0" xfId="7" applyFont="1" applyFill="1" applyAlignment="1">
      <alignment horizontal="center" vertical="center"/>
    </xf>
  </cellXfs>
  <cellStyles count="9">
    <cellStyle name="Comma" xfId="1" builtinId="3"/>
    <cellStyle name="Comma 2" xfId="4" xr:uid="{9E13D392-712F-4E67-92D7-84503C8E29A0}"/>
    <cellStyle name="Comma 3" xfId="5" xr:uid="{1BC5992C-8219-4227-B9D0-8A25B9C574F9}"/>
    <cellStyle name="Comma 4" xfId="8" xr:uid="{7C825FA2-8581-46BE-B783-489FC91D7CC4}"/>
    <cellStyle name="Currency" xfId="6" builtinId="4"/>
    <cellStyle name="Hyperlink" xfId="2" xr:uid="{00000000-000B-0000-0000-000008000000}"/>
    <cellStyle name="Normal" xfId="0" builtinId="0"/>
    <cellStyle name="Normal 2" xfId="3" xr:uid="{A99C4C8B-8452-475F-B10B-51A49169EE73}"/>
    <cellStyle name="Normal 3" xfId="7" xr:uid="{F5A09419-408B-43A8-9330-D0B37AB069B8}"/>
  </cellStyles>
  <dxfs count="0"/>
  <tableStyles count="0" defaultTableStyle="TableStyleMedium2" defaultPivotStyle="PivotStyleLight16"/>
  <colors>
    <mruColors>
      <color rgb="FFF94133"/>
      <color rgb="FFF83728"/>
      <color rgb="FF0006EE"/>
      <color rgb="FFF61908"/>
      <color rgb="FFDF91D6"/>
      <color rgb="FFD367C6"/>
      <color rgb="FF000000"/>
      <color rgb="FFFFFFFF"/>
      <color rgb="FF081276"/>
      <color rgb="FF102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273424</xdr:colOff>
      <xdr:row>0</xdr:row>
      <xdr:rowOff>70760</xdr:rowOff>
    </xdr:from>
    <xdr:to>
      <xdr:col>1</xdr:col>
      <xdr:colOff>1035424</xdr:colOff>
      <xdr:row>1</xdr:row>
      <xdr:rowOff>190102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B7976B-92F7-4BEE-BD9F-BA53A181F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630" y="70760"/>
          <a:ext cx="762000" cy="6011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42170</xdr:colOff>
      <xdr:row>0</xdr:row>
      <xdr:rowOff>0</xdr:rowOff>
    </xdr:from>
    <xdr:to>
      <xdr:col>1</xdr:col>
      <xdr:colOff>695325</xdr:colOff>
      <xdr:row>1</xdr:row>
      <xdr:rowOff>32907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4EB76D-3CC2-403D-A2EB-2EDB539E2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695" y="0"/>
          <a:ext cx="653155" cy="5186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1143000</xdr:colOff>
      <xdr:row>0</xdr:row>
      <xdr:rowOff>32347</xdr:rowOff>
    </xdr:from>
    <xdr:to>
      <xdr:col>2</xdr:col>
      <xdr:colOff>628650</xdr:colOff>
      <xdr:row>1</xdr:row>
      <xdr:rowOff>169058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548808-E337-419A-B7F2-F895CA9E5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32347"/>
          <a:ext cx="723900" cy="5748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0A63-83AC-4BB0-824C-C27A5F1D3D46}">
  <sheetPr>
    <pageSetUpPr fitToPage="1"/>
  </sheetPr>
  <dimension ref="A1:L1001"/>
  <sheetViews>
    <sheetView tabSelected="1" topLeftCell="B8" zoomScale="110" zoomScaleNormal="110" workbookViewId="0">
      <selection activeCell="I18" sqref="I18"/>
    </sheetView>
  </sheetViews>
  <sheetFormatPr defaultColWidth="8.7109375" defaultRowHeight="16.5"/>
  <cols>
    <col min="1" max="2" width="11.28515625" style="134" customWidth="1"/>
    <col min="3" max="3" width="24.140625" style="134" customWidth="1"/>
    <col min="4" max="4" width="23.140625" style="134" customWidth="1"/>
    <col min="5" max="5" width="25.5703125" style="134" customWidth="1"/>
    <col min="6" max="6" width="18.85546875" style="134" customWidth="1"/>
    <col min="7" max="7" width="20.5703125" style="134" customWidth="1"/>
    <col min="8" max="8" width="14.28515625" style="140" customWidth="1"/>
    <col min="9" max="9" width="25.5703125" style="134" customWidth="1"/>
    <col min="10" max="16384" width="8.7109375" style="134"/>
  </cols>
  <sheetData>
    <row r="1" spans="1:9" s="132" customFormat="1" ht="20.100000000000001" customHeight="1">
      <c r="A1" s="672" t="s">
        <v>1814</v>
      </c>
      <c r="B1" s="672"/>
      <c r="C1" s="672"/>
      <c r="D1" s="672"/>
      <c r="E1" s="672"/>
      <c r="F1" s="672"/>
      <c r="G1" s="672"/>
      <c r="H1" s="673"/>
      <c r="I1" s="131"/>
    </row>
    <row r="2" spans="1:9" s="132" customFormat="1" ht="33.950000000000003" customHeight="1">
      <c r="A2" s="131" t="s">
        <v>0</v>
      </c>
      <c r="B2" s="131" t="s">
        <v>1815</v>
      </c>
      <c r="C2" s="131" t="s">
        <v>1816</v>
      </c>
      <c r="D2" s="131" t="s">
        <v>1817</v>
      </c>
      <c r="E2" s="131" t="s">
        <v>1</v>
      </c>
      <c r="F2" s="131" t="s">
        <v>2</v>
      </c>
      <c r="G2" s="131" t="s">
        <v>3</v>
      </c>
      <c r="H2" s="133" t="s">
        <v>4</v>
      </c>
      <c r="I2" s="131" t="s">
        <v>5</v>
      </c>
    </row>
    <row r="3" spans="1:9">
      <c r="A3" s="134">
        <v>1</v>
      </c>
      <c r="B3" s="134" t="s">
        <v>1818</v>
      </c>
      <c r="C3" s="134" t="s">
        <v>1819</v>
      </c>
      <c r="D3" s="135" t="s">
        <v>1820</v>
      </c>
      <c r="H3" s="136">
        <v>220</v>
      </c>
    </row>
    <row r="4" spans="1:9">
      <c r="A4" s="134">
        <v>2</v>
      </c>
      <c r="B4" s="134" t="s">
        <v>1818</v>
      </c>
      <c r="C4" s="137" t="s">
        <v>1821</v>
      </c>
      <c r="D4" s="137" t="s">
        <v>1822</v>
      </c>
      <c r="E4" s="137" t="s">
        <v>6</v>
      </c>
      <c r="F4" s="137" t="s">
        <v>7</v>
      </c>
      <c r="G4" s="137" t="s">
        <v>8</v>
      </c>
      <c r="H4" s="138">
        <v>190</v>
      </c>
    </row>
    <row r="5" spans="1:9">
      <c r="A5" s="134">
        <v>3</v>
      </c>
      <c r="B5" s="134" t="s">
        <v>1818</v>
      </c>
      <c r="C5" s="134" t="s">
        <v>1823</v>
      </c>
      <c r="D5" s="135" t="s">
        <v>1824</v>
      </c>
      <c r="H5" s="136">
        <v>260</v>
      </c>
    </row>
    <row r="6" spans="1:9">
      <c r="A6" s="134">
        <v>4</v>
      </c>
      <c r="B6" s="134" t="s">
        <v>1818</v>
      </c>
      <c r="C6" s="139" t="s">
        <v>1825</v>
      </c>
      <c r="D6" s="139" t="s">
        <v>1826</v>
      </c>
      <c r="E6" s="139" t="s">
        <v>9</v>
      </c>
      <c r="F6" s="137" t="s">
        <v>10</v>
      </c>
      <c r="G6" s="134" t="s">
        <v>11</v>
      </c>
      <c r="H6" s="140">
        <v>180</v>
      </c>
    </row>
    <row r="7" spans="1:9">
      <c r="A7" s="134">
        <v>5</v>
      </c>
      <c r="B7" s="134" t="s">
        <v>1818</v>
      </c>
      <c r="C7" s="137" t="s">
        <v>1827</v>
      </c>
      <c r="D7" s="137" t="s">
        <v>1828</v>
      </c>
      <c r="E7" s="137" t="s">
        <v>12</v>
      </c>
      <c r="F7" s="137" t="s">
        <v>7</v>
      </c>
      <c r="G7" s="137" t="s">
        <v>13</v>
      </c>
      <c r="H7" s="138">
        <v>190</v>
      </c>
    </row>
    <row r="8" spans="1:9">
      <c r="A8" s="134">
        <v>6</v>
      </c>
      <c r="B8" s="134" t="s">
        <v>1818</v>
      </c>
      <c r="C8" s="134" t="s">
        <v>1829</v>
      </c>
      <c r="D8" s="135" t="s">
        <v>1830</v>
      </c>
      <c r="E8" s="134" t="s">
        <v>14</v>
      </c>
      <c r="F8" s="134" t="s">
        <v>7</v>
      </c>
      <c r="G8" s="134" t="s">
        <v>8</v>
      </c>
      <c r="H8" s="136">
        <v>220</v>
      </c>
    </row>
    <row r="9" spans="1:9">
      <c r="A9" s="134">
        <v>7</v>
      </c>
      <c r="B9" s="134" t="s">
        <v>1818</v>
      </c>
      <c r="C9" s="137" t="s">
        <v>1831</v>
      </c>
      <c r="D9" s="137" t="s">
        <v>1832</v>
      </c>
      <c r="E9" s="137" t="s">
        <v>14</v>
      </c>
      <c r="F9" s="137" t="s">
        <v>7</v>
      </c>
      <c r="G9" s="137" t="s">
        <v>8</v>
      </c>
      <c r="H9" s="138">
        <v>190</v>
      </c>
    </row>
    <row r="10" spans="1:9">
      <c r="A10" s="134">
        <v>8</v>
      </c>
      <c r="B10" s="134" t="s">
        <v>1818</v>
      </c>
      <c r="C10" s="137" t="s">
        <v>1833</v>
      </c>
      <c r="D10" s="137" t="s">
        <v>1834</v>
      </c>
      <c r="E10" s="137" t="s">
        <v>15</v>
      </c>
      <c r="F10" s="137" t="s">
        <v>7</v>
      </c>
      <c r="G10" s="137" t="s">
        <v>8</v>
      </c>
      <c r="H10" s="138">
        <v>232</v>
      </c>
    </row>
    <row r="11" spans="1:9">
      <c r="A11" s="134">
        <v>9</v>
      </c>
      <c r="B11" s="134" t="s">
        <v>1818</v>
      </c>
      <c r="C11" s="137" t="s">
        <v>1835</v>
      </c>
      <c r="D11" s="137" t="s">
        <v>1836</v>
      </c>
      <c r="E11" s="137" t="s">
        <v>16</v>
      </c>
      <c r="F11" s="137" t="s">
        <v>7</v>
      </c>
      <c r="G11" s="137" t="s">
        <v>8</v>
      </c>
      <c r="H11" s="138">
        <v>232</v>
      </c>
    </row>
    <row r="12" spans="1:9">
      <c r="A12" s="134">
        <v>10</v>
      </c>
      <c r="B12" s="134" t="s">
        <v>1818</v>
      </c>
      <c r="C12" s="137" t="s">
        <v>1837</v>
      </c>
      <c r="D12" s="137" t="s">
        <v>1838</v>
      </c>
      <c r="E12" s="137" t="s">
        <v>15</v>
      </c>
      <c r="F12" s="137" t="s">
        <v>7</v>
      </c>
      <c r="G12" s="137" t="s">
        <v>8</v>
      </c>
      <c r="H12" s="138">
        <v>190</v>
      </c>
    </row>
    <row r="13" spans="1:9">
      <c r="A13" s="134">
        <v>11</v>
      </c>
      <c r="B13" s="134" t="s">
        <v>1818</v>
      </c>
      <c r="C13" s="137" t="s">
        <v>1839</v>
      </c>
      <c r="D13" s="137" t="s">
        <v>1840</v>
      </c>
      <c r="E13" s="137" t="s">
        <v>12</v>
      </c>
      <c r="F13" s="137" t="s">
        <v>10</v>
      </c>
      <c r="G13" s="137" t="s">
        <v>8</v>
      </c>
      <c r="H13" s="138">
        <v>232</v>
      </c>
    </row>
    <row r="14" spans="1:9">
      <c r="A14" s="134">
        <v>12</v>
      </c>
      <c r="B14" s="134" t="s">
        <v>1818</v>
      </c>
      <c r="C14" s="137" t="s">
        <v>1839</v>
      </c>
      <c r="D14" s="137" t="s">
        <v>1841</v>
      </c>
      <c r="E14" s="137" t="s">
        <v>12</v>
      </c>
      <c r="F14" s="137" t="s">
        <v>7</v>
      </c>
      <c r="G14" s="137" t="s">
        <v>8</v>
      </c>
      <c r="H14" s="138">
        <v>190</v>
      </c>
    </row>
    <row r="15" spans="1:9">
      <c r="A15" s="134">
        <v>13</v>
      </c>
      <c r="B15" s="134" t="s">
        <v>1818</v>
      </c>
      <c r="C15" s="139" t="s">
        <v>1842</v>
      </c>
      <c r="D15" s="134" t="s">
        <v>1843</v>
      </c>
      <c r="F15" s="134" t="s">
        <v>7</v>
      </c>
      <c r="G15" s="134" t="s">
        <v>8</v>
      </c>
      <c r="H15" s="141">
        <v>260</v>
      </c>
    </row>
    <row r="16" spans="1:9">
      <c r="A16" s="134">
        <v>14</v>
      </c>
      <c r="B16" s="134" t="s">
        <v>1818</v>
      </c>
      <c r="C16" s="137" t="s">
        <v>1844</v>
      </c>
      <c r="D16" s="137" t="s">
        <v>1845</v>
      </c>
      <c r="E16" s="137" t="s">
        <v>15</v>
      </c>
      <c r="F16" s="137" t="s">
        <v>7</v>
      </c>
      <c r="G16" s="137" t="s">
        <v>8</v>
      </c>
      <c r="H16" s="138">
        <v>190</v>
      </c>
    </row>
    <row r="17" spans="1:8">
      <c r="A17" s="134">
        <v>15</v>
      </c>
      <c r="B17" s="134" t="s">
        <v>1818</v>
      </c>
      <c r="C17" s="137" t="s">
        <v>1846</v>
      </c>
      <c r="D17" s="137" t="s">
        <v>1847</v>
      </c>
      <c r="E17" s="137" t="s">
        <v>6</v>
      </c>
      <c r="F17" s="137" t="s">
        <v>7</v>
      </c>
      <c r="G17" s="137" t="s">
        <v>8</v>
      </c>
      <c r="H17" s="138">
        <v>190</v>
      </c>
    </row>
    <row r="18" spans="1:8" ht="33">
      <c r="A18" s="134">
        <v>16</v>
      </c>
      <c r="B18" s="134" t="s">
        <v>1818</v>
      </c>
      <c r="C18" s="134" t="s">
        <v>1848</v>
      </c>
      <c r="D18" s="135" t="s">
        <v>1849</v>
      </c>
      <c r="E18" s="134" t="s">
        <v>6</v>
      </c>
      <c r="F18" s="134" t="s">
        <v>7</v>
      </c>
      <c r="G18" s="134" t="s">
        <v>8</v>
      </c>
      <c r="H18" s="136">
        <v>180</v>
      </c>
    </row>
    <row r="19" spans="1:8">
      <c r="A19" s="134">
        <v>17</v>
      </c>
      <c r="B19" s="134" t="s">
        <v>1818</v>
      </c>
      <c r="C19" s="137" t="s">
        <v>1850</v>
      </c>
      <c r="D19" s="137" t="s">
        <v>1851</v>
      </c>
      <c r="E19" s="137" t="s">
        <v>16</v>
      </c>
      <c r="F19" s="137" t="s">
        <v>7</v>
      </c>
      <c r="G19" s="137" t="s">
        <v>8</v>
      </c>
      <c r="H19" s="138">
        <v>180</v>
      </c>
    </row>
    <row r="20" spans="1:8">
      <c r="A20" s="134">
        <v>18</v>
      </c>
      <c r="B20" s="134" t="s">
        <v>1818</v>
      </c>
      <c r="C20" s="142" t="s">
        <v>1852</v>
      </c>
      <c r="D20" s="142" t="s">
        <v>1853</v>
      </c>
      <c r="E20" s="142" t="s">
        <v>16</v>
      </c>
      <c r="F20" s="142" t="s">
        <v>7</v>
      </c>
      <c r="G20" s="142" t="s">
        <v>8</v>
      </c>
      <c r="H20" s="143">
        <v>180</v>
      </c>
    </row>
    <row r="21" spans="1:8">
      <c r="A21" s="134">
        <v>19</v>
      </c>
      <c r="B21" s="134" t="s">
        <v>1818</v>
      </c>
      <c r="C21" s="134" t="s">
        <v>1854</v>
      </c>
      <c r="D21" s="134" t="s">
        <v>1855</v>
      </c>
      <c r="E21" s="134" t="s">
        <v>16</v>
      </c>
      <c r="F21" s="134" t="s">
        <v>7</v>
      </c>
      <c r="G21" s="134" t="s">
        <v>8</v>
      </c>
      <c r="H21" s="140">
        <v>180</v>
      </c>
    </row>
    <row r="22" spans="1:8">
      <c r="A22" s="134">
        <v>20</v>
      </c>
      <c r="B22" s="134" t="s">
        <v>1818</v>
      </c>
      <c r="C22" s="137" t="s">
        <v>1856</v>
      </c>
      <c r="D22" s="137" t="s">
        <v>1857</v>
      </c>
      <c r="E22" s="137" t="s">
        <v>14</v>
      </c>
      <c r="F22" s="137" t="s">
        <v>7</v>
      </c>
      <c r="G22" s="137" t="s">
        <v>13</v>
      </c>
      <c r="H22" s="138">
        <v>190</v>
      </c>
    </row>
    <row r="23" spans="1:8">
      <c r="A23" s="134">
        <v>21</v>
      </c>
      <c r="B23" s="134" t="s">
        <v>1818</v>
      </c>
      <c r="C23" s="144" t="s">
        <v>1858</v>
      </c>
      <c r="D23" s="144" t="s">
        <v>1859</v>
      </c>
      <c r="E23" s="144" t="s">
        <v>6</v>
      </c>
      <c r="F23" s="144" t="s">
        <v>7</v>
      </c>
      <c r="G23" s="144" t="s">
        <v>13</v>
      </c>
      <c r="H23" s="145">
        <v>227</v>
      </c>
    </row>
    <row r="24" spans="1:8">
      <c r="A24" s="134">
        <v>22</v>
      </c>
      <c r="B24" s="134" t="s">
        <v>1818</v>
      </c>
      <c r="C24" s="137" t="s">
        <v>1860</v>
      </c>
      <c r="D24" s="137" t="s">
        <v>1861</v>
      </c>
      <c r="E24" s="137" t="s">
        <v>16</v>
      </c>
      <c r="F24" s="137" t="s">
        <v>7</v>
      </c>
      <c r="G24" s="137" t="s">
        <v>8</v>
      </c>
      <c r="H24" s="138">
        <v>232</v>
      </c>
    </row>
    <row r="25" spans="1:8">
      <c r="A25" s="134">
        <v>23</v>
      </c>
      <c r="B25" s="134" t="s">
        <v>1818</v>
      </c>
      <c r="C25" s="134" t="s">
        <v>1862</v>
      </c>
      <c r="D25" s="135" t="s">
        <v>1863</v>
      </c>
      <c r="E25" s="134" t="s">
        <v>6</v>
      </c>
      <c r="F25" s="134" t="s">
        <v>10</v>
      </c>
      <c r="G25" s="134" t="s">
        <v>8</v>
      </c>
      <c r="H25" s="136">
        <v>220</v>
      </c>
    </row>
    <row r="26" spans="1:8">
      <c r="A26" s="134">
        <v>24</v>
      </c>
      <c r="B26" s="134" t="s">
        <v>1818</v>
      </c>
      <c r="C26" s="137" t="s">
        <v>1864</v>
      </c>
      <c r="D26" s="137" t="s">
        <v>1865</v>
      </c>
      <c r="E26" s="137" t="s">
        <v>6</v>
      </c>
      <c r="F26" s="137" t="s">
        <v>7</v>
      </c>
      <c r="G26" s="137" t="s">
        <v>8</v>
      </c>
      <c r="H26" s="138">
        <v>180</v>
      </c>
    </row>
    <row r="27" spans="1:8">
      <c r="A27" s="134">
        <v>25</v>
      </c>
      <c r="B27" s="134" t="s">
        <v>1818</v>
      </c>
      <c r="C27" s="146" t="s">
        <v>1866</v>
      </c>
      <c r="D27" s="146" t="s">
        <v>1867</v>
      </c>
      <c r="E27" s="134" t="s">
        <v>9</v>
      </c>
      <c r="F27" s="134" t="s">
        <v>7</v>
      </c>
      <c r="G27" s="146" t="s">
        <v>8</v>
      </c>
      <c r="H27" s="140">
        <v>220</v>
      </c>
    </row>
    <row r="28" spans="1:8">
      <c r="A28" s="134">
        <v>26</v>
      </c>
      <c r="B28" s="134" t="s">
        <v>1818</v>
      </c>
      <c r="C28" s="137" t="s">
        <v>1868</v>
      </c>
      <c r="D28" s="137" t="s">
        <v>1869</v>
      </c>
      <c r="E28" s="137" t="s">
        <v>12</v>
      </c>
      <c r="F28" s="137" t="s">
        <v>7</v>
      </c>
      <c r="G28" s="137" t="s">
        <v>8</v>
      </c>
      <c r="H28" s="138">
        <v>190</v>
      </c>
    </row>
    <row r="29" spans="1:8">
      <c r="A29" s="134">
        <v>27</v>
      </c>
      <c r="B29" s="134" t="s">
        <v>1818</v>
      </c>
      <c r="C29" s="139" t="s">
        <v>1870</v>
      </c>
      <c r="D29" s="134" t="s">
        <v>1871</v>
      </c>
      <c r="G29" s="134" t="s">
        <v>8</v>
      </c>
      <c r="H29" s="141">
        <v>215</v>
      </c>
    </row>
    <row r="30" spans="1:8">
      <c r="A30" s="134">
        <v>28</v>
      </c>
      <c r="B30" s="134" t="s">
        <v>1818</v>
      </c>
      <c r="C30" s="137" t="s">
        <v>1872</v>
      </c>
      <c r="D30" s="137" t="s">
        <v>1873</v>
      </c>
      <c r="E30" s="137" t="s">
        <v>12</v>
      </c>
      <c r="F30" s="137" t="s">
        <v>7</v>
      </c>
      <c r="G30" s="137" t="s">
        <v>8</v>
      </c>
      <c r="H30" s="138">
        <v>180</v>
      </c>
    </row>
    <row r="31" spans="1:8">
      <c r="A31" s="134">
        <v>29</v>
      </c>
      <c r="B31" s="134" t="s">
        <v>1818</v>
      </c>
      <c r="C31" s="137" t="s">
        <v>1872</v>
      </c>
      <c r="D31" s="137" t="s">
        <v>1874</v>
      </c>
      <c r="E31" s="137" t="s">
        <v>12</v>
      </c>
      <c r="F31" s="137" t="s">
        <v>7</v>
      </c>
      <c r="G31" s="137" t="s">
        <v>8</v>
      </c>
      <c r="H31" s="138">
        <v>232</v>
      </c>
    </row>
    <row r="32" spans="1:8">
      <c r="A32" s="134">
        <v>30</v>
      </c>
      <c r="B32" s="134" t="s">
        <v>1818</v>
      </c>
      <c r="C32" s="137" t="s">
        <v>1875</v>
      </c>
      <c r="D32" s="137" t="s">
        <v>1876</v>
      </c>
      <c r="E32" s="137" t="s">
        <v>14</v>
      </c>
      <c r="F32" s="137" t="s">
        <v>10</v>
      </c>
      <c r="G32" s="137" t="s">
        <v>8</v>
      </c>
      <c r="H32" s="138">
        <v>232</v>
      </c>
    </row>
    <row r="33" spans="1:8">
      <c r="A33" s="134">
        <v>31</v>
      </c>
      <c r="B33" s="134" t="s">
        <v>1818</v>
      </c>
      <c r="C33" s="134" t="s">
        <v>1877</v>
      </c>
      <c r="D33" s="134" t="s">
        <v>1878</v>
      </c>
      <c r="E33" s="134" t="s">
        <v>14</v>
      </c>
      <c r="F33" s="134" t="s">
        <v>7</v>
      </c>
      <c r="G33" s="134" t="s">
        <v>8</v>
      </c>
      <c r="H33" s="140">
        <v>232</v>
      </c>
    </row>
    <row r="34" spans="1:8">
      <c r="A34" s="134">
        <v>32</v>
      </c>
      <c r="B34" s="134" t="s">
        <v>1818</v>
      </c>
      <c r="C34" s="137" t="s">
        <v>1879</v>
      </c>
      <c r="D34" s="137" t="s">
        <v>1880</v>
      </c>
      <c r="E34" s="137" t="s">
        <v>16</v>
      </c>
      <c r="F34" s="137" t="s">
        <v>7</v>
      </c>
      <c r="G34" s="137" t="s">
        <v>17</v>
      </c>
      <c r="H34" s="138">
        <v>232</v>
      </c>
    </row>
    <row r="35" spans="1:8">
      <c r="A35" s="134">
        <v>33</v>
      </c>
      <c r="B35" s="134" t="s">
        <v>1818</v>
      </c>
      <c r="C35" s="137" t="s">
        <v>1879</v>
      </c>
      <c r="D35" s="137" t="s">
        <v>1881</v>
      </c>
      <c r="E35" s="137" t="s">
        <v>18</v>
      </c>
      <c r="F35" s="137" t="s">
        <v>7</v>
      </c>
      <c r="G35" s="137" t="s">
        <v>8</v>
      </c>
      <c r="H35" s="138">
        <v>180</v>
      </c>
    </row>
    <row r="36" spans="1:8">
      <c r="A36" s="134">
        <v>34</v>
      </c>
      <c r="B36" s="134" t="s">
        <v>1818</v>
      </c>
      <c r="C36" s="137" t="s">
        <v>1882</v>
      </c>
      <c r="D36" s="137" t="s">
        <v>1883</v>
      </c>
      <c r="E36" s="137" t="s">
        <v>18</v>
      </c>
      <c r="F36" s="137" t="s">
        <v>7</v>
      </c>
      <c r="G36" s="137" t="s">
        <v>8</v>
      </c>
      <c r="H36" s="138">
        <v>180</v>
      </c>
    </row>
    <row r="37" spans="1:8">
      <c r="A37" s="134">
        <v>35</v>
      </c>
      <c r="B37" s="134" t="s">
        <v>1818</v>
      </c>
      <c r="C37" s="139" t="s">
        <v>1884</v>
      </c>
      <c r="D37" s="134" t="s">
        <v>1885</v>
      </c>
      <c r="E37" s="134" t="s">
        <v>6</v>
      </c>
      <c r="F37" s="134" t="s">
        <v>7</v>
      </c>
      <c r="G37" s="134" t="s">
        <v>8</v>
      </c>
      <c r="H37" s="141">
        <v>215</v>
      </c>
    </row>
    <row r="38" spans="1:8">
      <c r="A38" s="134">
        <v>36</v>
      </c>
      <c r="B38" s="134" t="s">
        <v>1818</v>
      </c>
      <c r="C38" s="137" t="s">
        <v>1886</v>
      </c>
      <c r="D38" s="137" t="s">
        <v>1887</v>
      </c>
      <c r="E38" s="137" t="s">
        <v>14</v>
      </c>
      <c r="F38" s="137" t="s">
        <v>7</v>
      </c>
      <c r="G38" s="137" t="s">
        <v>8</v>
      </c>
      <c r="H38" s="138">
        <v>220</v>
      </c>
    </row>
    <row r="39" spans="1:8">
      <c r="A39" s="134">
        <v>37</v>
      </c>
      <c r="B39" s="134" t="s">
        <v>1818</v>
      </c>
      <c r="C39" s="147" t="s">
        <v>1888</v>
      </c>
      <c r="D39" s="147" t="s">
        <v>1889</v>
      </c>
      <c r="E39" s="147" t="s">
        <v>14</v>
      </c>
      <c r="F39" s="147" t="s">
        <v>10</v>
      </c>
      <c r="G39" s="147" t="s">
        <v>8</v>
      </c>
      <c r="H39" s="148">
        <v>274</v>
      </c>
    </row>
    <row r="40" spans="1:8">
      <c r="A40" s="134">
        <v>38</v>
      </c>
      <c r="B40" s="134" t="s">
        <v>1818</v>
      </c>
      <c r="C40" s="134" t="s">
        <v>1890</v>
      </c>
      <c r="D40" s="135" t="s">
        <v>1891</v>
      </c>
      <c r="E40" s="134" t="s">
        <v>14</v>
      </c>
      <c r="F40" s="134" t="s">
        <v>7</v>
      </c>
      <c r="G40" s="134" t="s">
        <v>8</v>
      </c>
      <c r="H40" s="136">
        <v>274</v>
      </c>
    </row>
    <row r="41" spans="1:8">
      <c r="A41" s="134">
        <v>39</v>
      </c>
      <c r="B41" s="134" t="s">
        <v>1818</v>
      </c>
      <c r="C41" s="137" t="s">
        <v>1892</v>
      </c>
      <c r="D41" s="137" t="s">
        <v>1893</v>
      </c>
      <c r="E41" s="137" t="s">
        <v>12</v>
      </c>
      <c r="F41" s="137" t="s">
        <v>7</v>
      </c>
      <c r="G41" s="137" t="s">
        <v>8</v>
      </c>
      <c r="H41" s="138">
        <v>232</v>
      </c>
    </row>
    <row r="42" spans="1:8">
      <c r="A42" s="134">
        <v>40</v>
      </c>
      <c r="B42" s="134" t="s">
        <v>1818</v>
      </c>
      <c r="C42" s="137" t="s">
        <v>1894</v>
      </c>
      <c r="D42" s="137" t="s">
        <v>1895</v>
      </c>
      <c r="E42" s="137" t="s">
        <v>18</v>
      </c>
      <c r="F42" s="137" t="s">
        <v>7</v>
      </c>
      <c r="G42" s="137" t="s">
        <v>8</v>
      </c>
      <c r="H42" s="138">
        <v>180</v>
      </c>
    </row>
    <row r="43" spans="1:8">
      <c r="A43" s="134">
        <v>41</v>
      </c>
      <c r="B43" s="134" t="s">
        <v>1818</v>
      </c>
      <c r="C43" s="137" t="s">
        <v>1896</v>
      </c>
      <c r="D43" s="137" t="s">
        <v>1897</v>
      </c>
      <c r="E43" s="137" t="s">
        <v>18</v>
      </c>
      <c r="F43" s="137" t="s">
        <v>7</v>
      </c>
      <c r="G43" s="137" t="s">
        <v>8</v>
      </c>
      <c r="H43" s="138">
        <v>180</v>
      </c>
    </row>
    <row r="44" spans="1:8">
      <c r="A44" s="134">
        <v>42</v>
      </c>
      <c r="B44" s="134" t="s">
        <v>1818</v>
      </c>
      <c r="C44" s="137" t="s">
        <v>1898</v>
      </c>
      <c r="D44" s="137" t="s">
        <v>1899</v>
      </c>
      <c r="E44" s="137" t="s">
        <v>14</v>
      </c>
      <c r="F44" s="137" t="s">
        <v>10</v>
      </c>
      <c r="G44" s="137" t="s">
        <v>8</v>
      </c>
      <c r="H44" s="138">
        <v>232</v>
      </c>
    </row>
    <row r="45" spans="1:8">
      <c r="A45" s="134">
        <v>43</v>
      </c>
      <c r="B45" s="134" t="s">
        <v>1818</v>
      </c>
      <c r="C45" s="134" t="s">
        <v>1900</v>
      </c>
      <c r="D45" s="134" t="s">
        <v>1901</v>
      </c>
      <c r="F45" s="134" t="s">
        <v>10</v>
      </c>
      <c r="G45" s="134" t="s">
        <v>8</v>
      </c>
      <c r="H45" s="140">
        <v>313</v>
      </c>
    </row>
    <row r="46" spans="1:8">
      <c r="A46" s="134">
        <v>44</v>
      </c>
      <c r="B46" s="134" t="s">
        <v>1818</v>
      </c>
      <c r="C46" s="137" t="s">
        <v>1902</v>
      </c>
      <c r="D46" s="137" t="s">
        <v>1903</v>
      </c>
      <c r="E46" s="137" t="s">
        <v>14</v>
      </c>
      <c r="F46" s="137" t="s">
        <v>7</v>
      </c>
      <c r="G46" s="137" t="s">
        <v>8</v>
      </c>
      <c r="H46" s="138">
        <v>220</v>
      </c>
    </row>
    <row r="47" spans="1:8">
      <c r="A47" s="134">
        <v>45</v>
      </c>
      <c r="B47" s="134" t="s">
        <v>1818</v>
      </c>
      <c r="C47" s="149" t="s">
        <v>1904</v>
      </c>
      <c r="D47" s="150" t="s">
        <v>1905</v>
      </c>
      <c r="G47" s="147" t="s">
        <v>8</v>
      </c>
      <c r="H47" s="151">
        <v>260</v>
      </c>
    </row>
    <row r="48" spans="1:8">
      <c r="A48" s="134">
        <v>46</v>
      </c>
      <c r="B48" s="134" t="s">
        <v>1818</v>
      </c>
      <c r="C48" s="139" t="s">
        <v>1906</v>
      </c>
      <c r="D48" s="134" t="s">
        <v>1907</v>
      </c>
      <c r="F48" s="134" t="s">
        <v>7</v>
      </c>
      <c r="G48" s="134" t="s">
        <v>8</v>
      </c>
      <c r="H48" s="141">
        <v>220</v>
      </c>
    </row>
    <row r="49" spans="1:8">
      <c r="A49" s="134">
        <v>47</v>
      </c>
      <c r="B49" s="134" t="s">
        <v>1818</v>
      </c>
      <c r="C49" s="134" t="s">
        <v>1908</v>
      </c>
      <c r="D49" s="134" t="s">
        <v>1909</v>
      </c>
      <c r="E49" s="134" t="s">
        <v>14</v>
      </c>
      <c r="F49" s="134" t="s">
        <v>7</v>
      </c>
      <c r="G49" s="134" t="s">
        <v>8</v>
      </c>
      <c r="H49" s="140">
        <v>180</v>
      </c>
    </row>
    <row r="50" spans="1:8">
      <c r="A50" s="134">
        <v>48</v>
      </c>
      <c r="B50" s="134" t="s">
        <v>1818</v>
      </c>
      <c r="C50" s="137" t="s">
        <v>1910</v>
      </c>
      <c r="D50" s="137" t="s">
        <v>1911</v>
      </c>
      <c r="E50" s="137" t="s">
        <v>6</v>
      </c>
      <c r="F50" s="137" t="s">
        <v>10</v>
      </c>
      <c r="G50" s="137" t="s">
        <v>13</v>
      </c>
      <c r="H50" s="138">
        <v>190</v>
      </c>
    </row>
    <row r="51" spans="1:8">
      <c r="A51" s="134">
        <v>49</v>
      </c>
      <c r="B51" s="134" t="s">
        <v>1818</v>
      </c>
      <c r="C51" s="152" t="s">
        <v>1912</v>
      </c>
      <c r="D51" s="152" t="s">
        <v>1913</v>
      </c>
      <c r="E51" s="152" t="s">
        <v>6</v>
      </c>
      <c r="F51" s="152" t="s">
        <v>7</v>
      </c>
      <c r="G51" s="152" t="s">
        <v>8</v>
      </c>
      <c r="H51" s="153">
        <v>274</v>
      </c>
    </row>
    <row r="52" spans="1:8">
      <c r="A52" s="134">
        <v>50</v>
      </c>
      <c r="B52" s="134" t="s">
        <v>1818</v>
      </c>
      <c r="C52" s="149" t="s">
        <v>1914</v>
      </c>
      <c r="D52" s="134" t="s">
        <v>1915</v>
      </c>
      <c r="G52" s="147" t="s">
        <v>8</v>
      </c>
      <c r="H52" s="154">
        <v>260</v>
      </c>
    </row>
    <row r="53" spans="1:8">
      <c r="A53" s="134">
        <v>51</v>
      </c>
      <c r="B53" s="134" t="s">
        <v>1818</v>
      </c>
      <c r="C53" s="137" t="s">
        <v>1916</v>
      </c>
      <c r="D53" s="137" t="s">
        <v>1917</v>
      </c>
      <c r="E53" s="137" t="s">
        <v>14</v>
      </c>
      <c r="F53" s="137" t="s">
        <v>10</v>
      </c>
      <c r="G53" s="137" t="s">
        <v>13</v>
      </c>
      <c r="H53" s="138">
        <v>190</v>
      </c>
    </row>
    <row r="54" spans="1:8">
      <c r="A54" s="134">
        <v>52</v>
      </c>
      <c r="B54" s="134" t="s">
        <v>1818</v>
      </c>
      <c r="C54" s="137" t="s">
        <v>1918</v>
      </c>
      <c r="D54" s="137" t="s">
        <v>1919</v>
      </c>
      <c r="E54" s="137" t="s">
        <v>6</v>
      </c>
      <c r="F54" s="137" t="s">
        <v>7</v>
      </c>
      <c r="G54" s="137" t="s">
        <v>8</v>
      </c>
      <c r="H54" s="138">
        <v>220</v>
      </c>
    </row>
    <row r="55" spans="1:8">
      <c r="A55" s="134">
        <v>53</v>
      </c>
      <c r="B55" s="134" t="s">
        <v>1818</v>
      </c>
      <c r="C55" s="137" t="s">
        <v>1920</v>
      </c>
      <c r="D55" s="137" t="s">
        <v>1921</v>
      </c>
      <c r="E55" s="137" t="s">
        <v>6</v>
      </c>
      <c r="F55" s="137" t="s">
        <v>7</v>
      </c>
      <c r="G55" s="137" t="s">
        <v>8</v>
      </c>
      <c r="H55" s="138">
        <v>180</v>
      </c>
    </row>
    <row r="56" spans="1:8">
      <c r="A56" s="134">
        <v>54</v>
      </c>
      <c r="B56" s="134" t="s">
        <v>1818</v>
      </c>
      <c r="C56" s="134" t="s">
        <v>1922</v>
      </c>
      <c r="D56" s="134" t="s">
        <v>1909</v>
      </c>
      <c r="E56" s="134" t="s">
        <v>18</v>
      </c>
      <c r="F56" s="134" t="s">
        <v>7</v>
      </c>
      <c r="G56" s="134" t="s">
        <v>8</v>
      </c>
      <c r="H56" s="140">
        <v>232</v>
      </c>
    </row>
    <row r="57" spans="1:8">
      <c r="A57" s="134">
        <v>55</v>
      </c>
      <c r="B57" s="134" t="s">
        <v>1818</v>
      </c>
      <c r="C57" s="137" t="s">
        <v>1909</v>
      </c>
      <c r="D57" s="137" t="s">
        <v>1923</v>
      </c>
      <c r="E57" s="137" t="s">
        <v>6</v>
      </c>
      <c r="F57" s="137" t="s">
        <v>7</v>
      </c>
      <c r="G57" s="137" t="s">
        <v>8</v>
      </c>
      <c r="H57" s="138">
        <v>190</v>
      </c>
    </row>
    <row r="58" spans="1:8">
      <c r="A58" s="134">
        <v>56</v>
      </c>
      <c r="B58" s="134" t="s">
        <v>1818</v>
      </c>
      <c r="C58" s="137" t="s">
        <v>1924</v>
      </c>
      <c r="D58" s="137" t="s">
        <v>1925</v>
      </c>
      <c r="E58" s="137" t="s">
        <v>14</v>
      </c>
      <c r="F58" s="137" t="s">
        <v>7</v>
      </c>
      <c r="G58" s="137" t="s">
        <v>8</v>
      </c>
      <c r="H58" s="138">
        <v>232</v>
      </c>
    </row>
    <row r="59" spans="1:8">
      <c r="A59" s="134">
        <v>57</v>
      </c>
      <c r="B59" s="134" t="s">
        <v>1818</v>
      </c>
      <c r="C59" s="137" t="s">
        <v>1926</v>
      </c>
      <c r="D59" s="137" t="s">
        <v>1927</v>
      </c>
      <c r="E59" s="137" t="s">
        <v>18</v>
      </c>
      <c r="F59" s="137" t="s">
        <v>7</v>
      </c>
      <c r="G59" s="137" t="s">
        <v>8</v>
      </c>
      <c r="H59" s="138">
        <v>232</v>
      </c>
    </row>
    <row r="60" spans="1:8">
      <c r="A60" s="134">
        <v>58</v>
      </c>
      <c r="B60" s="134" t="s">
        <v>1818</v>
      </c>
      <c r="C60" s="134" t="s">
        <v>1928</v>
      </c>
      <c r="D60" s="134" t="s">
        <v>1929</v>
      </c>
      <c r="E60" s="134" t="s">
        <v>12</v>
      </c>
      <c r="F60" s="134" t="s">
        <v>7</v>
      </c>
      <c r="G60" s="134" t="s">
        <v>8</v>
      </c>
      <c r="H60" s="140">
        <v>180</v>
      </c>
    </row>
    <row r="61" spans="1:8">
      <c r="A61" s="134">
        <v>59</v>
      </c>
      <c r="B61" s="134" t="s">
        <v>1818</v>
      </c>
      <c r="C61" s="149" t="s">
        <v>1930</v>
      </c>
      <c r="D61" s="134" t="s">
        <v>1931</v>
      </c>
      <c r="F61" s="134" t="s">
        <v>10</v>
      </c>
      <c r="G61" s="147" t="s">
        <v>8</v>
      </c>
      <c r="H61" s="154">
        <v>260</v>
      </c>
    </row>
    <row r="62" spans="1:8">
      <c r="A62" s="134">
        <v>60</v>
      </c>
      <c r="B62" s="134" t="s">
        <v>1818</v>
      </c>
      <c r="C62" s="134" t="s">
        <v>1932</v>
      </c>
      <c r="D62" s="135" t="s">
        <v>1933</v>
      </c>
      <c r="G62" s="134" t="s">
        <v>8</v>
      </c>
      <c r="H62" s="136">
        <v>220</v>
      </c>
    </row>
    <row r="63" spans="1:8">
      <c r="A63" s="134">
        <v>61</v>
      </c>
      <c r="B63" s="134" t="s">
        <v>1818</v>
      </c>
      <c r="C63" s="137" t="s">
        <v>1934</v>
      </c>
      <c r="D63" s="137" t="s">
        <v>1935</v>
      </c>
      <c r="E63" s="137" t="s">
        <v>18</v>
      </c>
      <c r="F63" s="137" t="s">
        <v>10</v>
      </c>
      <c r="G63" s="137" t="s">
        <v>8</v>
      </c>
      <c r="H63" s="138">
        <v>232</v>
      </c>
    </row>
    <row r="64" spans="1:8">
      <c r="A64" s="134">
        <v>62</v>
      </c>
      <c r="B64" s="134" t="s">
        <v>1818</v>
      </c>
      <c r="C64" s="137" t="s">
        <v>1936</v>
      </c>
      <c r="D64" s="137" t="s">
        <v>1937</v>
      </c>
      <c r="E64" s="137" t="s">
        <v>12</v>
      </c>
      <c r="F64" s="137" t="s">
        <v>10</v>
      </c>
      <c r="G64" s="137" t="s">
        <v>13</v>
      </c>
      <c r="H64" s="138">
        <v>322</v>
      </c>
    </row>
    <row r="65" spans="1:9">
      <c r="A65" s="134">
        <v>63</v>
      </c>
      <c r="B65" s="134" t="s">
        <v>1818</v>
      </c>
      <c r="C65" s="137" t="s">
        <v>1938</v>
      </c>
      <c r="D65" s="137" t="s">
        <v>1939</v>
      </c>
      <c r="E65" s="137" t="s">
        <v>16</v>
      </c>
      <c r="F65" s="137" t="s">
        <v>10</v>
      </c>
      <c r="G65" s="137" t="s">
        <v>13</v>
      </c>
      <c r="H65" s="138">
        <v>232</v>
      </c>
    </row>
    <row r="66" spans="1:9">
      <c r="A66" s="134">
        <v>64</v>
      </c>
      <c r="B66" s="134" t="s">
        <v>1818</v>
      </c>
      <c r="C66" s="137" t="s">
        <v>1940</v>
      </c>
      <c r="D66" s="137" t="s">
        <v>1941</v>
      </c>
      <c r="E66" s="137" t="s">
        <v>12</v>
      </c>
      <c r="F66" s="137" t="s">
        <v>7</v>
      </c>
      <c r="G66" s="137" t="s">
        <v>8</v>
      </c>
      <c r="H66" s="138">
        <v>232</v>
      </c>
    </row>
    <row r="67" spans="1:9">
      <c r="A67" s="134">
        <v>65</v>
      </c>
      <c r="B67" s="134" t="s">
        <v>1818</v>
      </c>
      <c r="C67" s="137" t="s">
        <v>1942</v>
      </c>
      <c r="D67" s="137" t="s">
        <v>1943</v>
      </c>
      <c r="E67" s="137" t="s">
        <v>18</v>
      </c>
      <c r="F67" s="137" t="s">
        <v>10</v>
      </c>
      <c r="G67" s="137" t="s">
        <v>13</v>
      </c>
      <c r="H67" s="138">
        <v>190</v>
      </c>
    </row>
    <row r="68" spans="1:9">
      <c r="A68" s="134">
        <v>66</v>
      </c>
      <c r="B68" s="134" t="s">
        <v>1818</v>
      </c>
      <c r="C68" s="137" t="s">
        <v>1944</v>
      </c>
      <c r="D68" s="137" t="s">
        <v>1945</v>
      </c>
      <c r="E68" s="137" t="s">
        <v>18</v>
      </c>
      <c r="F68" s="137" t="s">
        <v>7</v>
      </c>
      <c r="G68" s="137" t="s">
        <v>8</v>
      </c>
      <c r="H68" s="138">
        <v>190</v>
      </c>
    </row>
    <row r="69" spans="1:9">
      <c r="A69" s="134">
        <v>67</v>
      </c>
      <c r="B69" s="134" t="s">
        <v>1818</v>
      </c>
      <c r="C69" s="137" t="s">
        <v>1946</v>
      </c>
      <c r="D69" s="137" t="s">
        <v>1947</v>
      </c>
      <c r="E69" s="137" t="s">
        <v>6</v>
      </c>
      <c r="F69" s="137" t="s">
        <v>7</v>
      </c>
      <c r="G69" s="137" t="s">
        <v>8</v>
      </c>
      <c r="H69" s="138">
        <v>232</v>
      </c>
    </row>
    <row r="70" spans="1:9">
      <c r="A70" s="134">
        <v>68</v>
      </c>
      <c r="B70" s="134" t="s">
        <v>1818</v>
      </c>
      <c r="C70" s="137" t="s">
        <v>1948</v>
      </c>
      <c r="D70" s="137" t="s">
        <v>1949</v>
      </c>
      <c r="E70" s="137" t="s">
        <v>18</v>
      </c>
      <c r="F70" s="137" t="s">
        <v>7</v>
      </c>
      <c r="G70" s="137" t="s">
        <v>8</v>
      </c>
      <c r="H70" s="138">
        <v>190</v>
      </c>
    </row>
    <row r="71" spans="1:9">
      <c r="A71" s="134">
        <v>69</v>
      </c>
      <c r="B71" s="134" t="s">
        <v>1818</v>
      </c>
      <c r="C71" s="137" t="s">
        <v>1948</v>
      </c>
      <c r="D71" s="137" t="s">
        <v>1944</v>
      </c>
      <c r="E71" s="137" t="s">
        <v>6</v>
      </c>
      <c r="F71" s="137" t="s">
        <v>7</v>
      </c>
      <c r="G71" s="137" t="s">
        <v>8</v>
      </c>
      <c r="H71" s="138">
        <v>200</v>
      </c>
    </row>
    <row r="72" spans="1:9">
      <c r="A72" s="134">
        <v>70</v>
      </c>
      <c r="B72" s="134" t="s">
        <v>1818</v>
      </c>
      <c r="C72" s="134" t="s">
        <v>1948</v>
      </c>
      <c r="D72" s="134" t="s">
        <v>1874</v>
      </c>
      <c r="E72" s="134" t="s">
        <v>6</v>
      </c>
      <c r="F72" s="134" t="s">
        <v>7</v>
      </c>
      <c r="G72" s="134" t="s">
        <v>8</v>
      </c>
      <c r="H72" s="140">
        <v>180</v>
      </c>
    </row>
    <row r="73" spans="1:9">
      <c r="A73" s="134">
        <v>71</v>
      </c>
      <c r="B73" s="134" t="s">
        <v>1818</v>
      </c>
      <c r="C73" s="134" t="s">
        <v>1950</v>
      </c>
      <c r="D73" s="134" t="s">
        <v>1951</v>
      </c>
      <c r="E73" s="134" t="s">
        <v>6</v>
      </c>
      <c r="F73" s="134" t="s">
        <v>7</v>
      </c>
      <c r="G73" s="134" t="s">
        <v>8</v>
      </c>
      <c r="H73" s="140">
        <v>180</v>
      </c>
    </row>
    <row r="74" spans="1:9">
      <c r="A74" s="134">
        <v>72</v>
      </c>
      <c r="B74" s="134" t="s">
        <v>1818</v>
      </c>
      <c r="C74" s="134" t="s">
        <v>1952</v>
      </c>
      <c r="D74" s="135" t="s">
        <v>1953</v>
      </c>
      <c r="E74" s="134" t="s">
        <v>6</v>
      </c>
      <c r="F74" s="134" t="s">
        <v>7</v>
      </c>
      <c r="G74" s="134" t="s">
        <v>8</v>
      </c>
      <c r="H74" s="136">
        <v>180</v>
      </c>
    </row>
    <row r="75" spans="1:9">
      <c r="A75" s="134">
        <v>73</v>
      </c>
      <c r="B75" s="134" t="s">
        <v>1818</v>
      </c>
      <c r="C75" s="149" t="s">
        <v>1954</v>
      </c>
      <c r="D75" s="134" t="s">
        <v>1955</v>
      </c>
      <c r="G75" s="147" t="s">
        <v>8</v>
      </c>
      <c r="H75" s="155">
        <v>220</v>
      </c>
    </row>
    <row r="76" spans="1:9">
      <c r="A76" s="134">
        <v>74</v>
      </c>
      <c r="B76" s="134" t="s">
        <v>1818</v>
      </c>
      <c r="C76" s="134" t="s">
        <v>1956</v>
      </c>
      <c r="D76" s="134" t="s">
        <v>1957</v>
      </c>
      <c r="E76" s="134" t="s">
        <v>14</v>
      </c>
      <c r="F76" s="134" t="s">
        <v>7</v>
      </c>
      <c r="G76" s="134" t="s">
        <v>8</v>
      </c>
      <c r="H76" s="140">
        <v>190</v>
      </c>
      <c r="I76" s="156"/>
    </row>
    <row r="77" spans="1:9">
      <c r="A77" s="134">
        <v>75</v>
      </c>
      <c r="B77" s="134" t="s">
        <v>1818</v>
      </c>
      <c r="C77" s="137" t="s">
        <v>1958</v>
      </c>
      <c r="D77" s="137" t="s">
        <v>1959</v>
      </c>
      <c r="E77" s="137" t="s">
        <v>18</v>
      </c>
      <c r="F77" s="137" t="s">
        <v>7</v>
      </c>
      <c r="G77" s="137" t="s">
        <v>8</v>
      </c>
      <c r="H77" s="138">
        <v>180</v>
      </c>
    </row>
    <row r="78" spans="1:9">
      <c r="A78" s="134">
        <v>76</v>
      </c>
      <c r="B78" s="134" t="s">
        <v>1818</v>
      </c>
      <c r="C78" s="137" t="s">
        <v>1960</v>
      </c>
      <c r="D78" s="137" t="s">
        <v>1961</v>
      </c>
      <c r="E78" s="137" t="s">
        <v>6</v>
      </c>
      <c r="F78" s="137" t="s">
        <v>7</v>
      </c>
      <c r="G78" s="137" t="s">
        <v>8</v>
      </c>
      <c r="H78" s="138">
        <v>180</v>
      </c>
    </row>
    <row r="79" spans="1:9" ht="33">
      <c r="A79" s="134">
        <v>77</v>
      </c>
      <c r="B79" s="134" t="s">
        <v>1818</v>
      </c>
      <c r="C79" s="134" t="s">
        <v>1962</v>
      </c>
      <c r="D79" s="135" t="s">
        <v>1963</v>
      </c>
      <c r="E79" s="134" t="s">
        <v>9</v>
      </c>
      <c r="F79" s="134" t="s">
        <v>7</v>
      </c>
      <c r="G79" s="134" t="s">
        <v>8</v>
      </c>
      <c r="H79" s="136">
        <v>180</v>
      </c>
    </row>
    <row r="80" spans="1:9">
      <c r="A80" s="134">
        <v>78</v>
      </c>
      <c r="B80" s="134" t="s">
        <v>1818</v>
      </c>
      <c r="C80" s="137" t="s">
        <v>1964</v>
      </c>
      <c r="D80" s="137" t="s">
        <v>1965</v>
      </c>
      <c r="E80" s="137" t="s">
        <v>14</v>
      </c>
      <c r="F80" s="137" t="s">
        <v>7</v>
      </c>
      <c r="G80" s="137" t="s">
        <v>8</v>
      </c>
      <c r="H80" s="138">
        <v>190</v>
      </c>
    </row>
    <row r="81" spans="1:9">
      <c r="A81" s="134">
        <v>79</v>
      </c>
      <c r="B81" s="134" t="s">
        <v>1818</v>
      </c>
      <c r="C81" s="137" t="s">
        <v>1966</v>
      </c>
      <c r="D81" s="137" t="s">
        <v>1967</v>
      </c>
      <c r="E81" s="137" t="s">
        <v>16</v>
      </c>
      <c r="F81" s="137" t="s">
        <v>7</v>
      </c>
      <c r="G81" s="137" t="s">
        <v>8</v>
      </c>
      <c r="H81" s="138">
        <v>232</v>
      </c>
    </row>
    <row r="82" spans="1:9">
      <c r="A82" s="134">
        <v>80</v>
      </c>
      <c r="B82" s="134" t="s">
        <v>1818</v>
      </c>
      <c r="C82" s="137" t="s">
        <v>1968</v>
      </c>
      <c r="D82" s="137" t="s">
        <v>1969</v>
      </c>
      <c r="E82" s="137" t="s">
        <v>6</v>
      </c>
      <c r="F82" s="137" t="s">
        <v>10</v>
      </c>
      <c r="G82" s="137" t="s">
        <v>8</v>
      </c>
      <c r="H82" s="138">
        <v>190</v>
      </c>
    </row>
    <row r="83" spans="1:9">
      <c r="A83" s="134">
        <v>81</v>
      </c>
      <c r="B83" s="134" t="s">
        <v>1818</v>
      </c>
      <c r="C83" s="134" t="s">
        <v>1970</v>
      </c>
      <c r="D83" s="135" t="s">
        <v>1971</v>
      </c>
      <c r="E83" s="134" t="s">
        <v>14</v>
      </c>
      <c r="F83" s="134" t="s">
        <v>7</v>
      </c>
      <c r="G83" s="134" t="s">
        <v>8</v>
      </c>
      <c r="H83" s="136">
        <v>180</v>
      </c>
    </row>
    <row r="84" spans="1:9">
      <c r="A84" s="134">
        <v>82</v>
      </c>
      <c r="B84" s="134" t="s">
        <v>1818</v>
      </c>
      <c r="C84" s="137" t="s">
        <v>1972</v>
      </c>
      <c r="D84" s="137" t="s">
        <v>1973</v>
      </c>
      <c r="E84" s="137" t="s">
        <v>16</v>
      </c>
      <c r="F84" s="137" t="s">
        <v>7</v>
      </c>
      <c r="G84" s="137" t="s">
        <v>8</v>
      </c>
      <c r="H84" s="138">
        <v>180</v>
      </c>
    </row>
    <row r="85" spans="1:9">
      <c r="A85" s="134">
        <v>83</v>
      </c>
      <c r="B85" s="134" t="s">
        <v>1818</v>
      </c>
      <c r="C85" s="146" t="s">
        <v>1974</v>
      </c>
      <c r="D85" s="146" t="s">
        <v>1975</v>
      </c>
      <c r="E85" s="134" t="s">
        <v>15</v>
      </c>
      <c r="F85" s="134" t="s">
        <v>7</v>
      </c>
      <c r="G85" s="146" t="s">
        <v>8</v>
      </c>
      <c r="H85" s="140">
        <v>220</v>
      </c>
    </row>
    <row r="86" spans="1:9">
      <c r="A86" s="134">
        <v>84</v>
      </c>
      <c r="B86" s="134" t="s">
        <v>1818</v>
      </c>
      <c r="C86" s="134" t="s">
        <v>1976</v>
      </c>
      <c r="D86" s="134" t="s">
        <v>1977</v>
      </c>
      <c r="E86" s="134" t="s">
        <v>6</v>
      </c>
      <c r="F86" s="134" t="s">
        <v>7</v>
      </c>
      <c r="G86" s="134" t="s">
        <v>8</v>
      </c>
      <c r="H86" s="140">
        <v>180</v>
      </c>
    </row>
    <row r="87" spans="1:9">
      <c r="A87" s="134">
        <v>85</v>
      </c>
      <c r="B87" s="134" t="s">
        <v>1818</v>
      </c>
      <c r="C87" s="137" t="s">
        <v>1978</v>
      </c>
      <c r="D87" s="137" t="s">
        <v>1979</v>
      </c>
      <c r="E87" s="137" t="s">
        <v>6</v>
      </c>
      <c r="F87" s="137" t="s">
        <v>7</v>
      </c>
      <c r="G87" s="137" t="s">
        <v>8</v>
      </c>
      <c r="H87" s="138">
        <v>220</v>
      </c>
    </row>
    <row r="88" spans="1:9">
      <c r="A88" s="134">
        <v>86</v>
      </c>
      <c r="B88" s="134" t="s">
        <v>1818</v>
      </c>
      <c r="C88" s="137" t="s">
        <v>1980</v>
      </c>
      <c r="D88" s="137" t="s">
        <v>1981</v>
      </c>
      <c r="E88" s="137" t="s">
        <v>14</v>
      </c>
      <c r="F88" s="137" t="s">
        <v>7</v>
      </c>
      <c r="G88" s="137" t="s">
        <v>8</v>
      </c>
      <c r="H88" s="138">
        <v>232</v>
      </c>
    </row>
    <row r="89" spans="1:9">
      <c r="A89" s="134">
        <v>87</v>
      </c>
      <c r="B89" s="134" t="s">
        <v>1818</v>
      </c>
      <c r="C89" s="137" t="s">
        <v>1982</v>
      </c>
      <c r="D89" s="137" t="s">
        <v>1983</v>
      </c>
      <c r="E89" s="137" t="s">
        <v>18</v>
      </c>
      <c r="F89" s="137" t="s">
        <v>7</v>
      </c>
      <c r="G89" s="137" t="s">
        <v>13</v>
      </c>
      <c r="H89" s="138">
        <v>190</v>
      </c>
    </row>
    <row r="90" spans="1:9">
      <c r="A90" s="134">
        <v>88</v>
      </c>
      <c r="B90" s="134" t="s">
        <v>1818</v>
      </c>
      <c r="C90" s="137" t="s">
        <v>1984</v>
      </c>
      <c r="D90" s="137" t="s">
        <v>1985</v>
      </c>
      <c r="E90" s="137" t="s">
        <v>12</v>
      </c>
      <c r="F90" s="137" t="s">
        <v>7</v>
      </c>
      <c r="G90" s="137" t="s">
        <v>13</v>
      </c>
      <c r="H90" s="138">
        <v>132</v>
      </c>
    </row>
    <row r="91" spans="1:9">
      <c r="A91" s="134">
        <v>89</v>
      </c>
      <c r="B91" s="134" t="s">
        <v>1818</v>
      </c>
      <c r="C91" s="134" t="s">
        <v>1986</v>
      </c>
      <c r="D91" s="134" t="s">
        <v>1987</v>
      </c>
      <c r="E91" s="134" t="s">
        <v>6</v>
      </c>
      <c r="H91" s="140">
        <v>227</v>
      </c>
    </row>
    <row r="92" spans="1:9">
      <c r="A92" s="134">
        <v>90</v>
      </c>
      <c r="B92" s="134" t="s">
        <v>1818</v>
      </c>
      <c r="C92" s="137" t="s">
        <v>1988</v>
      </c>
      <c r="D92" s="137" t="s">
        <v>1989</v>
      </c>
      <c r="E92" s="137" t="s">
        <v>6</v>
      </c>
      <c r="F92" s="137" t="s">
        <v>10</v>
      </c>
      <c r="G92" s="137" t="s">
        <v>13</v>
      </c>
      <c r="H92" s="138">
        <v>190</v>
      </c>
    </row>
    <row r="93" spans="1:9">
      <c r="A93" s="134">
        <v>91</v>
      </c>
      <c r="B93" s="134" t="s">
        <v>1818</v>
      </c>
      <c r="C93" s="152" t="s">
        <v>1990</v>
      </c>
      <c r="D93" s="152" t="s">
        <v>1991</v>
      </c>
      <c r="E93" s="152" t="s">
        <v>14</v>
      </c>
      <c r="F93" s="152" t="s">
        <v>7</v>
      </c>
      <c r="G93" s="152" t="s">
        <v>13</v>
      </c>
      <c r="H93" s="157">
        <v>227</v>
      </c>
    </row>
    <row r="94" spans="1:9">
      <c r="A94" s="134">
        <v>92</v>
      </c>
      <c r="B94" s="134" t="s">
        <v>1818</v>
      </c>
      <c r="C94" s="137" t="s">
        <v>1992</v>
      </c>
      <c r="D94" s="137" t="s">
        <v>1993</v>
      </c>
      <c r="E94" s="137" t="s">
        <v>15</v>
      </c>
      <c r="F94" s="137" t="s">
        <v>7</v>
      </c>
      <c r="G94" s="137" t="s">
        <v>13</v>
      </c>
      <c r="H94" s="138">
        <v>190</v>
      </c>
    </row>
    <row r="95" spans="1:9" s="158" customFormat="1">
      <c r="A95" s="158">
        <v>93</v>
      </c>
      <c r="B95" s="134" t="s">
        <v>1818</v>
      </c>
      <c r="C95" s="158" t="s">
        <v>1994</v>
      </c>
      <c r="D95" s="158" t="s">
        <v>1995</v>
      </c>
      <c r="F95" s="158" t="s">
        <v>10</v>
      </c>
      <c r="H95" s="159"/>
      <c r="I95" s="158" t="s">
        <v>19</v>
      </c>
    </row>
    <row r="96" spans="1:9">
      <c r="A96" s="134">
        <v>94</v>
      </c>
      <c r="B96" s="134" t="s">
        <v>1818</v>
      </c>
      <c r="C96" s="137" t="s">
        <v>1996</v>
      </c>
      <c r="D96" s="137" t="s">
        <v>1997</v>
      </c>
      <c r="E96" s="137" t="s">
        <v>18</v>
      </c>
      <c r="F96" s="137" t="s">
        <v>7</v>
      </c>
      <c r="G96" s="137" t="s">
        <v>8</v>
      </c>
      <c r="H96" s="138">
        <v>232</v>
      </c>
    </row>
    <row r="97" spans="1:8">
      <c r="A97" s="134">
        <v>95</v>
      </c>
      <c r="B97" s="134" t="s">
        <v>1818</v>
      </c>
      <c r="C97" s="137" t="s">
        <v>1998</v>
      </c>
      <c r="D97" s="137" t="s">
        <v>1999</v>
      </c>
      <c r="E97" s="137" t="s">
        <v>14</v>
      </c>
      <c r="F97" s="137" t="s">
        <v>10</v>
      </c>
      <c r="G97" s="137" t="s">
        <v>13</v>
      </c>
      <c r="H97" s="138">
        <v>232</v>
      </c>
    </row>
    <row r="98" spans="1:8">
      <c r="A98" s="134">
        <v>96</v>
      </c>
      <c r="B98" s="134" t="s">
        <v>1818</v>
      </c>
      <c r="C98" s="137" t="s">
        <v>1998</v>
      </c>
      <c r="D98" s="137" t="s">
        <v>2000</v>
      </c>
      <c r="E98" s="137" t="s">
        <v>14</v>
      </c>
      <c r="F98" s="137" t="s">
        <v>7</v>
      </c>
      <c r="G98" s="137" t="s">
        <v>13</v>
      </c>
      <c r="H98" s="138">
        <v>190</v>
      </c>
    </row>
    <row r="99" spans="1:8">
      <c r="A99" s="134">
        <v>97</v>
      </c>
      <c r="B99" s="134" t="s">
        <v>1818</v>
      </c>
      <c r="C99" s="137" t="s">
        <v>2001</v>
      </c>
      <c r="D99" s="137" t="s">
        <v>2002</v>
      </c>
      <c r="E99" s="137" t="s">
        <v>6</v>
      </c>
      <c r="F99" s="137" t="s">
        <v>10</v>
      </c>
      <c r="G99" s="137" t="s">
        <v>17</v>
      </c>
      <c r="H99" s="138">
        <v>190</v>
      </c>
    </row>
    <row r="100" spans="1:8">
      <c r="A100" s="134">
        <v>98</v>
      </c>
      <c r="B100" s="134" t="s">
        <v>1818</v>
      </c>
      <c r="C100" s="146" t="s">
        <v>2003</v>
      </c>
      <c r="D100" s="146" t="s">
        <v>2004</v>
      </c>
      <c r="E100" s="134" t="s">
        <v>9</v>
      </c>
      <c r="F100" s="134" t="s">
        <v>7</v>
      </c>
      <c r="G100" s="146" t="s">
        <v>8</v>
      </c>
      <c r="H100" s="140">
        <v>180</v>
      </c>
    </row>
    <row r="101" spans="1:8" ht="33">
      <c r="A101" s="134">
        <v>99</v>
      </c>
      <c r="B101" s="134" t="s">
        <v>1818</v>
      </c>
      <c r="C101" s="137" t="s">
        <v>2005</v>
      </c>
      <c r="D101" s="137" t="s">
        <v>2006</v>
      </c>
      <c r="E101" s="137" t="s">
        <v>16</v>
      </c>
      <c r="F101" s="137" t="s">
        <v>7</v>
      </c>
      <c r="G101" s="137" t="s">
        <v>8</v>
      </c>
      <c r="H101" s="138">
        <v>180</v>
      </c>
    </row>
    <row r="102" spans="1:8">
      <c r="A102" s="134">
        <v>100</v>
      </c>
      <c r="B102" s="134" t="s">
        <v>1818</v>
      </c>
      <c r="C102" s="146" t="s">
        <v>2007</v>
      </c>
      <c r="D102" s="146" t="s">
        <v>2008</v>
      </c>
      <c r="E102" s="134" t="s">
        <v>9</v>
      </c>
      <c r="G102" s="146" t="s">
        <v>8</v>
      </c>
      <c r="H102" s="140">
        <v>180</v>
      </c>
    </row>
    <row r="103" spans="1:8">
      <c r="A103" s="134">
        <v>101</v>
      </c>
      <c r="B103" s="134" t="s">
        <v>1818</v>
      </c>
      <c r="C103" s="134" t="s">
        <v>2009</v>
      </c>
      <c r="D103" s="134" t="s">
        <v>2010</v>
      </c>
      <c r="F103" s="137" t="s">
        <v>10</v>
      </c>
      <c r="G103" s="134" t="s">
        <v>20</v>
      </c>
      <c r="H103" s="140">
        <v>160</v>
      </c>
    </row>
    <row r="104" spans="1:8">
      <c r="A104" s="134">
        <v>102</v>
      </c>
      <c r="B104" s="134" t="s">
        <v>1818</v>
      </c>
      <c r="C104" s="137" t="s">
        <v>2011</v>
      </c>
      <c r="D104" s="137" t="s">
        <v>2012</v>
      </c>
      <c r="E104" s="137" t="s">
        <v>16</v>
      </c>
      <c r="F104" s="137" t="s">
        <v>7</v>
      </c>
      <c r="G104" s="137" t="s">
        <v>8</v>
      </c>
      <c r="H104" s="138">
        <v>190</v>
      </c>
    </row>
    <row r="105" spans="1:8">
      <c r="A105" s="134">
        <v>103</v>
      </c>
      <c r="B105" s="134" t="s">
        <v>1818</v>
      </c>
      <c r="C105" s="137" t="s">
        <v>2013</v>
      </c>
      <c r="D105" s="137" t="s">
        <v>2014</v>
      </c>
      <c r="E105" s="137" t="s">
        <v>18</v>
      </c>
      <c r="F105" s="137" t="s">
        <v>7</v>
      </c>
      <c r="G105" s="137" t="s">
        <v>8</v>
      </c>
      <c r="H105" s="138">
        <v>180</v>
      </c>
    </row>
    <row r="106" spans="1:8">
      <c r="A106" s="134">
        <v>104</v>
      </c>
      <c r="B106" s="134" t="s">
        <v>1818</v>
      </c>
      <c r="C106" s="152" t="s">
        <v>2015</v>
      </c>
      <c r="D106" s="152" t="s">
        <v>2016</v>
      </c>
      <c r="E106" s="152" t="s">
        <v>14</v>
      </c>
      <c r="F106" s="152" t="s">
        <v>7</v>
      </c>
      <c r="G106" s="152" t="s">
        <v>13</v>
      </c>
      <c r="H106" s="157">
        <v>227</v>
      </c>
    </row>
    <row r="107" spans="1:8">
      <c r="A107" s="134">
        <v>105</v>
      </c>
      <c r="B107" s="134" t="s">
        <v>1818</v>
      </c>
      <c r="C107" s="139" t="s">
        <v>2017</v>
      </c>
      <c r="D107" s="134" t="s">
        <v>2018</v>
      </c>
      <c r="E107" s="134" t="s">
        <v>9</v>
      </c>
      <c r="F107" s="134" t="s">
        <v>7</v>
      </c>
      <c r="G107" s="134" t="s">
        <v>8</v>
      </c>
      <c r="H107" s="141">
        <v>215</v>
      </c>
    </row>
    <row r="108" spans="1:8">
      <c r="A108" s="134">
        <v>106</v>
      </c>
      <c r="B108" s="134" t="s">
        <v>1818</v>
      </c>
      <c r="C108" s="137" t="s">
        <v>2019</v>
      </c>
      <c r="D108" s="137" t="s">
        <v>2020</v>
      </c>
      <c r="E108" s="137" t="s">
        <v>18</v>
      </c>
      <c r="F108" s="137" t="s">
        <v>7</v>
      </c>
      <c r="G108" s="137" t="s">
        <v>13</v>
      </c>
      <c r="H108" s="138">
        <v>190</v>
      </c>
    </row>
    <row r="109" spans="1:8">
      <c r="A109" s="134">
        <v>107</v>
      </c>
      <c r="B109" s="134" t="s">
        <v>1818</v>
      </c>
      <c r="C109" s="139" t="s">
        <v>2021</v>
      </c>
      <c r="D109" s="134" t="s">
        <v>2022</v>
      </c>
      <c r="E109" s="134" t="s">
        <v>9</v>
      </c>
      <c r="G109" s="134" t="s">
        <v>8</v>
      </c>
      <c r="H109" s="141">
        <v>220</v>
      </c>
    </row>
    <row r="110" spans="1:8">
      <c r="A110" s="134">
        <v>108</v>
      </c>
      <c r="B110" s="134" t="s">
        <v>1818</v>
      </c>
      <c r="C110" s="137" t="s">
        <v>2023</v>
      </c>
      <c r="D110" s="137" t="s">
        <v>2024</v>
      </c>
      <c r="E110" s="137" t="s">
        <v>16</v>
      </c>
      <c r="F110" s="137" t="s">
        <v>7</v>
      </c>
      <c r="G110" s="137" t="s">
        <v>8</v>
      </c>
      <c r="H110" s="138">
        <v>232</v>
      </c>
    </row>
    <row r="111" spans="1:8">
      <c r="A111" s="134">
        <v>109</v>
      </c>
      <c r="B111" s="134" t="s">
        <v>1818</v>
      </c>
      <c r="C111" s="137" t="s">
        <v>2025</v>
      </c>
      <c r="D111" s="137" t="s">
        <v>2026</v>
      </c>
      <c r="E111" s="137" t="s">
        <v>6</v>
      </c>
      <c r="F111" s="137" t="s">
        <v>7</v>
      </c>
      <c r="G111" s="137" t="s">
        <v>8</v>
      </c>
      <c r="H111" s="138">
        <v>220</v>
      </c>
    </row>
    <row r="112" spans="1:8">
      <c r="A112" s="134">
        <v>110</v>
      </c>
      <c r="B112" s="134" t="s">
        <v>1818</v>
      </c>
      <c r="C112" s="139" t="s">
        <v>2027</v>
      </c>
      <c r="D112" s="139" t="s">
        <v>2028</v>
      </c>
      <c r="E112" s="139" t="s">
        <v>9</v>
      </c>
      <c r="F112" s="137" t="s">
        <v>10</v>
      </c>
      <c r="G112" s="134" t="s">
        <v>11</v>
      </c>
      <c r="H112" s="160">
        <v>180</v>
      </c>
    </row>
    <row r="113" spans="1:9">
      <c r="A113" s="134">
        <v>111</v>
      </c>
      <c r="B113" s="134" t="s">
        <v>1818</v>
      </c>
      <c r="C113" s="137" t="s">
        <v>2029</v>
      </c>
      <c r="D113" s="137" t="s">
        <v>2030</v>
      </c>
      <c r="E113" s="137" t="s">
        <v>18</v>
      </c>
      <c r="F113" s="137" t="s">
        <v>7</v>
      </c>
      <c r="G113" s="137" t="s">
        <v>8</v>
      </c>
      <c r="H113" s="138">
        <v>190</v>
      </c>
    </row>
    <row r="114" spans="1:9" ht="33.950000000000003" customHeight="1">
      <c r="A114" s="134">
        <v>112</v>
      </c>
      <c r="B114" s="134" t="s">
        <v>1818</v>
      </c>
      <c r="C114" s="137" t="s">
        <v>2031</v>
      </c>
      <c r="D114" s="137" t="s">
        <v>1873</v>
      </c>
      <c r="E114" s="137" t="s">
        <v>18</v>
      </c>
      <c r="F114" s="137" t="s">
        <v>7</v>
      </c>
      <c r="G114" s="137" t="s">
        <v>8</v>
      </c>
      <c r="H114" s="138">
        <v>232</v>
      </c>
    </row>
    <row r="115" spans="1:9">
      <c r="A115" s="134">
        <v>113</v>
      </c>
      <c r="B115" s="134" t="s">
        <v>1818</v>
      </c>
      <c r="C115" s="149" t="s">
        <v>2032</v>
      </c>
      <c r="D115" s="134" t="s">
        <v>2033</v>
      </c>
      <c r="E115" s="134" t="s">
        <v>6</v>
      </c>
      <c r="F115" s="134" t="s">
        <v>7</v>
      </c>
      <c r="G115" s="147" t="s">
        <v>8</v>
      </c>
      <c r="H115" s="154">
        <v>180</v>
      </c>
    </row>
    <row r="116" spans="1:9">
      <c r="A116" s="134">
        <v>114</v>
      </c>
      <c r="B116" s="134" t="s">
        <v>1818</v>
      </c>
      <c r="C116" s="137" t="s">
        <v>2034</v>
      </c>
      <c r="D116" s="137" t="s">
        <v>2035</v>
      </c>
      <c r="E116" s="137" t="s">
        <v>16</v>
      </c>
      <c r="F116" s="137" t="s">
        <v>7</v>
      </c>
      <c r="G116" s="137" t="s">
        <v>8</v>
      </c>
      <c r="H116" s="138">
        <v>220</v>
      </c>
    </row>
    <row r="117" spans="1:9">
      <c r="A117" s="134">
        <v>115</v>
      </c>
      <c r="B117" s="134" t="s">
        <v>1818</v>
      </c>
      <c r="C117" s="149" t="s">
        <v>2036</v>
      </c>
      <c r="D117" s="134" t="s">
        <v>2037</v>
      </c>
      <c r="E117" s="134" t="s">
        <v>15</v>
      </c>
      <c r="F117" s="134" t="s">
        <v>10</v>
      </c>
      <c r="G117" s="147" t="s">
        <v>8</v>
      </c>
      <c r="H117" s="154">
        <v>180</v>
      </c>
    </row>
    <row r="118" spans="1:9">
      <c r="A118" s="134">
        <v>116</v>
      </c>
      <c r="B118" s="134" t="s">
        <v>1818</v>
      </c>
      <c r="C118" s="134" t="s">
        <v>2038</v>
      </c>
      <c r="D118" s="134" t="s">
        <v>2039</v>
      </c>
      <c r="E118" s="134" t="s">
        <v>6</v>
      </c>
      <c r="F118" s="134" t="s">
        <v>7</v>
      </c>
      <c r="G118" s="134" t="s">
        <v>8</v>
      </c>
      <c r="H118" s="140">
        <v>180</v>
      </c>
      <c r="I118" s="156"/>
    </row>
    <row r="119" spans="1:9">
      <c r="A119" s="134">
        <v>117</v>
      </c>
      <c r="B119" s="134" t="s">
        <v>1818</v>
      </c>
      <c r="C119" s="137" t="s">
        <v>2040</v>
      </c>
      <c r="D119" s="137" t="s">
        <v>2041</v>
      </c>
      <c r="E119" s="137" t="s">
        <v>6</v>
      </c>
      <c r="F119" s="137" t="s">
        <v>7</v>
      </c>
      <c r="G119" s="137" t="s">
        <v>8</v>
      </c>
      <c r="H119" s="138">
        <v>180</v>
      </c>
    </row>
    <row r="120" spans="1:9" ht="33">
      <c r="A120" s="134">
        <v>118</v>
      </c>
      <c r="B120" s="134" t="s">
        <v>1818</v>
      </c>
      <c r="C120" s="137" t="s">
        <v>2042</v>
      </c>
      <c r="D120" s="137" t="s">
        <v>2043</v>
      </c>
      <c r="E120" s="137" t="s">
        <v>16</v>
      </c>
      <c r="F120" s="137" t="s">
        <v>10</v>
      </c>
      <c r="G120" s="137" t="s">
        <v>13</v>
      </c>
      <c r="H120" s="138">
        <v>232</v>
      </c>
    </row>
    <row r="121" spans="1:9" ht="21.75" customHeight="1">
      <c r="A121" s="134">
        <v>119</v>
      </c>
      <c r="B121" s="134" t="s">
        <v>1818</v>
      </c>
      <c r="C121" s="152" t="s">
        <v>2044</v>
      </c>
      <c r="D121" s="152" t="s">
        <v>2045</v>
      </c>
      <c r="E121" s="152" t="s">
        <v>14</v>
      </c>
      <c r="F121" s="152" t="s">
        <v>7</v>
      </c>
      <c r="G121" s="152" t="s">
        <v>13</v>
      </c>
      <c r="H121" s="157">
        <v>227</v>
      </c>
    </row>
    <row r="122" spans="1:9">
      <c r="A122" s="134">
        <v>120</v>
      </c>
      <c r="B122" s="134" t="s">
        <v>1818</v>
      </c>
      <c r="C122" s="134" t="s">
        <v>2046</v>
      </c>
      <c r="D122" s="134" t="s">
        <v>2047</v>
      </c>
      <c r="E122" s="134" t="s">
        <v>12</v>
      </c>
      <c r="F122" s="134" t="s">
        <v>10</v>
      </c>
      <c r="G122" s="134" t="s">
        <v>8</v>
      </c>
      <c r="H122" s="140">
        <v>232</v>
      </c>
    </row>
    <row r="123" spans="1:9">
      <c r="A123" s="134">
        <v>121</v>
      </c>
      <c r="B123" s="134" t="s">
        <v>1818</v>
      </c>
      <c r="C123" s="134" t="s">
        <v>2048</v>
      </c>
      <c r="D123" s="134" t="s">
        <v>2049</v>
      </c>
      <c r="E123" s="134" t="s">
        <v>18</v>
      </c>
      <c r="F123" s="134" t="s">
        <v>10</v>
      </c>
      <c r="G123" s="134" t="s">
        <v>8</v>
      </c>
      <c r="H123" s="140">
        <v>125</v>
      </c>
    </row>
    <row r="124" spans="1:9">
      <c r="A124" s="134">
        <v>122</v>
      </c>
      <c r="B124" s="134" t="s">
        <v>1818</v>
      </c>
      <c r="C124" s="137" t="s">
        <v>2050</v>
      </c>
      <c r="D124" s="137" t="s">
        <v>2051</v>
      </c>
      <c r="E124" s="137" t="s">
        <v>12</v>
      </c>
      <c r="F124" s="137" t="s">
        <v>7</v>
      </c>
      <c r="G124" s="137" t="s">
        <v>8</v>
      </c>
      <c r="H124" s="138">
        <v>180</v>
      </c>
    </row>
    <row r="125" spans="1:9">
      <c r="A125" s="134">
        <v>123</v>
      </c>
      <c r="B125" s="134" t="s">
        <v>1818</v>
      </c>
      <c r="C125" s="137" t="s">
        <v>2052</v>
      </c>
      <c r="D125" s="137" t="s">
        <v>2053</v>
      </c>
      <c r="E125" s="137" t="s">
        <v>18</v>
      </c>
      <c r="F125" s="137" t="s">
        <v>7</v>
      </c>
      <c r="G125" s="137" t="s">
        <v>13</v>
      </c>
      <c r="H125" s="138">
        <v>227</v>
      </c>
    </row>
    <row r="126" spans="1:9">
      <c r="A126" s="134">
        <v>124</v>
      </c>
      <c r="B126" s="134" t="s">
        <v>1818</v>
      </c>
      <c r="C126" s="139" t="s">
        <v>2054</v>
      </c>
      <c r="D126" s="134" t="s">
        <v>2055</v>
      </c>
      <c r="E126" s="134" t="s">
        <v>6</v>
      </c>
      <c r="F126" s="134" t="s">
        <v>7</v>
      </c>
      <c r="G126" s="134" t="s">
        <v>8</v>
      </c>
      <c r="H126" s="141">
        <v>220</v>
      </c>
    </row>
    <row r="127" spans="1:9">
      <c r="A127" s="134">
        <v>125</v>
      </c>
      <c r="B127" s="134" t="s">
        <v>1818</v>
      </c>
      <c r="C127" s="149" t="s">
        <v>2056</v>
      </c>
      <c r="D127" s="134" t="s">
        <v>2057</v>
      </c>
      <c r="E127" s="134" t="s">
        <v>6</v>
      </c>
      <c r="F127" s="134" t="s">
        <v>7</v>
      </c>
      <c r="G127" s="147" t="s">
        <v>8</v>
      </c>
      <c r="H127" s="154">
        <v>220</v>
      </c>
    </row>
    <row r="128" spans="1:9">
      <c r="A128" s="134">
        <v>126</v>
      </c>
      <c r="B128" s="134" t="s">
        <v>1818</v>
      </c>
      <c r="C128" s="137" t="s">
        <v>2058</v>
      </c>
      <c r="D128" s="137" t="s">
        <v>2059</v>
      </c>
      <c r="E128" s="137" t="s">
        <v>18</v>
      </c>
      <c r="F128" s="137" t="s">
        <v>7</v>
      </c>
      <c r="G128" s="137" t="s">
        <v>8</v>
      </c>
      <c r="H128" s="138">
        <v>232</v>
      </c>
    </row>
    <row r="129" spans="1:8">
      <c r="A129" s="134">
        <v>127</v>
      </c>
      <c r="B129" s="134" t="s">
        <v>1818</v>
      </c>
      <c r="C129" s="137" t="s">
        <v>2060</v>
      </c>
      <c r="D129" s="137" t="s">
        <v>2061</v>
      </c>
      <c r="E129" s="137" t="s">
        <v>12</v>
      </c>
      <c r="F129" s="137" t="s">
        <v>7</v>
      </c>
      <c r="G129" s="137" t="s">
        <v>13</v>
      </c>
      <c r="H129" s="138">
        <v>190</v>
      </c>
    </row>
    <row r="130" spans="1:8">
      <c r="A130" s="134">
        <v>128</v>
      </c>
      <c r="B130" s="134" t="s">
        <v>1818</v>
      </c>
      <c r="C130" s="137" t="s">
        <v>2062</v>
      </c>
      <c r="D130" s="137" t="s">
        <v>2063</v>
      </c>
      <c r="E130" s="137" t="s">
        <v>18</v>
      </c>
      <c r="F130" s="137" t="s">
        <v>10</v>
      </c>
      <c r="G130" s="137" t="s">
        <v>13</v>
      </c>
      <c r="H130" s="138">
        <v>190</v>
      </c>
    </row>
    <row r="131" spans="1:8">
      <c r="A131" s="134">
        <v>129</v>
      </c>
      <c r="B131" s="134" t="s">
        <v>1818</v>
      </c>
      <c r="C131" s="137" t="s">
        <v>2064</v>
      </c>
      <c r="D131" s="137" t="s">
        <v>2065</v>
      </c>
      <c r="E131" s="137" t="s">
        <v>6</v>
      </c>
      <c r="F131" s="137" t="s">
        <v>7</v>
      </c>
      <c r="G131" s="137" t="s">
        <v>8</v>
      </c>
      <c r="H131" s="138">
        <v>180</v>
      </c>
    </row>
    <row r="132" spans="1:8">
      <c r="A132" s="134">
        <v>130</v>
      </c>
      <c r="B132" s="134" t="s">
        <v>1818</v>
      </c>
      <c r="C132" s="134" t="s">
        <v>2064</v>
      </c>
      <c r="D132" s="134" t="s">
        <v>2066</v>
      </c>
      <c r="E132" s="134" t="s">
        <v>9</v>
      </c>
      <c r="F132" s="134" t="s">
        <v>7</v>
      </c>
      <c r="G132" s="134" t="s">
        <v>8</v>
      </c>
      <c r="H132" s="140">
        <v>180</v>
      </c>
    </row>
    <row r="133" spans="1:8">
      <c r="A133" s="134">
        <v>131</v>
      </c>
      <c r="B133" s="134" t="s">
        <v>1818</v>
      </c>
      <c r="C133" s="149" t="s">
        <v>2067</v>
      </c>
      <c r="D133" s="134" t="s">
        <v>2068</v>
      </c>
      <c r="E133" s="134" t="s">
        <v>14</v>
      </c>
      <c r="G133" s="147" t="s">
        <v>8</v>
      </c>
      <c r="H133" s="154">
        <v>260</v>
      </c>
    </row>
    <row r="134" spans="1:8" ht="26.1" customHeight="1">
      <c r="A134" s="134">
        <v>132</v>
      </c>
      <c r="B134" s="134" t="s">
        <v>1818</v>
      </c>
      <c r="C134" s="137" t="s">
        <v>2069</v>
      </c>
      <c r="D134" s="137" t="s">
        <v>2070</v>
      </c>
      <c r="E134" s="137" t="s">
        <v>6</v>
      </c>
      <c r="F134" s="137" t="s">
        <v>7</v>
      </c>
      <c r="G134" s="137" t="s">
        <v>8</v>
      </c>
      <c r="H134" s="138">
        <v>227</v>
      </c>
    </row>
    <row r="135" spans="1:8" ht="21" customHeight="1">
      <c r="A135" s="134">
        <v>133</v>
      </c>
      <c r="B135" s="134" t="s">
        <v>1818</v>
      </c>
      <c r="C135" s="134" t="s">
        <v>2071</v>
      </c>
      <c r="D135" s="134" t="s">
        <v>2072</v>
      </c>
      <c r="E135" s="134" t="s">
        <v>14</v>
      </c>
      <c r="F135" s="134" t="s">
        <v>7</v>
      </c>
      <c r="G135" s="134" t="s">
        <v>8</v>
      </c>
      <c r="H135" s="140">
        <v>180</v>
      </c>
    </row>
    <row r="136" spans="1:8">
      <c r="A136" s="134">
        <v>134</v>
      </c>
      <c r="B136" s="134" t="s">
        <v>1818</v>
      </c>
      <c r="C136" s="149" t="s">
        <v>2073</v>
      </c>
      <c r="D136" s="150" t="s">
        <v>2074</v>
      </c>
      <c r="G136" s="147" t="s">
        <v>8</v>
      </c>
      <c r="H136" s="151">
        <v>220</v>
      </c>
    </row>
    <row r="137" spans="1:8">
      <c r="A137" s="134">
        <v>135</v>
      </c>
      <c r="B137" s="134" t="s">
        <v>1818</v>
      </c>
      <c r="C137" s="134" t="s">
        <v>2075</v>
      </c>
      <c r="D137" s="134" t="s">
        <v>2076</v>
      </c>
      <c r="E137" s="134" t="s">
        <v>9</v>
      </c>
      <c r="F137" s="134" t="s">
        <v>7</v>
      </c>
      <c r="G137" s="134" t="s">
        <v>8</v>
      </c>
      <c r="H137" s="141">
        <v>215</v>
      </c>
    </row>
    <row r="138" spans="1:8">
      <c r="A138" s="134">
        <v>136</v>
      </c>
      <c r="B138" s="134" t="s">
        <v>1818</v>
      </c>
      <c r="C138" s="137" t="s">
        <v>2077</v>
      </c>
      <c r="D138" s="137" t="s">
        <v>2078</v>
      </c>
      <c r="E138" s="137" t="s">
        <v>18</v>
      </c>
      <c r="F138" s="137" t="s">
        <v>7</v>
      </c>
      <c r="G138" s="137" t="s">
        <v>8</v>
      </c>
      <c r="H138" s="138">
        <v>232</v>
      </c>
    </row>
    <row r="139" spans="1:8">
      <c r="A139" s="134">
        <v>137</v>
      </c>
      <c r="B139" s="134" t="s">
        <v>1818</v>
      </c>
      <c r="C139" s="146" t="s">
        <v>2079</v>
      </c>
      <c r="D139" s="146" t="s">
        <v>2080</v>
      </c>
      <c r="E139" s="134" t="s">
        <v>15</v>
      </c>
      <c r="F139" s="134" t="s">
        <v>7</v>
      </c>
      <c r="G139" s="146" t="s">
        <v>8</v>
      </c>
      <c r="H139" s="140">
        <v>220</v>
      </c>
    </row>
    <row r="140" spans="1:8">
      <c r="A140" s="134">
        <v>138</v>
      </c>
      <c r="B140" s="134" t="s">
        <v>1818</v>
      </c>
      <c r="C140" s="137" t="s">
        <v>2081</v>
      </c>
      <c r="D140" s="137" t="s">
        <v>2082</v>
      </c>
      <c r="E140" s="137" t="s">
        <v>14</v>
      </c>
      <c r="F140" s="137" t="s">
        <v>7</v>
      </c>
      <c r="G140" s="137" t="s">
        <v>8</v>
      </c>
      <c r="H140" s="138">
        <v>190</v>
      </c>
    </row>
    <row r="141" spans="1:8">
      <c r="A141" s="134">
        <v>139</v>
      </c>
      <c r="B141" s="134" t="s">
        <v>1818</v>
      </c>
      <c r="C141" s="134" t="s">
        <v>2083</v>
      </c>
      <c r="D141" s="134" t="s">
        <v>2084</v>
      </c>
      <c r="G141" s="134" t="s">
        <v>8</v>
      </c>
      <c r="H141" s="140">
        <v>180</v>
      </c>
    </row>
    <row r="142" spans="1:8">
      <c r="A142" s="134">
        <v>140</v>
      </c>
      <c r="B142" s="134" t="s">
        <v>1818</v>
      </c>
      <c r="C142" s="137" t="s">
        <v>2085</v>
      </c>
      <c r="D142" s="137" t="s">
        <v>2086</v>
      </c>
      <c r="E142" s="137" t="s">
        <v>14</v>
      </c>
      <c r="F142" s="137" t="s">
        <v>7</v>
      </c>
      <c r="G142" s="137" t="s">
        <v>21</v>
      </c>
      <c r="H142" s="138">
        <v>232</v>
      </c>
    </row>
    <row r="143" spans="1:8">
      <c r="A143" s="134">
        <v>141</v>
      </c>
      <c r="B143" s="134" t="s">
        <v>1818</v>
      </c>
      <c r="C143" s="134" t="s">
        <v>2087</v>
      </c>
      <c r="D143" s="134" t="s">
        <v>2088</v>
      </c>
      <c r="E143" s="134" t="s">
        <v>14</v>
      </c>
      <c r="F143" s="134" t="s">
        <v>7</v>
      </c>
      <c r="G143" s="134" t="s">
        <v>8</v>
      </c>
      <c r="H143" s="140">
        <v>180</v>
      </c>
    </row>
    <row r="144" spans="1:8">
      <c r="A144" s="134">
        <v>142</v>
      </c>
      <c r="B144" s="134" t="s">
        <v>1818</v>
      </c>
      <c r="C144" s="134" t="s">
        <v>2089</v>
      </c>
      <c r="D144" s="134" t="s">
        <v>2090</v>
      </c>
      <c r="E144" s="134" t="s">
        <v>12</v>
      </c>
      <c r="F144" s="134" t="s">
        <v>7</v>
      </c>
      <c r="G144" s="134" t="s">
        <v>8</v>
      </c>
      <c r="H144" s="140">
        <v>180</v>
      </c>
    </row>
    <row r="145" spans="1:8">
      <c r="A145" s="134">
        <v>143</v>
      </c>
      <c r="B145" s="134" t="s">
        <v>1818</v>
      </c>
      <c r="C145" s="139" t="s">
        <v>2091</v>
      </c>
      <c r="D145" s="139" t="s">
        <v>2092</v>
      </c>
      <c r="E145" s="139" t="s">
        <v>9</v>
      </c>
      <c r="F145" s="161" t="s">
        <v>10</v>
      </c>
      <c r="G145" s="139" t="s">
        <v>8</v>
      </c>
      <c r="H145" s="160">
        <v>220</v>
      </c>
    </row>
    <row r="146" spans="1:8">
      <c r="A146" s="134">
        <v>144</v>
      </c>
      <c r="B146" s="134" t="s">
        <v>1818</v>
      </c>
      <c r="C146" s="137" t="s">
        <v>2093</v>
      </c>
      <c r="D146" s="137" t="s">
        <v>2094</v>
      </c>
      <c r="E146" s="137" t="s">
        <v>12</v>
      </c>
      <c r="F146" s="137" t="s">
        <v>10</v>
      </c>
      <c r="G146" s="137" t="s">
        <v>13</v>
      </c>
      <c r="H146" s="138">
        <v>220</v>
      </c>
    </row>
    <row r="147" spans="1:8">
      <c r="A147" s="134">
        <v>145</v>
      </c>
      <c r="B147" s="134" t="s">
        <v>1818</v>
      </c>
      <c r="C147" s="137" t="s">
        <v>2095</v>
      </c>
      <c r="D147" s="137" t="s">
        <v>2096</v>
      </c>
      <c r="E147" s="137" t="s">
        <v>12</v>
      </c>
      <c r="F147" s="137" t="s">
        <v>7</v>
      </c>
      <c r="G147" s="137" t="s">
        <v>8</v>
      </c>
      <c r="H147" s="138">
        <v>190</v>
      </c>
    </row>
    <row r="148" spans="1:8">
      <c r="A148" s="134">
        <v>146</v>
      </c>
      <c r="B148" s="134" t="s">
        <v>1818</v>
      </c>
      <c r="C148" s="149" t="s">
        <v>2097</v>
      </c>
      <c r="D148" s="150" t="s">
        <v>2098</v>
      </c>
      <c r="E148" s="134" t="s">
        <v>14</v>
      </c>
      <c r="F148" s="134" t="s">
        <v>7</v>
      </c>
      <c r="G148" s="147" t="s">
        <v>8</v>
      </c>
      <c r="H148" s="151">
        <v>260</v>
      </c>
    </row>
    <row r="149" spans="1:8">
      <c r="A149" s="134">
        <v>147</v>
      </c>
      <c r="B149" s="134" t="s">
        <v>1818</v>
      </c>
      <c r="C149" s="134" t="s">
        <v>2099</v>
      </c>
      <c r="D149" s="134" t="s">
        <v>2100</v>
      </c>
      <c r="E149" s="134" t="s">
        <v>6</v>
      </c>
      <c r="G149" s="134" t="s">
        <v>8</v>
      </c>
      <c r="H149" s="140">
        <v>180</v>
      </c>
    </row>
    <row r="150" spans="1:8">
      <c r="A150" s="134">
        <v>148</v>
      </c>
      <c r="B150" s="134" t="s">
        <v>1818</v>
      </c>
      <c r="C150" s="137" t="s">
        <v>2101</v>
      </c>
      <c r="D150" s="137" t="s">
        <v>2102</v>
      </c>
      <c r="E150" s="137" t="s">
        <v>15</v>
      </c>
      <c r="F150" s="137" t="s">
        <v>7</v>
      </c>
      <c r="G150" s="137" t="s">
        <v>8</v>
      </c>
      <c r="H150" s="138">
        <v>232</v>
      </c>
    </row>
    <row r="151" spans="1:8">
      <c r="A151" s="134">
        <v>149</v>
      </c>
      <c r="B151" s="134" t="s">
        <v>1818</v>
      </c>
      <c r="C151" s="149" t="s">
        <v>2103</v>
      </c>
      <c r="D151" s="150" t="s">
        <v>2104</v>
      </c>
      <c r="F151" s="134" t="s">
        <v>10</v>
      </c>
      <c r="G151" s="147" t="s">
        <v>8</v>
      </c>
      <c r="H151" s="151">
        <v>220</v>
      </c>
    </row>
    <row r="152" spans="1:8">
      <c r="A152" s="134">
        <v>150</v>
      </c>
      <c r="B152" s="134" t="s">
        <v>1818</v>
      </c>
      <c r="C152" s="149" t="s">
        <v>2105</v>
      </c>
      <c r="D152" s="134" t="s">
        <v>2106</v>
      </c>
      <c r="G152" s="147" t="s">
        <v>8</v>
      </c>
      <c r="H152" s="154">
        <v>220</v>
      </c>
    </row>
    <row r="153" spans="1:8">
      <c r="A153" s="134">
        <v>151</v>
      </c>
      <c r="B153" s="134" t="s">
        <v>1818</v>
      </c>
      <c r="C153" s="137" t="s">
        <v>2107</v>
      </c>
      <c r="D153" s="137" t="s">
        <v>2108</v>
      </c>
      <c r="E153" s="137" t="s">
        <v>18</v>
      </c>
      <c r="F153" s="137" t="s">
        <v>7</v>
      </c>
      <c r="G153" s="137" t="s">
        <v>8</v>
      </c>
      <c r="H153" s="138">
        <v>190</v>
      </c>
    </row>
    <row r="154" spans="1:8">
      <c r="A154" s="134">
        <v>152</v>
      </c>
      <c r="B154" s="134" t="s">
        <v>1818</v>
      </c>
      <c r="C154" s="146" t="s">
        <v>2109</v>
      </c>
      <c r="D154" s="146" t="s">
        <v>2110</v>
      </c>
      <c r="E154" s="134" t="s">
        <v>14</v>
      </c>
      <c r="F154" s="134" t="s">
        <v>7</v>
      </c>
      <c r="G154" s="146" t="s">
        <v>8</v>
      </c>
      <c r="H154" s="140">
        <v>232</v>
      </c>
    </row>
    <row r="155" spans="1:8">
      <c r="A155" s="134">
        <v>153</v>
      </c>
      <c r="B155" s="134" t="s">
        <v>1818</v>
      </c>
      <c r="C155" s="137" t="s">
        <v>2111</v>
      </c>
      <c r="D155" s="137" t="s">
        <v>2112</v>
      </c>
      <c r="E155" s="137" t="s">
        <v>6</v>
      </c>
      <c r="F155" s="137" t="s">
        <v>7</v>
      </c>
      <c r="G155" s="137" t="s">
        <v>8</v>
      </c>
      <c r="H155" s="138">
        <v>190</v>
      </c>
    </row>
    <row r="156" spans="1:8">
      <c r="A156" s="134">
        <v>154</v>
      </c>
      <c r="B156" s="134" t="s">
        <v>1818</v>
      </c>
      <c r="C156" s="134" t="s">
        <v>2113</v>
      </c>
      <c r="D156" s="134" t="s">
        <v>2114</v>
      </c>
      <c r="E156" s="134" t="s">
        <v>6</v>
      </c>
      <c r="F156" s="134" t="s">
        <v>7</v>
      </c>
      <c r="G156" s="134" t="s">
        <v>8</v>
      </c>
      <c r="H156" s="140">
        <v>220</v>
      </c>
    </row>
    <row r="157" spans="1:8">
      <c r="A157" s="134">
        <v>155</v>
      </c>
      <c r="B157" s="134" t="s">
        <v>1818</v>
      </c>
      <c r="C157" s="137" t="s">
        <v>2115</v>
      </c>
      <c r="D157" s="137" t="s">
        <v>2116</v>
      </c>
      <c r="E157" s="137" t="s">
        <v>12</v>
      </c>
      <c r="F157" s="137" t="s">
        <v>7</v>
      </c>
      <c r="G157" s="137" t="s">
        <v>8</v>
      </c>
      <c r="H157" s="138">
        <v>190</v>
      </c>
    </row>
    <row r="158" spans="1:8">
      <c r="A158" s="134">
        <v>156</v>
      </c>
      <c r="B158" s="134" t="s">
        <v>1818</v>
      </c>
      <c r="C158" s="137" t="s">
        <v>2117</v>
      </c>
      <c r="D158" s="137" t="s">
        <v>2118</v>
      </c>
      <c r="E158" s="137" t="s">
        <v>6</v>
      </c>
      <c r="F158" s="137" t="s">
        <v>7</v>
      </c>
      <c r="G158" s="137" t="s">
        <v>8</v>
      </c>
      <c r="H158" s="138">
        <v>190</v>
      </c>
    </row>
    <row r="159" spans="1:8">
      <c r="A159" s="134">
        <v>157</v>
      </c>
      <c r="B159" s="134" t="s">
        <v>1818</v>
      </c>
      <c r="C159" s="137" t="s">
        <v>2119</v>
      </c>
      <c r="D159" s="137" t="s">
        <v>2120</v>
      </c>
      <c r="E159" s="137" t="s">
        <v>6</v>
      </c>
      <c r="F159" s="137" t="s">
        <v>7</v>
      </c>
      <c r="G159" s="137" t="s">
        <v>8</v>
      </c>
      <c r="H159" s="138">
        <v>180</v>
      </c>
    </row>
    <row r="160" spans="1:8">
      <c r="A160" s="134">
        <v>158</v>
      </c>
      <c r="B160" s="134" t="s">
        <v>1818</v>
      </c>
      <c r="C160" s="134" t="s">
        <v>2121</v>
      </c>
      <c r="D160" s="134" t="s">
        <v>2122</v>
      </c>
      <c r="F160" s="134" t="s">
        <v>10</v>
      </c>
      <c r="G160" s="134" t="s">
        <v>8</v>
      </c>
      <c r="H160" s="140">
        <v>260</v>
      </c>
    </row>
    <row r="161" spans="1:9" s="162" customFormat="1" ht="30">
      <c r="A161" s="162">
        <v>159</v>
      </c>
      <c r="B161" s="134" t="s">
        <v>1818</v>
      </c>
      <c r="C161" s="163" t="s">
        <v>2123</v>
      </c>
      <c r="D161" s="163" t="s">
        <v>2124</v>
      </c>
      <c r="E161" s="162" t="s">
        <v>18</v>
      </c>
      <c r="F161" s="162" t="s">
        <v>7</v>
      </c>
      <c r="G161" s="163" t="s">
        <v>8</v>
      </c>
      <c r="H161" s="164"/>
      <c r="I161" s="165" t="s">
        <v>2125</v>
      </c>
    </row>
    <row r="162" spans="1:9">
      <c r="A162" s="134">
        <v>160</v>
      </c>
      <c r="B162" s="134" t="s">
        <v>1818</v>
      </c>
      <c r="C162" s="137" t="s">
        <v>2126</v>
      </c>
      <c r="D162" s="137" t="s">
        <v>2127</v>
      </c>
      <c r="E162" s="137" t="s">
        <v>6</v>
      </c>
      <c r="F162" s="137" t="s">
        <v>10</v>
      </c>
      <c r="G162" s="137" t="s">
        <v>13</v>
      </c>
      <c r="H162" s="138">
        <v>190</v>
      </c>
    </row>
    <row r="163" spans="1:9">
      <c r="A163" s="134">
        <v>161</v>
      </c>
      <c r="B163" s="134" t="s">
        <v>1818</v>
      </c>
      <c r="C163" s="152" t="s">
        <v>2126</v>
      </c>
      <c r="D163" s="152" t="s">
        <v>2128</v>
      </c>
      <c r="E163" s="152" t="s">
        <v>18</v>
      </c>
      <c r="F163" s="152" t="s">
        <v>10</v>
      </c>
      <c r="G163" s="152" t="s">
        <v>8</v>
      </c>
      <c r="H163" s="157">
        <v>220</v>
      </c>
    </row>
    <row r="164" spans="1:9">
      <c r="A164" s="134">
        <v>163</v>
      </c>
      <c r="B164" s="134" t="s">
        <v>1818</v>
      </c>
      <c r="C164" s="137" t="s">
        <v>2129</v>
      </c>
      <c r="D164" s="137" t="s">
        <v>2130</v>
      </c>
      <c r="E164" s="137" t="s">
        <v>6</v>
      </c>
      <c r="F164" s="137" t="s">
        <v>7</v>
      </c>
      <c r="G164" s="137" t="s">
        <v>8</v>
      </c>
      <c r="H164" s="138">
        <v>220</v>
      </c>
    </row>
    <row r="165" spans="1:9">
      <c r="A165" s="134">
        <v>164</v>
      </c>
      <c r="B165" s="134" t="s">
        <v>1818</v>
      </c>
      <c r="C165" s="137" t="s">
        <v>2131</v>
      </c>
      <c r="D165" s="137" t="s">
        <v>1873</v>
      </c>
      <c r="E165" s="137" t="s">
        <v>14</v>
      </c>
      <c r="F165" s="137" t="s">
        <v>10</v>
      </c>
      <c r="G165" s="137" t="s">
        <v>8</v>
      </c>
      <c r="H165" s="138">
        <v>220</v>
      </c>
    </row>
    <row r="166" spans="1:9">
      <c r="A166" s="134">
        <v>165</v>
      </c>
      <c r="B166" s="134" t="s">
        <v>1818</v>
      </c>
      <c r="C166" s="149" t="s">
        <v>2132</v>
      </c>
      <c r="D166" s="134" t="s">
        <v>2133</v>
      </c>
      <c r="E166" s="134" t="s">
        <v>14</v>
      </c>
      <c r="F166" s="134" t="s">
        <v>7</v>
      </c>
      <c r="G166" s="147" t="s">
        <v>8</v>
      </c>
      <c r="H166" s="154">
        <v>260</v>
      </c>
    </row>
    <row r="167" spans="1:9">
      <c r="A167" s="134">
        <v>166</v>
      </c>
      <c r="B167" s="134" t="s">
        <v>1818</v>
      </c>
      <c r="C167" s="137" t="s">
        <v>2134</v>
      </c>
      <c r="D167" s="137" t="s">
        <v>2084</v>
      </c>
      <c r="E167" s="137" t="s">
        <v>18</v>
      </c>
      <c r="F167" s="137" t="s">
        <v>7</v>
      </c>
      <c r="G167" s="137" t="s">
        <v>8</v>
      </c>
      <c r="H167" s="138">
        <v>190</v>
      </c>
    </row>
    <row r="168" spans="1:9">
      <c r="A168" s="134">
        <v>167</v>
      </c>
      <c r="B168" s="134" t="s">
        <v>1818</v>
      </c>
      <c r="C168" s="137" t="s">
        <v>2135</v>
      </c>
      <c r="D168" s="137" t="s">
        <v>2136</v>
      </c>
      <c r="E168" s="137" t="s">
        <v>16</v>
      </c>
      <c r="F168" s="137" t="s">
        <v>10</v>
      </c>
      <c r="G168" s="137" t="s">
        <v>8</v>
      </c>
      <c r="H168" s="138">
        <v>220</v>
      </c>
    </row>
    <row r="169" spans="1:9">
      <c r="A169" s="134">
        <v>168</v>
      </c>
      <c r="B169" s="134" t="s">
        <v>1818</v>
      </c>
      <c r="C169" s="137" t="s">
        <v>2137</v>
      </c>
      <c r="D169" s="137" t="s">
        <v>2138</v>
      </c>
      <c r="E169" s="137" t="s">
        <v>12</v>
      </c>
      <c r="F169" s="137" t="s">
        <v>7</v>
      </c>
      <c r="G169" s="137" t="s">
        <v>8</v>
      </c>
      <c r="H169" s="138">
        <v>180</v>
      </c>
    </row>
    <row r="170" spans="1:9">
      <c r="A170" s="134">
        <v>169</v>
      </c>
      <c r="B170" s="134" t="s">
        <v>1818</v>
      </c>
      <c r="C170" s="137" t="s">
        <v>2139</v>
      </c>
      <c r="D170" s="137" t="s">
        <v>2140</v>
      </c>
      <c r="E170" s="137" t="s">
        <v>6</v>
      </c>
      <c r="F170" s="137" t="s">
        <v>7</v>
      </c>
      <c r="G170" s="137" t="s">
        <v>8</v>
      </c>
      <c r="H170" s="138">
        <v>180</v>
      </c>
    </row>
    <row r="171" spans="1:9">
      <c r="A171" s="134">
        <v>170</v>
      </c>
      <c r="B171" s="134" t="s">
        <v>1818</v>
      </c>
      <c r="C171" s="134" t="s">
        <v>2141</v>
      </c>
      <c r="D171" s="134" t="s">
        <v>2142</v>
      </c>
      <c r="E171" s="134" t="s">
        <v>6</v>
      </c>
      <c r="F171" s="134" t="s">
        <v>7</v>
      </c>
      <c r="G171" s="134" t="s">
        <v>8</v>
      </c>
      <c r="H171" s="140">
        <v>227</v>
      </c>
    </row>
    <row r="172" spans="1:9">
      <c r="A172" s="134">
        <v>171</v>
      </c>
      <c r="B172" s="134" t="s">
        <v>1818</v>
      </c>
      <c r="C172" s="134" t="s">
        <v>2143</v>
      </c>
      <c r="D172" s="134" t="s">
        <v>2144</v>
      </c>
      <c r="E172" s="134" t="s">
        <v>12</v>
      </c>
      <c r="F172" s="137" t="s">
        <v>10</v>
      </c>
      <c r="G172" s="134" t="s">
        <v>20</v>
      </c>
      <c r="H172" s="140">
        <v>220</v>
      </c>
    </row>
    <row r="173" spans="1:9" ht="33">
      <c r="A173" s="134">
        <v>172</v>
      </c>
      <c r="B173" s="134" t="s">
        <v>1818</v>
      </c>
      <c r="C173" s="149" t="s">
        <v>2145</v>
      </c>
      <c r="D173" s="150" t="s">
        <v>2146</v>
      </c>
      <c r="F173" s="134" t="s">
        <v>10</v>
      </c>
      <c r="G173" s="147" t="s">
        <v>8</v>
      </c>
      <c r="H173" s="151">
        <v>260</v>
      </c>
    </row>
    <row r="174" spans="1:9">
      <c r="A174" s="134">
        <v>173</v>
      </c>
      <c r="B174" s="134" t="s">
        <v>1818</v>
      </c>
      <c r="C174" s="134" t="s">
        <v>2147</v>
      </c>
      <c r="D174" s="134" t="s">
        <v>2148</v>
      </c>
      <c r="E174" s="134" t="s">
        <v>12</v>
      </c>
      <c r="F174" s="134" t="s">
        <v>7</v>
      </c>
      <c r="G174" s="134" t="s">
        <v>8</v>
      </c>
      <c r="H174" s="140">
        <v>190</v>
      </c>
    </row>
    <row r="175" spans="1:9" ht="33">
      <c r="A175" s="134">
        <v>174</v>
      </c>
      <c r="B175" s="134" t="s">
        <v>1818</v>
      </c>
      <c r="C175" s="134" t="s">
        <v>2149</v>
      </c>
      <c r="D175" s="134" t="s">
        <v>2150</v>
      </c>
      <c r="E175" s="134" t="s">
        <v>6</v>
      </c>
      <c r="F175" s="134" t="s">
        <v>7</v>
      </c>
      <c r="G175" s="134" t="s">
        <v>8</v>
      </c>
      <c r="H175" s="140">
        <v>270</v>
      </c>
    </row>
    <row r="176" spans="1:9">
      <c r="A176" s="134">
        <v>175</v>
      </c>
      <c r="B176" s="134" t="s">
        <v>1818</v>
      </c>
      <c r="C176" s="134" t="s">
        <v>2151</v>
      </c>
      <c r="D176" s="134" t="s">
        <v>2152</v>
      </c>
      <c r="F176" s="134" t="s">
        <v>7</v>
      </c>
      <c r="G176" s="134" t="s">
        <v>20</v>
      </c>
      <c r="H176" s="140">
        <v>260</v>
      </c>
    </row>
    <row r="177" spans="1:9">
      <c r="A177" s="134">
        <v>176</v>
      </c>
      <c r="B177" s="134" t="s">
        <v>1818</v>
      </c>
      <c r="C177" s="137" t="s">
        <v>2153</v>
      </c>
      <c r="D177" s="137" t="s">
        <v>2154</v>
      </c>
      <c r="E177" s="137" t="s">
        <v>12</v>
      </c>
      <c r="F177" s="137" t="s">
        <v>7</v>
      </c>
      <c r="G177" s="137" t="s">
        <v>8</v>
      </c>
      <c r="H177" s="138">
        <v>235</v>
      </c>
    </row>
    <row r="178" spans="1:9" ht="18.75" customHeight="1">
      <c r="A178" s="134">
        <v>177</v>
      </c>
      <c r="B178" s="134" t="s">
        <v>1818</v>
      </c>
      <c r="C178" s="137" t="s">
        <v>2155</v>
      </c>
      <c r="D178" s="137" t="s">
        <v>2156</v>
      </c>
      <c r="E178" s="137" t="s">
        <v>18</v>
      </c>
      <c r="F178" s="137" t="s">
        <v>7</v>
      </c>
      <c r="G178" s="137" t="s">
        <v>13</v>
      </c>
      <c r="H178" s="138">
        <v>190</v>
      </c>
    </row>
    <row r="179" spans="1:9">
      <c r="A179" s="134">
        <v>178</v>
      </c>
      <c r="B179" s="134" t="s">
        <v>1818</v>
      </c>
      <c r="C179" s="149" t="s">
        <v>2157</v>
      </c>
      <c r="D179" s="134" t="s">
        <v>2158</v>
      </c>
      <c r="G179" s="147" t="s">
        <v>8</v>
      </c>
      <c r="H179" s="154">
        <v>260</v>
      </c>
    </row>
    <row r="180" spans="1:9">
      <c r="A180" s="134">
        <v>179</v>
      </c>
      <c r="B180" s="134" t="s">
        <v>1818</v>
      </c>
      <c r="C180" s="137" t="s">
        <v>2159</v>
      </c>
      <c r="D180" s="137" t="s">
        <v>2160</v>
      </c>
      <c r="E180" s="137" t="s">
        <v>16</v>
      </c>
      <c r="F180" s="137" t="s">
        <v>10</v>
      </c>
      <c r="G180" s="137" t="s">
        <v>8</v>
      </c>
      <c r="H180" s="138">
        <v>180</v>
      </c>
    </row>
    <row r="181" spans="1:9">
      <c r="A181" s="134">
        <v>180</v>
      </c>
      <c r="B181" s="134" t="s">
        <v>1818</v>
      </c>
      <c r="C181" s="137" t="s">
        <v>2161</v>
      </c>
      <c r="D181" s="137" t="s">
        <v>1989</v>
      </c>
      <c r="E181" s="137" t="s">
        <v>14</v>
      </c>
      <c r="F181" s="137" t="s">
        <v>10</v>
      </c>
      <c r="G181" s="137" t="s">
        <v>13</v>
      </c>
      <c r="H181" s="138">
        <v>232</v>
      </c>
    </row>
    <row r="182" spans="1:9" ht="33">
      <c r="A182" s="134">
        <v>181</v>
      </c>
      <c r="B182" s="134" t="s">
        <v>1818</v>
      </c>
      <c r="C182" s="134" t="s">
        <v>2162</v>
      </c>
      <c r="D182" s="135" t="s">
        <v>2163</v>
      </c>
      <c r="E182" s="134" t="s">
        <v>9</v>
      </c>
      <c r="F182" s="134" t="s">
        <v>7</v>
      </c>
      <c r="G182" s="134" t="s">
        <v>8</v>
      </c>
      <c r="H182" s="136">
        <v>180</v>
      </c>
    </row>
    <row r="183" spans="1:9">
      <c r="A183" s="134">
        <v>182</v>
      </c>
      <c r="B183" s="134" t="s">
        <v>1818</v>
      </c>
      <c r="C183" s="137" t="s">
        <v>2164</v>
      </c>
      <c r="D183" s="137" t="s">
        <v>2165</v>
      </c>
      <c r="E183" s="137" t="s">
        <v>14</v>
      </c>
      <c r="F183" s="137" t="s">
        <v>7</v>
      </c>
      <c r="G183" s="137" t="s">
        <v>8</v>
      </c>
      <c r="H183" s="138">
        <v>190</v>
      </c>
    </row>
    <row r="184" spans="1:9">
      <c r="A184" s="134">
        <v>183</v>
      </c>
      <c r="B184" s="134" t="s">
        <v>1818</v>
      </c>
      <c r="C184" s="134" t="s">
        <v>2166</v>
      </c>
      <c r="D184" s="134" t="s">
        <v>2167</v>
      </c>
      <c r="E184" s="134" t="s">
        <v>14</v>
      </c>
      <c r="F184" s="134" t="s">
        <v>7</v>
      </c>
      <c r="G184" s="134" t="s">
        <v>8</v>
      </c>
      <c r="H184" s="140">
        <v>180</v>
      </c>
    </row>
    <row r="185" spans="1:9">
      <c r="A185" s="134">
        <v>184</v>
      </c>
      <c r="B185" s="134" t="s">
        <v>1818</v>
      </c>
      <c r="C185" s="137" t="s">
        <v>2168</v>
      </c>
      <c r="D185" s="137" t="s">
        <v>2169</v>
      </c>
      <c r="E185" s="137" t="s">
        <v>12</v>
      </c>
      <c r="F185" s="137" t="s">
        <v>10</v>
      </c>
      <c r="G185" s="137" t="s">
        <v>8</v>
      </c>
      <c r="H185" s="138">
        <v>232</v>
      </c>
    </row>
    <row r="186" spans="1:9">
      <c r="A186" s="134">
        <v>185</v>
      </c>
      <c r="B186" s="134" t="s">
        <v>1818</v>
      </c>
      <c r="C186" s="137" t="s">
        <v>2170</v>
      </c>
      <c r="D186" s="137" t="s">
        <v>2171</v>
      </c>
      <c r="E186" s="137" t="s">
        <v>6</v>
      </c>
      <c r="F186" s="137" t="s">
        <v>10</v>
      </c>
      <c r="G186" s="137" t="s">
        <v>8</v>
      </c>
      <c r="H186" s="138">
        <v>232</v>
      </c>
    </row>
    <row r="187" spans="1:9">
      <c r="A187" s="134">
        <v>186</v>
      </c>
      <c r="B187" s="134" t="s">
        <v>1818</v>
      </c>
      <c r="C187" s="134" t="s">
        <v>2172</v>
      </c>
      <c r="D187" s="135" t="s">
        <v>2173</v>
      </c>
      <c r="E187" s="134" t="s">
        <v>6</v>
      </c>
      <c r="F187" s="134" t="s">
        <v>7</v>
      </c>
      <c r="G187" s="134" t="s">
        <v>8</v>
      </c>
      <c r="H187" s="136">
        <v>180</v>
      </c>
    </row>
    <row r="188" spans="1:9">
      <c r="A188" s="134">
        <v>187</v>
      </c>
      <c r="B188" s="134" t="s">
        <v>1818</v>
      </c>
      <c r="C188" s="137" t="s">
        <v>2174</v>
      </c>
      <c r="D188" s="137" t="s">
        <v>2175</v>
      </c>
      <c r="E188" s="137" t="s">
        <v>16</v>
      </c>
      <c r="F188" s="137" t="s">
        <v>7</v>
      </c>
      <c r="G188" s="137" t="s">
        <v>8</v>
      </c>
      <c r="H188" s="138">
        <v>232</v>
      </c>
    </row>
    <row r="189" spans="1:9">
      <c r="A189" s="134">
        <v>188</v>
      </c>
      <c r="B189" s="134" t="s">
        <v>1818</v>
      </c>
      <c r="C189" s="134" t="s">
        <v>2176</v>
      </c>
      <c r="D189" s="134" t="s">
        <v>2177</v>
      </c>
      <c r="F189" s="134" t="s">
        <v>10</v>
      </c>
      <c r="G189" s="134" t="s">
        <v>13</v>
      </c>
      <c r="H189" s="140" t="s">
        <v>2178</v>
      </c>
    </row>
    <row r="190" spans="1:9" s="158" customFormat="1" ht="33">
      <c r="A190" s="158">
        <v>189</v>
      </c>
      <c r="B190" s="134" t="s">
        <v>1818</v>
      </c>
      <c r="C190" s="158" t="s">
        <v>2179</v>
      </c>
      <c r="D190" s="158" t="s">
        <v>2180</v>
      </c>
      <c r="F190" s="158" t="s">
        <v>10</v>
      </c>
      <c r="G190" s="158" t="s">
        <v>22</v>
      </c>
      <c r="H190" s="159"/>
      <c r="I190" s="158" t="s">
        <v>23</v>
      </c>
    </row>
    <row r="191" spans="1:9" ht="33">
      <c r="A191" s="134">
        <v>190</v>
      </c>
      <c r="B191" s="134" t="s">
        <v>1818</v>
      </c>
      <c r="C191" s="134" t="s">
        <v>2181</v>
      </c>
      <c r="D191" s="134" t="s">
        <v>2182</v>
      </c>
      <c r="E191" s="134" t="s">
        <v>12</v>
      </c>
      <c r="F191" s="134" t="s">
        <v>10</v>
      </c>
      <c r="G191" s="134" t="s">
        <v>8</v>
      </c>
      <c r="H191" s="140">
        <v>220</v>
      </c>
    </row>
    <row r="192" spans="1:9">
      <c r="A192" s="134">
        <v>191</v>
      </c>
      <c r="B192" s="134" t="s">
        <v>1818</v>
      </c>
      <c r="C192" s="137" t="s">
        <v>2183</v>
      </c>
      <c r="D192" s="137" t="s">
        <v>2184</v>
      </c>
      <c r="E192" s="137" t="s">
        <v>18</v>
      </c>
      <c r="F192" s="137" t="s">
        <v>10</v>
      </c>
      <c r="G192" s="137" t="s">
        <v>13</v>
      </c>
      <c r="H192" s="138">
        <v>190</v>
      </c>
    </row>
    <row r="193" spans="1:8">
      <c r="A193" s="134">
        <v>192</v>
      </c>
      <c r="B193" s="134" t="s">
        <v>1818</v>
      </c>
      <c r="C193" s="166" t="s">
        <v>2185</v>
      </c>
      <c r="D193" s="134" t="s">
        <v>2186</v>
      </c>
      <c r="G193" s="147" t="s">
        <v>8</v>
      </c>
      <c r="H193" s="167">
        <v>220</v>
      </c>
    </row>
    <row r="194" spans="1:8">
      <c r="A194" s="134">
        <v>193</v>
      </c>
      <c r="B194" s="134" t="s">
        <v>1818</v>
      </c>
      <c r="C194" s="134" t="s">
        <v>2187</v>
      </c>
      <c r="D194" s="134" t="s">
        <v>2188</v>
      </c>
      <c r="F194" s="134" t="s">
        <v>10</v>
      </c>
      <c r="G194" s="134" t="s">
        <v>11</v>
      </c>
      <c r="H194" s="140">
        <v>260</v>
      </c>
    </row>
    <row r="195" spans="1:8">
      <c r="A195" s="134">
        <v>194</v>
      </c>
      <c r="B195" s="134" t="s">
        <v>1818</v>
      </c>
      <c r="C195" s="139" t="s">
        <v>2189</v>
      </c>
      <c r="D195" s="134" t="s">
        <v>2190</v>
      </c>
      <c r="E195" s="134" t="s">
        <v>6</v>
      </c>
      <c r="F195" s="134" t="s">
        <v>7</v>
      </c>
      <c r="G195" s="134" t="s">
        <v>8</v>
      </c>
      <c r="H195" s="141">
        <v>180</v>
      </c>
    </row>
    <row r="196" spans="1:8" ht="33">
      <c r="A196" s="134">
        <v>195</v>
      </c>
      <c r="B196" s="134" t="s">
        <v>1818</v>
      </c>
      <c r="C196" s="134" t="s">
        <v>2191</v>
      </c>
      <c r="D196" s="135" t="s">
        <v>2192</v>
      </c>
      <c r="E196" s="134" t="s">
        <v>6</v>
      </c>
      <c r="F196" s="134" t="s">
        <v>7</v>
      </c>
      <c r="G196" s="134" t="s">
        <v>8</v>
      </c>
      <c r="H196" s="136">
        <v>180</v>
      </c>
    </row>
    <row r="197" spans="1:8">
      <c r="A197" s="134">
        <v>196</v>
      </c>
      <c r="B197" s="134" t="s">
        <v>1818</v>
      </c>
      <c r="C197" s="149" t="s">
        <v>2193</v>
      </c>
      <c r="D197" s="134" t="s">
        <v>2194</v>
      </c>
      <c r="E197" s="134" t="s">
        <v>14</v>
      </c>
      <c r="F197" s="134" t="s">
        <v>7</v>
      </c>
      <c r="G197" s="147" t="s">
        <v>8</v>
      </c>
      <c r="H197" s="154">
        <v>215</v>
      </c>
    </row>
    <row r="198" spans="1:8">
      <c r="A198" s="134">
        <v>197</v>
      </c>
      <c r="B198" s="134" t="s">
        <v>1818</v>
      </c>
      <c r="C198" s="146" t="s">
        <v>2195</v>
      </c>
      <c r="D198" s="146" t="s">
        <v>2196</v>
      </c>
      <c r="G198" s="146" t="s">
        <v>8</v>
      </c>
      <c r="H198" s="140">
        <v>180</v>
      </c>
    </row>
    <row r="199" spans="1:8">
      <c r="A199" s="134">
        <v>198</v>
      </c>
      <c r="B199" s="134" t="s">
        <v>1818</v>
      </c>
      <c r="C199" s="137" t="s">
        <v>2197</v>
      </c>
      <c r="D199" s="137" t="s">
        <v>2198</v>
      </c>
      <c r="E199" s="137" t="s">
        <v>6</v>
      </c>
      <c r="F199" s="137" t="s">
        <v>7</v>
      </c>
      <c r="G199" s="137" t="s">
        <v>8</v>
      </c>
      <c r="H199" s="138">
        <v>180</v>
      </c>
    </row>
    <row r="200" spans="1:8">
      <c r="A200" s="134">
        <v>199</v>
      </c>
      <c r="B200" s="134" t="s">
        <v>1818</v>
      </c>
      <c r="C200" s="137" t="s">
        <v>2199</v>
      </c>
      <c r="D200" s="137" t="s">
        <v>2200</v>
      </c>
      <c r="E200" s="137" t="s">
        <v>14</v>
      </c>
      <c r="F200" s="137" t="s">
        <v>7</v>
      </c>
      <c r="G200" s="137" t="s">
        <v>8</v>
      </c>
      <c r="H200" s="138">
        <v>190</v>
      </c>
    </row>
    <row r="201" spans="1:8">
      <c r="A201" s="134">
        <v>200</v>
      </c>
      <c r="B201" s="134" t="s">
        <v>1818</v>
      </c>
      <c r="C201" s="137" t="s">
        <v>2201</v>
      </c>
      <c r="D201" s="137" t="s">
        <v>2202</v>
      </c>
      <c r="E201" s="137" t="s">
        <v>18</v>
      </c>
      <c r="F201" s="137" t="s">
        <v>7</v>
      </c>
      <c r="G201" s="137" t="s">
        <v>8</v>
      </c>
      <c r="H201" s="138">
        <v>180</v>
      </c>
    </row>
    <row r="202" spans="1:8">
      <c r="A202" s="134">
        <v>201</v>
      </c>
      <c r="B202" s="134" t="s">
        <v>1818</v>
      </c>
      <c r="C202" s="137" t="s">
        <v>2203</v>
      </c>
      <c r="D202" s="137" t="s">
        <v>2204</v>
      </c>
      <c r="E202" s="137" t="s">
        <v>18</v>
      </c>
      <c r="F202" s="137" t="s">
        <v>7</v>
      </c>
      <c r="G202" s="137" t="s">
        <v>13</v>
      </c>
      <c r="H202" s="138">
        <v>227</v>
      </c>
    </row>
    <row r="203" spans="1:8">
      <c r="A203" s="134">
        <v>202</v>
      </c>
      <c r="B203" s="134" t="s">
        <v>1818</v>
      </c>
      <c r="C203" s="146" t="s">
        <v>2205</v>
      </c>
      <c r="D203" s="146" t="s">
        <v>2206</v>
      </c>
      <c r="E203" s="134" t="s">
        <v>14</v>
      </c>
      <c r="F203" s="134" t="s">
        <v>7</v>
      </c>
      <c r="G203" s="146" t="s">
        <v>8</v>
      </c>
      <c r="H203" s="140">
        <v>220</v>
      </c>
    </row>
    <row r="204" spans="1:8">
      <c r="A204" s="134">
        <v>203</v>
      </c>
      <c r="B204" s="134" t="s">
        <v>1818</v>
      </c>
      <c r="C204" s="134" t="s">
        <v>2207</v>
      </c>
      <c r="D204" s="134" t="s">
        <v>2208</v>
      </c>
      <c r="E204" s="134" t="s">
        <v>9</v>
      </c>
      <c r="F204" s="137" t="s">
        <v>10</v>
      </c>
      <c r="G204" s="134" t="s">
        <v>20</v>
      </c>
      <c r="H204" s="140">
        <v>220</v>
      </c>
    </row>
    <row r="205" spans="1:8">
      <c r="A205" s="134">
        <v>204</v>
      </c>
      <c r="B205" s="134" t="s">
        <v>1818</v>
      </c>
      <c r="C205" s="149" t="s">
        <v>2209</v>
      </c>
      <c r="D205" s="150" t="s">
        <v>2210</v>
      </c>
      <c r="E205" s="134" t="s">
        <v>12</v>
      </c>
      <c r="F205" s="134" t="s">
        <v>7</v>
      </c>
      <c r="G205" s="147" t="s">
        <v>8</v>
      </c>
      <c r="H205" s="151">
        <v>260</v>
      </c>
    </row>
    <row r="206" spans="1:8">
      <c r="A206" s="134">
        <v>205</v>
      </c>
      <c r="B206" s="134" t="s">
        <v>1818</v>
      </c>
      <c r="C206" s="137" t="s">
        <v>2211</v>
      </c>
      <c r="D206" s="137" t="s">
        <v>2212</v>
      </c>
      <c r="E206" s="137" t="s">
        <v>6</v>
      </c>
      <c r="F206" s="137" t="s">
        <v>7</v>
      </c>
      <c r="G206" s="137" t="s">
        <v>8</v>
      </c>
      <c r="H206" s="138">
        <v>220</v>
      </c>
    </row>
    <row r="207" spans="1:8">
      <c r="A207" s="134">
        <v>206</v>
      </c>
      <c r="B207" s="134" t="s">
        <v>1818</v>
      </c>
      <c r="C207" s="137" t="s">
        <v>2213</v>
      </c>
      <c r="D207" s="137" t="s">
        <v>2214</v>
      </c>
      <c r="E207" s="137" t="s">
        <v>18</v>
      </c>
      <c r="F207" s="137" t="s">
        <v>7</v>
      </c>
      <c r="G207" s="137" t="s">
        <v>8</v>
      </c>
      <c r="H207" s="138">
        <v>190</v>
      </c>
    </row>
    <row r="208" spans="1:8">
      <c r="A208" s="134">
        <v>207</v>
      </c>
      <c r="B208" s="134" t="s">
        <v>1818</v>
      </c>
      <c r="C208" s="137" t="s">
        <v>2215</v>
      </c>
      <c r="D208" s="137" t="s">
        <v>2216</v>
      </c>
      <c r="E208" s="137" t="s">
        <v>14</v>
      </c>
      <c r="F208" s="137" t="s">
        <v>7</v>
      </c>
      <c r="G208" s="137" t="s">
        <v>8</v>
      </c>
      <c r="H208" s="138">
        <v>190</v>
      </c>
    </row>
    <row r="209" spans="1:8">
      <c r="A209" s="134">
        <v>208</v>
      </c>
      <c r="B209" s="134" t="s">
        <v>1818</v>
      </c>
      <c r="C209" s="137" t="s">
        <v>2217</v>
      </c>
      <c r="D209" s="137" t="s">
        <v>2218</v>
      </c>
      <c r="E209" s="137" t="s">
        <v>18</v>
      </c>
      <c r="F209" s="137" t="s">
        <v>7</v>
      </c>
      <c r="G209" s="137" t="s">
        <v>8</v>
      </c>
      <c r="H209" s="138">
        <v>180</v>
      </c>
    </row>
    <row r="210" spans="1:8">
      <c r="A210" s="134">
        <v>209</v>
      </c>
      <c r="B210" s="134" t="s">
        <v>1818</v>
      </c>
      <c r="C210" s="146" t="s">
        <v>2219</v>
      </c>
      <c r="D210" s="146" t="s">
        <v>2220</v>
      </c>
      <c r="E210" s="134" t="s">
        <v>14</v>
      </c>
      <c r="F210" s="134" t="s">
        <v>7</v>
      </c>
      <c r="G210" s="146" t="s">
        <v>8</v>
      </c>
      <c r="H210" s="140">
        <v>220</v>
      </c>
    </row>
    <row r="211" spans="1:8">
      <c r="A211" s="134">
        <v>210</v>
      </c>
      <c r="B211" s="134" t="s">
        <v>1818</v>
      </c>
      <c r="C211" s="137" t="s">
        <v>2221</v>
      </c>
      <c r="D211" s="137" t="s">
        <v>2222</v>
      </c>
      <c r="E211" s="137" t="s">
        <v>18</v>
      </c>
      <c r="F211" s="137" t="s">
        <v>7</v>
      </c>
      <c r="G211" s="137" t="s">
        <v>8</v>
      </c>
      <c r="H211" s="138">
        <v>232</v>
      </c>
    </row>
    <row r="212" spans="1:8" ht="33.950000000000003" customHeight="1">
      <c r="A212" s="134">
        <v>211</v>
      </c>
      <c r="B212" s="134" t="s">
        <v>1818</v>
      </c>
      <c r="C212" s="134" t="s">
        <v>2223</v>
      </c>
      <c r="D212" s="135" t="s">
        <v>2224</v>
      </c>
      <c r="E212" s="134" t="s">
        <v>14</v>
      </c>
      <c r="F212" s="134" t="s">
        <v>7</v>
      </c>
      <c r="G212" s="134" t="s">
        <v>8</v>
      </c>
      <c r="H212" s="136">
        <v>180</v>
      </c>
    </row>
    <row r="213" spans="1:8">
      <c r="A213" s="134">
        <v>212</v>
      </c>
      <c r="B213" s="134" t="s">
        <v>1818</v>
      </c>
      <c r="C213" s="137" t="s">
        <v>2225</v>
      </c>
      <c r="D213" s="137" t="s">
        <v>2226</v>
      </c>
      <c r="E213" s="137" t="s">
        <v>18</v>
      </c>
      <c r="F213" s="137" t="s">
        <v>7</v>
      </c>
      <c r="G213" s="137" t="s">
        <v>8</v>
      </c>
      <c r="H213" s="138">
        <v>220</v>
      </c>
    </row>
    <row r="214" spans="1:8">
      <c r="A214" s="134">
        <v>213</v>
      </c>
      <c r="B214" s="134" t="s">
        <v>1818</v>
      </c>
      <c r="C214" s="139" t="s">
        <v>2227</v>
      </c>
      <c r="D214" s="134" t="s">
        <v>2228</v>
      </c>
      <c r="F214" s="134" t="s">
        <v>7</v>
      </c>
      <c r="G214" s="134" t="s">
        <v>8</v>
      </c>
      <c r="H214" s="141">
        <v>220</v>
      </c>
    </row>
    <row r="215" spans="1:8">
      <c r="A215" s="134">
        <v>214</v>
      </c>
      <c r="B215" s="134" t="s">
        <v>1818</v>
      </c>
      <c r="C215" s="134" t="s">
        <v>2229</v>
      </c>
      <c r="D215" s="134" t="s">
        <v>2230</v>
      </c>
      <c r="E215" s="134" t="s">
        <v>6</v>
      </c>
      <c r="F215" s="134" t="s">
        <v>7</v>
      </c>
      <c r="G215" s="134" t="s">
        <v>8</v>
      </c>
      <c r="H215" s="140">
        <v>190</v>
      </c>
    </row>
    <row r="216" spans="1:8">
      <c r="A216" s="134">
        <v>215</v>
      </c>
      <c r="B216" s="134" t="s">
        <v>1818</v>
      </c>
      <c r="C216" s="137" t="s">
        <v>2231</v>
      </c>
      <c r="D216" s="137" t="s">
        <v>2232</v>
      </c>
      <c r="E216" s="137" t="s">
        <v>6</v>
      </c>
      <c r="F216" s="137" t="s">
        <v>10</v>
      </c>
      <c r="G216" s="137" t="s">
        <v>8</v>
      </c>
      <c r="H216" s="138">
        <v>274</v>
      </c>
    </row>
    <row r="217" spans="1:8">
      <c r="A217" s="134">
        <v>216</v>
      </c>
      <c r="B217" s="134" t="s">
        <v>1818</v>
      </c>
      <c r="C217" s="137" t="s">
        <v>2233</v>
      </c>
      <c r="D217" s="137" t="s">
        <v>2234</v>
      </c>
      <c r="E217" s="137" t="s">
        <v>14</v>
      </c>
      <c r="F217" s="137" t="s">
        <v>7</v>
      </c>
      <c r="G217" s="137" t="s">
        <v>8</v>
      </c>
      <c r="H217" s="138">
        <v>180</v>
      </c>
    </row>
    <row r="218" spans="1:8">
      <c r="A218" s="134">
        <v>217</v>
      </c>
      <c r="B218" s="134" t="s">
        <v>1818</v>
      </c>
      <c r="C218" s="137" t="s">
        <v>2235</v>
      </c>
      <c r="D218" s="137" t="s">
        <v>2236</v>
      </c>
      <c r="E218" s="137" t="s">
        <v>6</v>
      </c>
      <c r="F218" s="137" t="s">
        <v>7</v>
      </c>
      <c r="G218" s="137" t="s">
        <v>8</v>
      </c>
      <c r="H218" s="138">
        <v>190</v>
      </c>
    </row>
    <row r="219" spans="1:8">
      <c r="A219" s="134">
        <v>218</v>
      </c>
      <c r="B219" s="134" t="s">
        <v>1818</v>
      </c>
      <c r="C219" s="137" t="s">
        <v>2237</v>
      </c>
      <c r="D219" s="137" t="s">
        <v>2238</v>
      </c>
      <c r="E219" s="137" t="s">
        <v>6</v>
      </c>
      <c r="F219" s="137" t="s">
        <v>7</v>
      </c>
      <c r="G219" s="137" t="s">
        <v>8</v>
      </c>
      <c r="H219" s="138">
        <v>232</v>
      </c>
    </row>
    <row r="220" spans="1:8">
      <c r="A220" s="134">
        <v>219</v>
      </c>
      <c r="B220" s="134" t="s">
        <v>1818</v>
      </c>
      <c r="C220" s="139" t="s">
        <v>2239</v>
      </c>
      <c r="D220" s="134" t="s">
        <v>2240</v>
      </c>
      <c r="E220" s="134" t="s">
        <v>16</v>
      </c>
      <c r="F220" s="134" t="s">
        <v>10</v>
      </c>
      <c r="G220" s="134" t="s">
        <v>8</v>
      </c>
      <c r="H220" s="141">
        <v>260</v>
      </c>
    </row>
    <row r="221" spans="1:8">
      <c r="A221" s="134">
        <v>220</v>
      </c>
      <c r="B221" s="134" t="s">
        <v>1818</v>
      </c>
      <c r="C221" s="137" t="s">
        <v>2241</v>
      </c>
      <c r="D221" s="137" t="s">
        <v>2242</v>
      </c>
      <c r="E221" s="137" t="s">
        <v>6</v>
      </c>
      <c r="F221" s="137" t="s">
        <v>7</v>
      </c>
      <c r="G221" s="137" t="s">
        <v>8</v>
      </c>
      <c r="H221" s="138">
        <v>220</v>
      </c>
    </row>
    <row r="222" spans="1:8">
      <c r="A222" s="134">
        <v>221</v>
      </c>
      <c r="B222" s="134" t="s">
        <v>1818</v>
      </c>
      <c r="C222" s="137" t="s">
        <v>2243</v>
      </c>
      <c r="D222" s="137" t="s">
        <v>2244</v>
      </c>
      <c r="E222" s="137" t="s">
        <v>12</v>
      </c>
      <c r="F222" s="137" t="s">
        <v>7</v>
      </c>
      <c r="G222" s="137" t="s">
        <v>8</v>
      </c>
      <c r="H222" s="138">
        <v>190</v>
      </c>
    </row>
    <row r="223" spans="1:8">
      <c r="A223" s="134">
        <v>222</v>
      </c>
      <c r="B223" s="134" t="s">
        <v>1818</v>
      </c>
      <c r="C223" s="134" t="s">
        <v>2245</v>
      </c>
      <c r="D223" s="134" t="s">
        <v>2246</v>
      </c>
      <c r="E223" s="134" t="s">
        <v>12</v>
      </c>
      <c r="F223" s="134" t="s">
        <v>7</v>
      </c>
      <c r="G223" s="134" t="s">
        <v>8</v>
      </c>
      <c r="H223" s="140">
        <v>180</v>
      </c>
    </row>
    <row r="224" spans="1:8">
      <c r="A224" s="134">
        <v>223</v>
      </c>
      <c r="B224" s="134" t="s">
        <v>1818</v>
      </c>
      <c r="C224" s="137" t="s">
        <v>2247</v>
      </c>
      <c r="D224" s="137" t="s">
        <v>2248</v>
      </c>
      <c r="E224" s="137" t="s">
        <v>6</v>
      </c>
      <c r="F224" s="137" t="s">
        <v>7</v>
      </c>
      <c r="G224" s="137" t="s">
        <v>8</v>
      </c>
      <c r="H224" s="138">
        <v>190</v>
      </c>
    </row>
    <row r="225" spans="1:8">
      <c r="A225" s="134">
        <v>224</v>
      </c>
      <c r="B225" s="134" t="s">
        <v>1818</v>
      </c>
      <c r="C225" s="137" t="s">
        <v>2249</v>
      </c>
      <c r="D225" s="137" t="s">
        <v>2244</v>
      </c>
      <c r="E225" s="137" t="s">
        <v>18</v>
      </c>
      <c r="F225" s="137" t="s">
        <v>7</v>
      </c>
      <c r="G225" s="137" t="s">
        <v>8</v>
      </c>
      <c r="H225" s="138">
        <v>190</v>
      </c>
    </row>
    <row r="226" spans="1:8" ht="33">
      <c r="A226" s="134">
        <v>225</v>
      </c>
      <c r="B226" s="134" t="s">
        <v>1818</v>
      </c>
      <c r="C226" s="134" t="s">
        <v>2250</v>
      </c>
      <c r="D226" s="134" t="s">
        <v>2251</v>
      </c>
      <c r="E226" s="134" t="s">
        <v>6</v>
      </c>
      <c r="F226" s="134" t="s">
        <v>7</v>
      </c>
      <c r="G226" s="137" t="s">
        <v>8</v>
      </c>
      <c r="H226" s="168">
        <v>274</v>
      </c>
    </row>
    <row r="227" spans="1:8">
      <c r="A227" s="134">
        <v>226</v>
      </c>
      <c r="B227" s="134" t="s">
        <v>1818</v>
      </c>
      <c r="C227" s="137" t="s">
        <v>2252</v>
      </c>
      <c r="D227" s="137" t="s">
        <v>2253</v>
      </c>
      <c r="E227" s="137" t="s">
        <v>18</v>
      </c>
      <c r="F227" s="137" t="s">
        <v>7</v>
      </c>
      <c r="G227" s="137" t="s">
        <v>8</v>
      </c>
      <c r="H227" s="138">
        <v>232</v>
      </c>
    </row>
    <row r="228" spans="1:8">
      <c r="A228" s="134">
        <v>227</v>
      </c>
      <c r="B228" s="134" t="s">
        <v>1818</v>
      </c>
      <c r="C228" s="137" t="s">
        <v>2254</v>
      </c>
      <c r="D228" s="137" t="s">
        <v>2255</v>
      </c>
      <c r="E228" s="137" t="s">
        <v>15</v>
      </c>
      <c r="F228" s="137" t="s">
        <v>7</v>
      </c>
      <c r="G228" s="137" t="s">
        <v>8</v>
      </c>
      <c r="H228" s="138">
        <v>232</v>
      </c>
    </row>
    <row r="229" spans="1:8">
      <c r="A229" s="134">
        <v>228</v>
      </c>
      <c r="B229" s="134" t="s">
        <v>1818</v>
      </c>
      <c r="C229" s="149" t="s">
        <v>2256</v>
      </c>
      <c r="D229" s="134" t="s">
        <v>2257</v>
      </c>
      <c r="F229" s="134" t="s">
        <v>7</v>
      </c>
      <c r="G229" s="147" t="s">
        <v>8</v>
      </c>
      <c r="H229" s="154">
        <v>220</v>
      </c>
    </row>
    <row r="230" spans="1:8" ht="33">
      <c r="A230" s="134">
        <v>229</v>
      </c>
      <c r="B230" s="134" t="s">
        <v>1818</v>
      </c>
      <c r="C230" s="134" t="s">
        <v>2258</v>
      </c>
      <c r="D230" s="135" t="s">
        <v>2259</v>
      </c>
      <c r="E230" s="134" t="s">
        <v>9</v>
      </c>
      <c r="F230" s="134" t="s">
        <v>7</v>
      </c>
      <c r="G230" s="134" t="s">
        <v>8</v>
      </c>
      <c r="H230" s="136">
        <v>180</v>
      </c>
    </row>
    <row r="231" spans="1:8">
      <c r="A231" s="134">
        <v>230</v>
      </c>
      <c r="B231" s="134" t="s">
        <v>1818</v>
      </c>
      <c r="C231" s="137" t="s">
        <v>2260</v>
      </c>
      <c r="D231" s="137" t="s">
        <v>2261</v>
      </c>
      <c r="E231" s="137" t="s">
        <v>14</v>
      </c>
      <c r="F231" s="137" t="s">
        <v>10</v>
      </c>
      <c r="G231" s="137" t="s">
        <v>8</v>
      </c>
      <c r="H231" s="138">
        <v>232</v>
      </c>
    </row>
    <row r="232" spans="1:8">
      <c r="A232" s="134">
        <v>231</v>
      </c>
      <c r="B232" s="134" t="s">
        <v>1818</v>
      </c>
      <c r="C232" s="137" t="s">
        <v>2262</v>
      </c>
      <c r="D232" s="137" t="s">
        <v>2263</v>
      </c>
      <c r="E232" s="137" t="s">
        <v>6</v>
      </c>
      <c r="F232" s="137" t="s">
        <v>7</v>
      </c>
      <c r="G232" s="137" t="s">
        <v>8</v>
      </c>
      <c r="H232" s="138">
        <v>190</v>
      </c>
    </row>
    <row r="233" spans="1:8">
      <c r="A233" s="134">
        <v>232</v>
      </c>
      <c r="B233" s="134" t="s">
        <v>1818</v>
      </c>
      <c r="C233" s="137" t="s">
        <v>2264</v>
      </c>
      <c r="D233" s="137" t="s">
        <v>2265</v>
      </c>
      <c r="E233" s="137" t="s">
        <v>14</v>
      </c>
      <c r="F233" s="137" t="s">
        <v>7</v>
      </c>
      <c r="G233" s="137" t="s">
        <v>8</v>
      </c>
      <c r="H233" s="138">
        <v>180</v>
      </c>
    </row>
    <row r="234" spans="1:8">
      <c r="A234" s="134">
        <v>233</v>
      </c>
      <c r="B234" s="134" t="s">
        <v>1818</v>
      </c>
      <c r="C234" s="137" t="s">
        <v>2266</v>
      </c>
      <c r="D234" s="137" t="s">
        <v>2267</v>
      </c>
      <c r="E234" s="137" t="s">
        <v>6</v>
      </c>
      <c r="F234" s="137" t="s">
        <v>7</v>
      </c>
      <c r="G234" s="137" t="s">
        <v>8</v>
      </c>
      <c r="H234" s="138">
        <v>232</v>
      </c>
    </row>
    <row r="235" spans="1:8">
      <c r="A235" s="134">
        <v>234</v>
      </c>
      <c r="B235" s="134" t="s">
        <v>1818</v>
      </c>
      <c r="C235" s="146" t="s">
        <v>2268</v>
      </c>
      <c r="D235" s="146" t="s">
        <v>2269</v>
      </c>
      <c r="E235" s="134" t="s">
        <v>14</v>
      </c>
      <c r="F235" s="134" t="s">
        <v>7</v>
      </c>
      <c r="G235" s="146" t="s">
        <v>8</v>
      </c>
      <c r="H235" s="140">
        <v>180</v>
      </c>
    </row>
    <row r="236" spans="1:8">
      <c r="A236" s="134">
        <v>235</v>
      </c>
      <c r="B236" s="134" t="s">
        <v>1818</v>
      </c>
      <c r="C236" s="146" t="s">
        <v>2270</v>
      </c>
      <c r="D236" s="146" t="s">
        <v>2271</v>
      </c>
      <c r="G236" s="146" t="s">
        <v>8</v>
      </c>
      <c r="H236" s="140">
        <v>180</v>
      </c>
    </row>
    <row r="237" spans="1:8">
      <c r="A237" s="134">
        <v>236</v>
      </c>
      <c r="B237" s="134" t="s">
        <v>1818</v>
      </c>
      <c r="C237" s="137" t="s">
        <v>2272</v>
      </c>
      <c r="D237" s="137" t="s">
        <v>2273</v>
      </c>
      <c r="E237" s="137" t="s">
        <v>6</v>
      </c>
      <c r="F237" s="137" t="s">
        <v>7</v>
      </c>
      <c r="G237" s="137" t="s">
        <v>8</v>
      </c>
      <c r="H237" s="138">
        <v>180</v>
      </c>
    </row>
    <row r="238" spans="1:8">
      <c r="A238" s="134">
        <v>237</v>
      </c>
      <c r="B238" s="134" t="s">
        <v>1818</v>
      </c>
      <c r="C238" s="137" t="s">
        <v>2274</v>
      </c>
      <c r="D238" s="137" t="s">
        <v>2275</v>
      </c>
      <c r="E238" s="137" t="s">
        <v>6</v>
      </c>
      <c r="F238" s="137" t="s">
        <v>7</v>
      </c>
      <c r="G238" s="137" t="s">
        <v>8</v>
      </c>
      <c r="H238" s="138">
        <v>220</v>
      </c>
    </row>
    <row r="239" spans="1:8">
      <c r="A239" s="134">
        <v>238</v>
      </c>
      <c r="B239" s="134" t="s">
        <v>1818</v>
      </c>
      <c r="C239" s="137" t="s">
        <v>2276</v>
      </c>
      <c r="D239" s="137" t="s">
        <v>2277</v>
      </c>
      <c r="E239" s="137" t="s">
        <v>14</v>
      </c>
      <c r="F239" s="137" t="s">
        <v>10</v>
      </c>
      <c r="G239" s="137" t="s">
        <v>13</v>
      </c>
      <c r="H239" s="138">
        <v>227</v>
      </c>
    </row>
    <row r="240" spans="1:8">
      <c r="A240" s="134">
        <v>239</v>
      </c>
      <c r="B240" s="134" t="s">
        <v>1818</v>
      </c>
      <c r="C240" s="146" t="s">
        <v>2278</v>
      </c>
      <c r="D240" s="146" t="s">
        <v>2279</v>
      </c>
      <c r="G240" s="146" t="s">
        <v>8</v>
      </c>
      <c r="H240" s="140">
        <v>180</v>
      </c>
    </row>
    <row r="241" spans="1:8">
      <c r="A241" s="134">
        <v>240</v>
      </c>
      <c r="B241" s="134" t="s">
        <v>1818</v>
      </c>
      <c r="C241" s="146" t="s">
        <v>2280</v>
      </c>
      <c r="D241" s="146" t="s">
        <v>2281</v>
      </c>
      <c r="E241" s="134" t="s">
        <v>14</v>
      </c>
      <c r="F241" s="134" t="s">
        <v>7</v>
      </c>
      <c r="G241" s="146" t="s">
        <v>8</v>
      </c>
      <c r="H241" s="140">
        <v>260</v>
      </c>
    </row>
    <row r="242" spans="1:8">
      <c r="A242" s="134">
        <v>241</v>
      </c>
      <c r="B242" s="134" t="s">
        <v>1818</v>
      </c>
      <c r="C242" s="144" t="s">
        <v>2282</v>
      </c>
      <c r="D242" s="144" t="s">
        <v>2283</v>
      </c>
      <c r="E242" s="144" t="s">
        <v>18</v>
      </c>
      <c r="F242" s="144" t="s">
        <v>7</v>
      </c>
      <c r="G242" s="144" t="s">
        <v>8</v>
      </c>
      <c r="H242" s="145">
        <v>227</v>
      </c>
    </row>
    <row r="243" spans="1:8">
      <c r="A243" s="134">
        <v>242</v>
      </c>
      <c r="B243" s="134" t="s">
        <v>1818</v>
      </c>
      <c r="C243" s="137" t="s">
        <v>2284</v>
      </c>
      <c r="D243" s="137" t="s">
        <v>2285</v>
      </c>
      <c r="E243" s="137" t="s">
        <v>18</v>
      </c>
      <c r="F243" s="137" t="s">
        <v>10</v>
      </c>
      <c r="G243" s="137" t="s">
        <v>13</v>
      </c>
      <c r="H243" s="138">
        <v>232</v>
      </c>
    </row>
    <row r="244" spans="1:8">
      <c r="A244" s="134">
        <v>243</v>
      </c>
      <c r="B244" s="134" t="s">
        <v>1818</v>
      </c>
      <c r="C244" s="137" t="s">
        <v>2286</v>
      </c>
      <c r="D244" s="137" t="s">
        <v>2287</v>
      </c>
      <c r="E244" s="137" t="s">
        <v>12</v>
      </c>
      <c r="F244" s="137" t="s">
        <v>7</v>
      </c>
      <c r="G244" s="137" t="s">
        <v>8</v>
      </c>
      <c r="H244" s="138">
        <v>220</v>
      </c>
    </row>
    <row r="245" spans="1:8">
      <c r="A245" s="134">
        <v>244</v>
      </c>
      <c r="B245" s="134" t="s">
        <v>1818</v>
      </c>
      <c r="C245" s="134" t="s">
        <v>2288</v>
      </c>
      <c r="D245" s="134" t="s">
        <v>2218</v>
      </c>
      <c r="E245" s="134" t="s">
        <v>14</v>
      </c>
      <c r="F245" s="137" t="s">
        <v>10</v>
      </c>
      <c r="G245" s="134" t="s">
        <v>20</v>
      </c>
      <c r="H245" s="140">
        <v>180</v>
      </c>
    </row>
    <row r="246" spans="1:8">
      <c r="A246" s="134">
        <v>245</v>
      </c>
      <c r="B246" s="134" t="s">
        <v>1818</v>
      </c>
      <c r="C246" s="134" t="s">
        <v>2289</v>
      </c>
      <c r="D246" s="134" t="s">
        <v>2290</v>
      </c>
      <c r="E246" s="134" t="s">
        <v>9</v>
      </c>
      <c r="F246" s="134" t="s">
        <v>7</v>
      </c>
      <c r="G246" s="134" t="s">
        <v>8</v>
      </c>
      <c r="H246" s="140">
        <v>180</v>
      </c>
    </row>
    <row r="247" spans="1:8">
      <c r="A247" s="134">
        <v>246</v>
      </c>
      <c r="B247" s="134" t="s">
        <v>1818</v>
      </c>
      <c r="C247" s="146" t="s">
        <v>2291</v>
      </c>
      <c r="D247" s="146" t="s">
        <v>2292</v>
      </c>
      <c r="G247" s="146" t="s">
        <v>8</v>
      </c>
      <c r="H247" s="140">
        <v>274</v>
      </c>
    </row>
    <row r="248" spans="1:8" ht="33">
      <c r="A248" s="134">
        <v>247</v>
      </c>
      <c r="B248" s="134" t="s">
        <v>1818</v>
      </c>
      <c r="C248" s="137" t="s">
        <v>2293</v>
      </c>
      <c r="D248" s="137" t="s">
        <v>2294</v>
      </c>
      <c r="E248" s="137" t="s">
        <v>18</v>
      </c>
      <c r="F248" s="137" t="s">
        <v>7</v>
      </c>
      <c r="G248" s="137" t="s">
        <v>8</v>
      </c>
      <c r="H248" s="138">
        <v>190</v>
      </c>
    </row>
    <row r="249" spans="1:8">
      <c r="A249" s="134">
        <v>248</v>
      </c>
      <c r="B249" s="134" t="s">
        <v>1818</v>
      </c>
      <c r="C249" s="137" t="s">
        <v>2295</v>
      </c>
      <c r="D249" s="137" t="s">
        <v>2296</v>
      </c>
      <c r="E249" s="137" t="s">
        <v>6</v>
      </c>
      <c r="F249" s="137" t="s">
        <v>7</v>
      </c>
      <c r="G249" s="137" t="s">
        <v>8</v>
      </c>
      <c r="H249" s="138">
        <v>190</v>
      </c>
    </row>
    <row r="250" spans="1:8">
      <c r="A250" s="134">
        <v>249</v>
      </c>
      <c r="B250" s="134" t="s">
        <v>1818</v>
      </c>
      <c r="C250" s="146" t="s">
        <v>2297</v>
      </c>
      <c r="D250" s="146" t="s">
        <v>2298</v>
      </c>
      <c r="G250" s="146" t="s">
        <v>8</v>
      </c>
      <c r="H250" s="140">
        <v>180</v>
      </c>
    </row>
    <row r="251" spans="1:8">
      <c r="A251" s="134">
        <v>250</v>
      </c>
      <c r="B251" s="134" t="s">
        <v>1818</v>
      </c>
      <c r="C251" s="137" t="s">
        <v>2299</v>
      </c>
      <c r="D251" s="137" t="s">
        <v>2300</v>
      </c>
      <c r="E251" s="137" t="s">
        <v>15</v>
      </c>
      <c r="F251" s="137" t="s">
        <v>7</v>
      </c>
      <c r="G251" s="137" t="s">
        <v>24</v>
      </c>
      <c r="H251" s="138">
        <v>227</v>
      </c>
    </row>
    <row r="252" spans="1:8">
      <c r="A252" s="134">
        <v>251</v>
      </c>
      <c r="B252" s="134" t="s">
        <v>1818</v>
      </c>
      <c r="C252" s="134" t="s">
        <v>2301</v>
      </c>
      <c r="D252" s="134" t="s">
        <v>2302</v>
      </c>
      <c r="E252" s="134" t="s">
        <v>9</v>
      </c>
      <c r="F252" s="134" t="s">
        <v>7</v>
      </c>
      <c r="G252" s="134" t="s">
        <v>8</v>
      </c>
      <c r="H252" s="140">
        <v>180</v>
      </c>
    </row>
    <row r="253" spans="1:8">
      <c r="A253" s="134">
        <v>252</v>
      </c>
      <c r="B253" s="134" t="s">
        <v>1818</v>
      </c>
      <c r="C253" s="139" t="s">
        <v>2303</v>
      </c>
      <c r="D253" s="134" t="s">
        <v>2304</v>
      </c>
      <c r="G253" s="134" t="s">
        <v>8</v>
      </c>
      <c r="H253" s="141">
        <v>260</v>
      </c>
    </row>
    <row r="254" spans="1:8">
      <c r="A254" s="134">
        <v>253</v>
      </c>
      <c r="B254" s="134" t="s">
        <v>1818</v>
      </c>
      <c r="C254" s="134" t="s">
        <v>2305</v>
      </c>
      <c r="D254" s="134" t="s">
        <v>2306</v>
      </c>
      <c r="E254" s="134" t="s">
        <v>12</v>
      </c>
      <c r="F254" s="137" t="s">
        <v>10</v>
      </c>
      <c r="G254" s="134" t="s">
        <v>20</v>
      </c>
      <c r="H254" s="140">
        <v>220</v>
      </c>
    </row>
    <row r="255" spans="1:8">
      <c r="A255" s="134">
        <v>254</v>
      </c>
      <c r="B255" s="134" t="s">
        <v>1818</v>
      </c>
      <c r="C255" s="137" t="s">
        <v>2307</v>
      </c>
      <c r="D255" s="137" t="s">
        <v>2308</v>
      </c>
      <c r="E255" s="137" t="s">
        <v>14</v>
      </c>
      <c r="F255" s="137" t="s">
        <v>10</v>
      </c>
      <c r="G255" s="137" t="s">
        <v>13</v>
      </c>
      <c r="H255" s="138">
        <v>232</v>
      </c>
    </row>
    <row r="256" spans="1:8">
      <c r="A256" s="134">
        <v>255</v>
      </c>
      <c r="B256" s="134" t="s">
        <v>1818</v>
      </c>
      <c r="C256" s="137" t="s">
        <v>2309</v>
      </c>
      <c r="D256" s="137" t="s">
        <v>2310</v>
      </c>
      <c r="E256" s="137" t="s">
        <v>14</v>
      </c>
      <c r="F256" s="137" t="s">
        <v>7</v>
      </c>
      <c r="G256" s="137" t="s">
        <v>13</v>
      </c>
      <c r="H256" s="138">
        <v>227</v>
      </c>
    </row>
    <row r="257" spans="1:9">
      <c r="A257" s="134">
        <v>256</v>
      </c>
      <c r="B257" s="134" t="s">
        <v>1818</v>
      </c>
      <c r="C257" s="139" t="s">
        <v>2311</v>
      </c>
      <c r="D257" s="139" t="s">
        <v>2312</v>
      </c>
      <c r="F257" s="134" t="s">
        <v>10</v>
      </c>
      <c r="G257" s="134" t="s">
        <v>20</v>
      </c>
      <c r="H257" s="140">
        <v>125</v>
      </c>
    </row>
    <row r="258" spans="1:9">
      <c r="A258" s="134">
        <v>257</v>
      </c>
      <c r="B258" s="134" t="s">
        <v>1818</v>
      </c>
      <c r="C258" s="134" t="s">
        <v>2313</v>
      </c>
      <c r="D258" s="135" t="s">
        <v>2314</v>
      </c>
      <c r="E258" s="134" t="s">
        <v>18</v>
      </c>
      <c r="F258" s="134" t="s">
        <v>7</v>
      </c>
      <c r="G258" s="134" t="s">
        <v>8</v>
      </c>
      <c r="H258" s="136">
        <v>180</v>
      </c>
    </row>
    <row r="259" spans="1:9">
      <c r="A259" s="134">
        <v>258</v>
      </c>
      <c r="B259" s="134" t="s">
        <v>1818</v>
      </c>
      <c r="C259" s="139" t="s">
        <v>2315</v>
      </c>
      <c r="D259" s="134" t="s">
        <v>2316</v>
      </c>
      <c r="E259" s="134" t="s">
        <v>9</v>
      </c>
      <c r="F259" s="134" t="s">
        <v>7</v>
      </c>
      <c r="G259" s="134" t="s">
        <v>8</v>
      </c>
      <c r="H259" s="141">
        <v>215</v>
      </c>
    </row>
    <row r="260" spans="1:9">
      <c r="A260" s="134">
        <v>259</v>
      </c>
      <c r="B260" s="134" t="s">
        <v>1818</v>
      </c>
      <c r="C260" s="134" t="s">
        <v>2317</v>
      </c>
      <c r="D260" s="134" t="s">
        <v>2318</v>
      </c>
      <c r="E260" s="134" t="s">
        <v>12</v>
      </c>
      <c r="F260" s="137" t="s">
        <v>10</v>
      </c>
      <c r="G260" s="134" t="s">
        <v>20</v>
      </c>
      <c r="H260" s="140">
        <v>220</v>
      </c>
    </row>
    <row r="261" spans="1:9">
      <c r="A261" s="134">
        <v>260</v>
      </c>
      <c r="B261" s="134" t="s">
        <v>1818</v>
      </c>
      <c r="C261" s="134" t="s">
        <v>2319</v>
      </c>
      <c r="D261" s="135" t="s">
        <v>2320</v>
      </c>
      <c r="E261" s="134" t="s">
        <v>14</v>
      </c>
      <c r="F261" s="134" t="s">
        <v>7</v>
      </c>
      <c r="H261" s="136">
        <v>220</v>
      </c>
    </row>
    <row r="262" spans="1:9">
      <c r="A262" s="134">
        <v>261</v>
      </c>
      <c r="B262" s="134" t="s">
        <v>1818</v>
      </c>
      <c r="C262" s="137" t="s">
        <v>2321</v>
      </c>
      <c r="D262" s="137" t="s">
        <v>2322</v>
      </c>
      <c r="E262" s="137" t="s">
        <v>14</v>
      </c>
      <c r="F262" s="137" t="s">
        <v>10</v>
      </c>
      <c r="G262" s="137" t="s">
        <v>11</v>
      </c>
      <c r="H262" s="138">
        <v>232</v>
      </c>
    </row>
    <row r="263" spans="1:9">
      <c r="A263" s="134">
        <v>262</v>
      </c>
      <c r="B263" s="134" t="s">
        <v>1818</v>
      </c>
      <c r="C263" s="137" t="s">
        <v>2323</v>
      </c>
      <c r="D263" s="137" t="s">
        <v>2324</v>
      </c>
      <c r="E263" s="137" t="s">
        <v>15</v>
      </c>
      <c r="F263" s="137" t="s">
        <v>10</v>
      </c>
      <c r="G263" s="137" t="s">
        <v>13</v>
      </c>
      <c r="H263" s="138">
        <v>190</v>
      </c>
    </row>
    <row r="264" spans="1:9">
      <c r="A264" s="134">
        <v>263</v>
      </c>
      <c r="B264" s="134" t="s">
        <v>1818</v>
      </c>
      <c r="C264" s="137" t="s">
        <v>2325</v>
      </c>
      <c r="D264" s="137" t="s">
        <v>2326</v>
      </c>
      <c r="E264" s="137" t="s">
        <v>14</v>
      </c>
      <c r="F264" s="137" t="s">
        <v>7</v>
      </c>
      <c r="G264" s="137" t="s">
        <v>13</v>
      </c>
      <c r="H264" s="138">
        <v>190</v>
      </c>
    </row>
    <row r="265" spans="1:9">
      <c r="A265" s="134">
        <v>264</v>
      </c>
      <c r="B265" s="134" t="s">
        <v>1818</v>
      </c>
      <c r="C265" s="137" t="s">
        <v>2327</v>
      </c>
      <c r="D265" s="137" t="s">
        <v>2328</v>
      </c>
      <c r="E265" s="137" t="s">
        <v>18</v>
      </c>
      <c r="F265" s="137" t="s">
        <v>7</v>
      </c>
      <c r="G265" s="137" t="s">
        <v>13</v>
      </c>
      <c r="H265" s="138">
        <v>190</v>
      </c>
    </row>
    <row r="266" spans="1:9">
      <c r="A266" s="134">
        <v>265</v>
      </c>
      <c r="B266" s="134" t="s">
        <v>1818</v>
      </c>
      <c r="C266" s="137" t="s">
        <v>2329</v>
      </c>
      <c r="D266" s="137" t="s">
        <v>2330</v>
      </c>
      <c r="E266" s="137" t="s">
        <v>14</v>
      </c>
      <c r="F266" s="137" t="s">
        <v>10</v>
      </c>
      <c r="G266" s="137" t="s">
        <v>25</v>
      </c>
      <c r="H266" s="138">
        <v>396</v>
      </c>
    </row>
    <row r="267" spans="1:9">
      <c r="A267" s="134">
        <v>266</v>
      </c>
      <c r="B267" s="134" t="s">
        <v>1818</v>
      </c>
      <c r="C267" s="134" t="s">
        <v>2331</v>
      </c>
      <c r="D267" s="134" t="s">
        <v>2332</v>
      </c>
      <c r="E267" s="134" t="s">
        <v>6</v>
      </c>
      <c r="F267" s="134" t="s">
        <v>10</v>
      </c>
      <c r="G267" s="134" t="s">
        <v>13</v>
      </c>
      <c r="H267" s="140">
        <v>285</v>
      </c>
      <c r="I267" s="156"/>
    </row>
    <row r="268" spans="1:9">
      <c r="A268" s="134">
        <v>267</v>
      </c>
      <c r="B268" s="134" t="s">
        <v>1818</v>
      </c>
      <c r="C268" s="166" t="s">
        <v>2333</v>
      </c>
      <c r="D268" s="134" t="s">
        <v>2334</v>
      </c>
      <c r="E268" s="134" t="s">
        <v>9</v>
      </c>
      <c r="F268" s="134" t="s">
        <v>10</v>
      </c>
      <c r="G268" s="147" t="s">
        <v>8</v>
      </c>
      <c r="H268" s="167">
        <v>220</v>
      </c>
    </row>
    <row r="269" spans="1:9">
      <c r="A269" s="134">
        <v>268</v>
      </c>
      <c r="B269" s="134" t="s">
        <v>1818</v>
      </c>
      <c r="C269" s="137" t="s">
        <v>2335</v>
      </c>
      <c r="D269" s="137" t="s">
        <v>2336</v>
      </c>
      <c r="E269" s="137" t="s">
        <v>6</v>
      </c>
      <c r="F269" s="137" t="s">
        <v>7</v>
      </c>
      <c r="G269" s="137" t="s">
        <v>13</v>
      </c>
      <c r="H269" s="138">
        <v>190</v>
      </c>
    </row>
    <row r="270" spans="1:9">
      <c r="A270" s="134">
        <v>269</v>
      </c>
      <c r="B270" s="134" t="s">
        <v>1818</v>
      </c>
      <c r="C270" s="137" t="s">
        <v>2335</v>
      </c>
      <c r="D270" s="137" t="s">
        <v>2337</v>
      </c>
      <c r="E270" s="137" t="s">
        <v>14</v>
      </c>
      <c r="F270" s="137" t="s">
        <v>7</v>
      </c>
      <c r="G270" s="137" t="s">
        <v>13</v>
      </c>
      <c r="H270" s="138">
        <v>190</v>
      </c>
    </row>
    <row r="271" spans="1:9">
      <c r="A271" s="134">
        <v>270</v>
      </c>
      <c r="B271" s="134" t="s">
        <v>1818</v>
      </c>
      <c r="C271" s="134" t="s">
        <v>2335</v>
      </c>
      <c r="D271" s="134" t="s">
        <v>2338</v>
      </c>
      <c r="E271" s="134" t="s">
        <v>26</v>
      </c>
      <c r="F271" s="134" t="s">
        <v>10</v>
      </c>
      <c r="G271" s="134" t="s">
        <v>20</v>
      </c>
      <c r="H271" s="140">
        <v>160</v>
      </c>
    </row>
    <row r="272" spans="1:9">
      <c r="A272" s="134">
        <v>271</v>
      </c>
      <c r="B272" s="134" t="s">
        <v>1818</v>
      </c>
      <c r="C272" s="137" t="s">
        <v>2339</v>
      </c>
      <c r="D272" s="137" t="s">
        <v>2340</v>
      </c>
      <c r="E272" s="137" t="s">
        <v>14</v>
      </c>
      <c r="F272" s="137" t="s">
        <v>10</v>
      </c>
      <c r="G272" s="137" t="s">
        <v>13</v>
      </c>
      <c r="H272" s="138">
        <v>190</v>
      </c>
    </row>
    <row r="273" spans="1:9">
      <c r="A273" s="134">
        <v>272</v>
      </c>
      <c r="B273" s="134" t="s">
        <v>1818</v>
      </c>
      <c r="C273" s="137" t="s">
        <v>2341</v>
      </c>
      <c r="D273" s="137" t="s">
        <v>2342</v>
      </c>
      <c r="E273" s="137" t="s">
        <v>18</v>
      </c>
      <c r="F273" s="137" t="s">
        <v>7</v>
      </c>
      <c r="G273" s="137" t="s">
        <v>8</v>
      </c>
      <c r="H273" s="138">
        <v>190</v>
      </c>
    </row>
    <row r="274" spans="1:9">
      <c r="A274" s="134">
        <v>273</v>
      </c>
      <c r="B274" s="134" t="s">
        <v>1818</v>
      </c>
      <c r="C274" s="137" t="s">
        <v>2341</v>
      </c>
      <c r="D274" s="137" t="s">
        <v>2343</v>
      </c>
      <c r="E274" s="137" t="s">
        <v>18</v>
      </c>
      <c r="F274" s="137" t="s">
        <v>7</v>
      </c>
      <c r="G274" s="137" t="s">
        <v>8</v>
      </c>
      <c r="H274" s="138">
        <v>190</v>
      </c>
    </row>
    <row r="275" spans="1:9">
      <c r="A275" s="134">
        <v>274</v>
      </c>
      <c r="B275" s="134" t="s">
        <v>1818</v>
      </c>
      <c r="C275" s="139" t="s">
        <v>2344</v>
      </c>
      <c r="D275" s="134" t="s">
        <v>2345</v>
      </c>
      <c r="E275" s="134" t="s">
        <v>14</v>
      </c>
      <c r="F275" s="134" t="s">
        <v>7</v>
      </c>
      <c r="G275" s="134" t="s">
        <v>8</v>
      </c>
      <c r="H275" s="141">
        <v>220</v>
      </c>
    </row>
    <row r="276" spans="1:9">
      <c r="A276" s="134">
        <v>275</v>
      </c>
      <c r="B276" s="134" t="s">
        <v>1818</v>
      </c>
      <c r="C276" s="144" t="s">
        <v>2346</v>
      </c>
      <c r="D276" s="144" t="s">
        <v>2347</v>
      </c>
      <c r="E276" s="144" t="s">
        <v>14</v>
      </c>
      <c r="F276" s="144" t="s">
        <v>7</v>
      </c>
      <c r="G276" s="144" t="s">
        <v>13</v>
      </c>
      <c r="H276" s="145">
        <v>274</v>
      </c>
    </row>
    <row r="277" spans="1:9">
      <c r="A277" s="134">
        <v>276</v>
      </c>
      <c r="B277" s="134" t="s">
        <v>1818</v>
      </c>
      <c r="C277" s="137" t="s">
        <v>2348</v>
      </c>
      <c r="D277" s="137" t="s">
        <v>2349</v>
      </c>
      <c r="E277" s="137" t="s">
        <v>6</v>
      </c>
      <c r="F277" s="137" t="s">
        <v>7</v>
      </c>
      <c r="G277" s="137" t="s">
        <v>8</v>
      </c>
      <c r="H277" s="138">
        <v>190</v>
      </c>
    </row>
    <row r="278" spans="1:9">
      <c r="A278" s="134">
        <v>277</v>
      </c>
      <c r="B278" s="134" t="s">
        <v>1818</v>
      </c>
      <c r="C278" s="139" t="s">
        <v>2350</v>
      </c>
      <c r="D278" s="134" t="s">
        <v>2351</v>
      </c>
      <c r="G278" s="134" t="s">
        <v>8</v>
      </c>
      <c r="H278" s="141">
        <v>220</v>
      </c>
    </row>
    <row r="279" spans="1:9" ht="33">
      <c r="A279" s="134">
        <v>278</v>
      </c>
      <c r="B279" s="134" t="s">
        <v>1818</v>
      </c>
      <c r="C279" s="149" t="s">
        <v>2352</v>
      </c>
      <c r="D279" s="134" t="s">
        <v>2353</v>
      </c>
      <c r="E279" s="134" t="s">
        <v>6</v>
      </c>
      <c r="F279" s="134" t="s">
        <v>7</v>
      </c>
      <c r="G279" s="147" t="s">
        <v>8</v>
      </c>
      <c r="H279" s="154">
        <v>220</v>
      </c>
    </row>
    <row r="280" spans="1:9" s="158" customFormat="1">
      <c r="A280" s="158">
        <v>279</v>
      </c>
      <c r="B280" s="134" t="s">
        <v>1818</v>
      </c>
      <c r="C280" s="158" t="s">
        <v>2354</v>
      </c>
      <c r="D280" s="158" t="s">
        <v>2355</v>
      </c>
      <c r="F280" s="158" t="s">
        <v>10</v>
      </c>
      <c r="H280" s="159"/>
      <c r="I280" s="158" t="s">
        <v>19</v>
      </c>
    </row>
    <row r="281" spans="1:9">
      <c r="A281" s="134">
        <v>280</v>
      </c>
      <c r="B281" s="134" t="s">
        <v>1818</v>
      </c>
      <c r="C281" s="137" t="s">
        <v>2356</v>
      </c>
      <c r="D281" s="137" t="s">
        <v>2357</v>
      </c>
      <c r="E281" s="137" t="s">
        <v>14</v>
      </c>
      <c r="F281" s="137" t="s">
        <v>7</v>
      </c>
      <c r="G281" s="137" t="s">
        <v>13</v>
      </c>
      <c r="H281" s="138">
        <v>190</v>
      </c>
    </row>
    <row r="282" spans="1:9">
      <c r="A282" s="134">
        <v>281</v>
      </c>
      <c r="B282" s="134" t="s">
        <v>1818</v>
      </c>
      <c r="C282" s="137" t="s">
        <v>2358</v>
      </c>
      <c r="D282" s="137" t="s">
        <v>2359</v>
      </c>
      <c r="E282" s="137" t="s">
        <v>16</v>
      </c>
      <c r="F282" s="137" t="s">
        <v>7</v>
      </c>
      <c r="G282" s="137" t="s">
        <v>8</v>
      </c>
      <c r="H282" s="138">
        <v>232</v>
      </c>
    </row>
    <row r="283" spans="1:9">
      <c r="A283" s="134">
        <v>282</v>
      </c>
      <c r="B283" s="134" t="s">
        <v>1818</v>
      </c>
      <c r="C283" s="152" t="s">
        <v>2360</v>
      </c>
      <c r="D283" s="152" t="s">
        <v>2361</v>
      </c>
      <c r="E283" s="152" t="s">
        <v>14</v>
      </c>
      <c r="F283" s="152" t="s">
        <v>7</v>
      </c>
      <c r="G283" s="152" t="s">
        <v>8</v>
      </c>
      <c r="H283" s="157">
        <v>227</v>
      </c>
    </row>
    <row r="284" spans="1:9">
      <c r="A284" s="134">
        <v>283</v>
      </c>
      <c r="B284" s="134" t="s">
        <v>1818</v>
      </c>
      <c r="C284" s="137" t="s">
        <v>2362</v>
      </c>
      <c r="D284" s="137" t="s">
        <v>2363</v>
      </c>
      <c r="E284" s="137" t="s">
        <v>14</v>
      </c>
      <c r="F284" s="137" t="s">
        <v>7</v>
      </c>
      <c r="G284" s="137" t="s">
        <v>13</v>
      </c>
      <c r="H284" s="138">
        <v>190</v>
      </c>
    </row>
    <row r="285" spans="1:9">
      <c r="A285" s="134">
        <v>284</v>
      </c>
      <c r="B285" s="134" t="s">
        <v>1818</v>
      </c>
      <c r="C285" s="137" t="s">
        <v>2364</v>
      </c>
      <c r="D285" s="137" t="s">
        <v>2365</v>
      </c>
      <c r="E285" s="137" t="s">
        <v>14</v>
      </c>
      <c r="F285" s="137" t="s">
        <v>10</v>
      </c>
      <c r="G285" s="137" t="s">
        <v>25</v>
      </c>
      <c r="H285" s="138">
        <v>274</v>
      </c>
    </row>
    <row r="286" spans="1:9">
      <c r="A286" s="134">
        <v>285</v>
      </c>
      <c r="B286" s="134" t="s">
        <v>1818</v>
      </c>
      <c r="C286" s="137" t="s">
        <v>2366</v>
      </c>
      <c r="D286" s="137" t="s">
        <v>2367</v>
      </c>
      <c r="E286" s="137" t="s">
        <v>15</v>
      </c>
      <c r="F286" s="137" t="s">
        <v>10</v>
      </c>
      <c r="G286" s="137" t="s">
        <v>13</v>
      </c>
      <c r="H286" s="138">
        <v>190</v>
      </c>
    </row>
    <row r="287" spans="1:9">
      <c r="A287" s="134">
        <v>286</v>
      </c>
      <c r="B287" s="134" t="s">
        <v>1818</v>
      </c>
      <c r="C287" s="137" t="s">
        <v>2368</v>
      </c>
      <c r="D287" s="137" t="s">
        <v>2369</v>
      </c>
      <c r="E287" s="137" t="s">
        <v>6</v>
      </c>
      <c r="F287" s="137" t="s">
        <v>7</v>
      </c>
      <c r="G287" s="137" t="s">
        <v>8</v>
      </c>
      <c r="H287" s="138">
        <v>190</v>
      </c>
    </row>
    <row r="288" spans="1:9">
      <c r="A288" s="134">
        <v>287</v>
      </c>
      <c r="B288" s="134" t="s">
        <v>1818</v>
      </c>
      <c r="C288" s="137" t="s">
        <v>2370</v>
      </c>
      <c r="D288" s="137" t="s">
        <v>2371</v>
      </c>
      <c r="E288" s="137" t="s">
        <v>14</v>
      </c>
      <c r="F288" s="137" t="s">
        <v>7</v>
      </c>
      <c r="G288" s="137" t="s">
        <v>8</v>
      </c>
      <c r="H288" s="138">
        <v>180</v>
      </c>
    </row>
    <row r="289" spans="1:8">
      <c r="A289" s="134">
        <v>288</v>
      </c>
      <c r="B289" s="134" t="s">
        <v>1818</v>
      </c>
      <c r="C289" s="146" t="s">
        <v>2372</v>
      </c>
      <c r="D289" s="146" t="s">
        <v>2373</v>
      </c>
      <c r="F289" s="134" t="s">
        <v>7</v>
      </c>
      <c r="G289" s="146" t="s">
        <v>8</v>
      </c>
      <c r="H289" s="140">
        <v>260</v>
      </c>
    </row>
    <row r="290" spans="1:8">
      <c r="A290" s="134">
        <v>289</v>
      </c>
      <c r="B290" s="134" t="s">
        <v>1818</v>
      </c>
      <c r="C290" s="144" t="s">
        <v>2374</v>
      </c>
      <c r="D290" s="144" t="s">
        <v>2375</v>
      </c>
      <c r="E290" s="144" t="s">
        <v>6</v>
      </c>
      <c r="F290" s="144" t="s">
        <v>10</v>
      </c>
      <c r="G290" s="144" t="s">
        <v>11</v>
      </c>
      <c r="H290" s="145">
        <v>227</v>
      </c>
    </row>
    <row r="291" spans="1:8">
      <c r="A291" s="134">
        <v>290</v>
      </c>
      <c r="B291" s="134" t="s">
        <v>1818</v>
      </c>
      <c r="C291" s="137" t="s">
        <v>2376</v>
      </c>
      <c r="D291" s="137" t="s">
        <v>2377</v>
      </c>
      <c r="E291" s="137" t="s">
        <v>12</v>
      </c>
      <c r="F291" s="137" t="s">
        <v>7</v>
      </c>
      <c r="G291" s="137" t="s">
        <v>13</v>
      </c>
      <c r="H291" s="138">
        <v>190</v>
      </c>
    </row>
    <row r="292" spans="1:8">
      <c r="A292" s="134">
        <v>291</v>
      </c>
      <c r="B292" s="134" t="s">
        <v>1818</v>
      </c>
      <c r="C292" s="137" t="s">
        <v>2378</v>
      </c>
      <c r="D292" s="137" t="s">
        <v>2379</v>
      </c>
      <c r="E292" s="137" t="s">
        <v>18</v>
      </c>
      <c r="F292" s="137" t="s">
        <v>7</v>
      </c>
      <c r="G292" s="137" t="s">
        <v>8</v>
      </c>
      <c r="H292" s="138">
        <v>232</v>
      </c>
    </row>
    <row r="293" spans="1:8">
      <c r="A293" s="134">
        <v>292</v>
      </c>
      <c r="B293" s="134" t="s">
        <v>1818</v>
      </c>
      <c r="C293" s="137" t="s">
        <v>2380</v>
      </c>
      <c r="D293" s="137" t="s">
        <v>2381</v>
      </c>
      <c r="E293" s="137" t="s">
        <v>6</v>
      </c>
      <c r="F293" s="137" t="s">
        <v>7</v>
      </c>
      <c r="G293" s="137" t="s">
        <v>8</v>
      </c>
      <c r="H293" s="138">
        <v>190</v>
      </c>
    </row>
    <row r="294" spans="1:8">
      <c r="A294" s="134">
        <v>293</v>
      </c>
      <c r="B294" s="134" t="s">
        <v>1818</v>
      </c>
      <c r="C294" s="137" t="s">
        <v>2382</v>
      </c>
      <c r="D294" s="137" t="s">
        <v>2383</v>
      </c>
      <c r="E294" s="137" t="s">
        <v>12</v>
      </c>
      <c r="F294" s="137" t="s">
        <v>10</v>
      </c>
      <c r="G294" s="137" t="s">
        <v>13</v>
      </c>
      <c r="H294" s="138">
        <v>322</v>
      </c>
    </row>
    <row r="295" spans="1:8">
      <c r="A295" s="134">
        <v>294</v>
      </c>
      <c r="B295" s="134" t="s">
        <v>1818</v>
      </c>
      <c r="C295" s="137" t="s">
        <v>2384</v>
      </c>
      <c r="D295" s="137" t="s">
        <v>2385</v>
      </c>
      <c r="E295" s="137" t="s">
        <v>12</v>
      </c>
      <c r="F295" s="137" t="s">
        <v>7</v>
      </c>
      <c r="G295" s="137" t="s">
        <v>13</v>
      </c>
      <c r="H295" s="138">
        <v>227</v>
      </c>
    </row>
    <row r="296" spans="1:8" ht="33">
      <c r="A296" s="134">
        <v>295</v>
      </c>
      <c r="B296" s="134" t="s">
        <v>1818</v>
      </c>
      <c r="C296" s="134" t="s">
        <v>2386</v>
      </c>
      <c r="D296" s="135" t="s">
        <v>2387</v>
      </c>
      <c r="E296" s="134" t="s">
        <v>6</v>
      </c>
      <c r="F296" s="134" t="s">
        <v>7</v>
      </c>
      <c r="G296" s="134" t="s">
        <v>8</v>
      </c>
      <c r="H296" s="136">
        <v>180</v>
      </c>
    </row>
    <row r="297" spans="1:8">
      <c r="A297" s="134">
        <v>296</v>
      </c>
      <c r="B297" s="134" t="s">
        <v>1818</v>
      </c>
      <c r="C297" s="137" t="s">
        <v>2388</v>
      </c>
      <c r="D297" s="137" t="s">
        <v>2389</v>
      </c>
      <c r="E297" s="137" t="s">
        <v>16</v>
      </c>
      <c r="F297" s="137" t="s">
        <v>10</v>
      </c>
      <c r="G297" s="137" t="s">
        <v>13</v>
      </c>
      <c r="H297" s="138">
        <v>232</v>
      </c>
    </row>
    <row r="298" spans="1:8">
      <c r="A298" s="134">
        <v>297</v>
      </c>
      <c r="B298" s="134" t="s">
        <v>1818</v>
      </c>
      <c r="C298" s="137" t="s">
        <v>2390</v>
      </c>
      <c r="D298" s="137" t="s">
        <v>2391</v>
      </c>
      <c r="E298" s="137" t="s">
        <v>12</v>
      </c>
      <c r="F298" s="137" t="s">
        <v>7</v>
      </c>
      <c r="G298" s="137" t="s">
        <v>8</v>
      </c>
      <c r="H298" s="138">
        <v>232</v>
      </c>
    </row>
    <row r="299" spans="1:8">
      <c r="A299" s="134">
        <v>298</v>
      </c>
      <c r="B299" s="134" t="s">
        <v>1818</v>
      </c>
      <c r="C299" s="137" t="s">
        <v>2392</v>
      </c>
      <c r="D299" s="137" t="s">
        <v>2393</v>
      </c>
      <c r="E299" s="137" t="s">
        <v>12</v>
      </c>
      <c r="F299" s="137" t="s">
        <v>10</v>
      </c>
      <c r="G299" s="137" t="s">
        <v>11</v>
      </c>
      <c r="H299" s="138">
        <v>232</v>
      </c>
    </row>
    <row r="300" spans="1:8">
      <c r="A300" s="134">
        <v>299</v>
      </c>
      <c r="B300" s="134" t="s">
        <v>1818</v>
      </c>
      <c r="C300" s="137" t="s">
        <v>2394</v>
      </c>
      <c r="D300" s="137" t="s">
        <v>2395</v>
      </c>
      <c r="E300" s="137" t="s">
        <v>18</v>
      </c>
      <c r="F300" s="137" t="s">
        <v>7</v>
      </c>
      <c r="G300" s="137" t="s">
        <v>8</v>
      </c>
      <c r="H300" s="138">
        <v>190</v>
      </c>
    </row>
    <row r="301" spans="1:8">
      <c r="A301" s="134">
        <v>300</v>
      </c>
      <c r="B301" s="134" t="s">
        <v>1818</v>
      </c>
      <c r="C301" s="137" t="s">
        <v>2396</v>
      </c>
      <c r="D301" s="137" t="s">
        <v>2397</v>
      </c>
      <c r="E301" s="137" t="s">
        <v>18</v>
      </c>
      <c r="F301" s="137" t="s">
        <v>7</v>
      </c>
      <c r="G301" s="137" t="s">
        <v>13</v>
      </c>
      <c r="H301" s="138">
        <v>190</v>
      </c>
    </row>
    <row r="302" spans="1:8">
      <c r="A302" s="134">
        <v>301</v>
      </c>
      <c r="B302" s="134" t="s">
        <v>1818</v>
      </c>
      <c r="C302" s="146" t="s">
        <v>2398</v>
      </c>
      <c r="D302" s="146" t="s">
        <v>2399</v>
      </c>
      <c r="E302" s="134" t="s">
        <v>9</v>
      </c>
      <c r="F302" s="134" t="s">
        <v>7</v>
      </c>
      <c r="G302" s="146" t="s">
        <v>8</v>
      </c>
      <c r="H302" s="140">
        <v>220</v>
      </c>
    </row>
    <row r="303" spans="1:8" ht="33">
      <c r="A303" s="134">
        <v>302</v>
      </c>
      <c r="B303" s="134" t="s">
        <v>1818</v>
      </c>
      <c r="C303" s="134" t="s">
        <v>2400</v>
      </c>
      <c r="D303" s="134" t="s">
        <v>2401</v>
      </c>
      <c r="E303" s="134" t="s">
        <v>15</v>
      </c>
      <c r="F303" s="134" t="s">
        <v>7</v>
      </c>
      <c r="G303" s="134" t="s">
        <v>8</v>
      </c>
      <c r="H303" s="140">
        <v>190</v>
      </c>
    </row>
    <row r="304" spans="1:8">
      <c r="A304" s="134">
        <v>303</v>
      </c>
      <c r="B304" s="134" t="s">
        <v>1818</v>
      </c>
      <c r="C304" s="137" t="s">
        <v>2402</v>
      </c>
      <c r="D304" s="137" t="s">
        <v>2403</v>
      </c>
      <c r="E304" s="137" t="s">
        <v>6</v>
      </c>
      <c r="F304" s="137" t="s">
        <v>7</v>
      </c>
      <c r="G304" s="137" t="s">
        <v>8</v>
      </c>
      <c r="H304" s="138">
        <v>190</v>
      </c>
    </row>
    <row r="305" spans="1:8">
      <c r="A305" s="134">
        <v>304</v>
      </c>
      <c r="B305" s="134" t="s">
        <v>1818</v>
      </c>
      <c r="C305" s="146" t="s">
        <v>2404</v>
      </c>
      <c r="D305" s="146" t="s">
        <v>2405</v>
      </c>
      <c r="E305" s="134" t="s">
        <v>14</v>
      </c>
      <c r="F305" s="134" t="s">
        <v>7</v>
      </c>
      <c r="G305" s="146" t="s">
        <v>8</v>
      </c>
      <c r="H305" s="140">
        <v>220</v>
      </c>
    </row>
    <row r="306" spans="1:8">
      <c r="A306" s="134">
        <v>305</v>
      </c>
      <c r="B306" s="134" t="s">
        <v>1818</v>
      </c>
      <c r="C306" s="137" t="s">
        <v>2406</v>
      </c>
      <c r="D306" s="137" t="s">
        <v>2407</v>
      </c>
      <c r="E306" s="137" t="s">
        <v>18</v>
      </c>
      <c r="F306" s="137" t="s">
        <v>7</v>
      </c>
      <c r="G306" s="137" t="s">
        <v>8</v>
      </c>
      <c r="H306" s="138">
        <v>190</v>
      </c>
    </row>
    <row r="307" spans="1:8">
      <c r="A307" s="134">
        <v>306</v>
      </c>
      <c r="B307" s="134" t="s">
        <v>1818</v>
      </c>
      <c r="C307" s="137" t="s">
        <v>2408</v>
      </c>
      <c r="D307" s="137" t="s">
        <v>2409</v>
      </c>
      <c r="E307" s="137" t="s">
        <v>14</v>
      </c>
      <c r="F307" s="137" t="s">
        <v>7</v>
      </c>
      <c r="G307" s="137" t="s">
        <v>8</v>
      </c>
      <c r="H307" s="138">
        <v>232</v>
      </c>
    </row>
    <row r="308" spans="1:8">
      <c r="A308" s="134">
        <v>307</v>
      </c>
      <c r="B308" s="134" t="s">
        <v>1818</v>
      </c>
      <c r="C308" s="137" t="s">
        <v>2410</v>
      </c>
      <c r="D308" s="137" t="s">
        <v>2411</v>
      </c>
      <c r="E308" s="137" t="s">
        <v>18</v>
      </c>
      <c r="F308" s="137" t="s">
        <v>7</v>
      </c>
      <c r="G308" s="137" t="s">
        <v>8</v>
      </c>
      <c r="H308" s="138">
        <v>190</v>
      </c>
    </row>
    <row r="309" spans="1:8">
      <c r="A309" s="134">
        <v>308</v>
      </c>
      <c r="B309" s="134" t="s">
        <v>1818</v>
      </c>
      <c r="C309" s="149" t="s">
        <v>2412</v>
      </c>
      <c r="D309" s="134" t="s">
        <v>2413</v>
      </c>
      <c r="E309" s="134" t="s">
        <v>6</v>
      </c>
      <c r="F309" s="134" t="s">
        <v>7</v>
      </c>
      <c r="G309" s="147" t="s">
        <v>8</v>
      </c>
      <c r="H309" s="154">
        <v>180</v>
      </c>
    </row>
    <row r="310" spans="1:8">
      <c r="A310" s="134">
        <v>309</v>
      </c>
      <c r="B310" s="134" t="s">
        <v>1818</v>
      </c>
      <c r="C310" s="137" t="s">
        <v>2414</v>
      </c>
      <c r="D310" s="137" t="s">
        <v>2415</v>
      </c>
      <c r="E310" s="137" t="s">
        <v>18</v>
      </c>
      <c r="F310" s="137" t="s">
        <v>7</v>
      </c>
      <c r="G310" s="137" t="s">
        <v>13</v>
      </c>
      <c r="H310" s="138">
        <v>190</v>
      </c>
    </row>
    <row r="311" spans="1:8">
      <c r="A311" s="134">
        <v>310</v>
      </c>
      <c r="B311" s="134" t="s">
        <v>1818</v>
      </c>
      <c r="C311" s="134" t="s">
        <v>2416</v>
      </c>
      <c r="D311" s="135" t="s">
        <v>2417</v>
      </c>
      <c r="E311" s="134" t="s">
        <v>16</v>
      </c>
      <c r="F311" s="134" t="s">
        <v>7</v>
      </c>
      <c r="G311" s="134" t="s">
        <v>8</v>
      </c>
      <c r="H311" s="136">
        <v>180</v>
      </c>
    </row>
    <row r="312" spans="1:8">
      <c r="A312" s="134">
        <v>311</v>
      </c>
      <c r="B312" s="134" t="s">
        <v>1818</v>
      </c>
      <c r="C312" s="137" t="s">
        <v>2418</v>
      </c>
      <c r="D312" s="137" t="s">
        <v>2419</v>
      </c>
      <c r="E312" s="137" t="s">
        <v>18</v>
      </c>
      <c r="F312" s="137" t="s">
        <v>7</v>
      </c>
      <c r="G312" s="137" t="s">
        <v>8</v>
      </c>
      <c r="H312" s="138">
        <v>180</v>
      </c>
    </row>
    <row r="313" spans="1:8">
      <c r="A313" s="134">
        <v>312</v>
      </c>
      <c r="B313" s="134" t="s">
        <v>1818</v>
      </c>
      <c r="C313" s="137" t="s">
        <v>2420</v>
      </c>
      <c r="D313" s="137" t="s">
        <v>2421</v>
      </c>
      <c r="E313" s="137" t="s">
        <v>6</v>
      </c>
      <c r="F313" s="137" t="s">
        <v>7</v>
      </c>
      <c r="G313" s="137" t="s">
        <v>8</v>
      </c>
      <c r="H313" s="138">
        <v>180</v>
      </c>
    </row>
    <row r="314" spans="1:8">
      <c r="A314" s="134">
        <v>313</v>
      </c>
      <c r="B314" s="134" t="s">
        <v>1818</v>
      </c>
      <c r="C314" s="137" t="s">
        <v>2422</v>
      </c>
      <c r="D314" s="137" t="s">
        <v>2423</v>
      </c>
      <c r="E314" s="137" t="s">
        <v>15</v>
      </c>
      <c r="F314" s="137" t="s">
        <v>7</v>
      </c>
      <c r="G314" s="137" t="s">
        <v>8</v>
      </c>
      <c r="H314" s="138">
        <v>190</v>
      </c>
    </row>
    <row r="315" spans="1:8">
      <c r="A315" s="134">
        <v>314</v>
      </c>
      <c r="B315" s="134" t="s">
        <v>1818</v>
      </c>
      <c r="C315" s="137" t="s">
        <v>2424</v>
      </c>
      <c r="D315" s="137" t="s">
        <v>2425</v>
      </c>
      <c r="E315" s="137" t="s">
        <v>6</v>
      </c>
      <c r="F315" s="137" t="s">
        <v>10</v>
      </c>
      <c r="G315" s="137" t="s">
        <v>13</v>
      </c>
      <c r="H315" s="138">
        <v>190</v>
      </c>
    </row>
    <row r="316" spans="1:8">
      <c r="A316" s="134">
        <v>315</v>
      </c>
      <c r="B316" s="134" t="s">
        <v>1818</v>
      </c>
      <c r="C316" s="137" t="s">
        <v>2426</v>
      </c>
      <c r="D316" s="137" t="s">
        <v>2427</v>
      </c>
      <c r="E316" s="137" t="s">
        <v>15</v>
      </c>
      <c r="F316" s="137" t="s">
        <v>10</v>
      </c>
      <c r="G316" s="137" t="s">
        <v>13</v>
      </c>
      <c r="H316" s="138">
        <v>190</v>
      </c>
    </row>
    <row r="317" spans="1:8">
      <c r="A317" s="134">
        <v>316</v>
      </c>
      <c r="B317" s="134" t="s">
        <v>1818</v>
      </c>
      <c r="C317" s="149" t="s">
        <v>2428</v>
      </c>
      <c r="D317" s="134" t="s">
        <v>2429</v>
      </c>
      <c r="G317" s="147" t="s">
        <v>8</v>
      </c>
      <c r="H317" s="154">
        <v>180</v>
      </c>
    </row>
    <row r="318" spans="1:8">
      <c r="A318" s="134">
        <v>317</v>
      </c>
      <c r="B318" s="134" t="s">
        <v>1818</v>
      </c>
      <c r="C318" s="137" t="s">
        <v>2430</v>
      </c>
      <c r="D318" s="137" t="s">
        <v>2431</v>
      </c>
      <c r="E318" s="137" t="s">
        <v>15</v>
      </c>
      <c r="F318" s="137" t="s">
        <v>27</v>
      </c>
      <c r="G318" s="137" t="s">
        <v>13</v>
      </c>
      <c r="H318" s="138">
        <v>190</v>
      </c>
    </row>
    <row r="319" spans="1:8">
      <c r="A319" s="134">
        <v>318</v>
      </c>
      <c r="B319" s="134" t="s">
        <v>1818</v>
      </c>
      <c r="C319" s="137" t="s">
        <v>2432</v>
      </c>
      <c r="D319" s="137" t="s">
        <v>2433</v>
      </c>
      <c r="E319" s="137" t="s">
        <v>12</v>
      </c>
      <c r="F319" s="137" t="s">
        <v>10</v>
      </c>
      <c r="G319" s="137" t="s">
        <v>13</v>
      </c>
      <c r="H319" s="138">
        <v>232</v>
      </c>
    </row>
    <row r="320" spans="1:8">
      <c r="A320" s="134">
        <v>319</v>
      </c>
      <c r="B320" s="134" t="s">
        <v>1818</v>
      </c>
      <c r="C320" s="134" t="s">
        <v>2434</v>
      </c>
      <c r="D320" s="134" t="s">
        <v>2435</v>
      </c>
      <c r="E320" s="134" t="s">
        <v>6</v>
      </c>
      <c r="F320" s="134" t="s">
        <v>7</v>
      </c>
      <c r="G320" s="134" t="s">
        <v>13</v>
      </c>
      <c r="H320" s="140">
        <v>190</v>
      </c>
    </row>
    <row r="321" spans="1:8" ht="33">
      <c r="A321" s="134">
        <v>320</v>
      </c>
      <c r="B321" s="134" t="s">
        <v>1818</v>
      </c>
      <c r="C321" s="152" t="s">
        <v>2436</v>
      </c>
      <c r="D321" s="152" t="s">
        <v>2437</v>
      </c>
      <c r="E321" s="152" t="s">
        <v>12</v>
      </c>
      <c r="F321" s="152" t="s">
        <v>10</v>
      </c>
      <c r="G321" s="152" t="s">
        <v>13</v>
      </c>
      <c r="H321" s="157">
        <v>274</v>
      </c>
    </row>
    <row r="322" spans="1:8">
      <c r="A322" s="134">
        <v>321</v>
      </c>
      <c r="B322" s="134" t="s">
        <v>1818</v>
      </c>
      <c r="C322" s="137" t="s">
        <v>2438</v>
      </c>
      <c r="D322" s="137" t="s">
        <v>2439</v>
      </c>
      <c r="E322" s="137" t="s">
        <v>6</v>
      </c>
      <c r="F322" s="137" t="s">
        <v>7</v>
      </c>
      <c r="G322" s="137" t="s">
        <v>8</v>
      </c>
      <c r="H322" s="138">
        <v>180</v>
      </c>
    </row>
    <row r="323" spans="1:8">
      <c r="A323" s="134">
        <v>322</v>
      </c>
      <c r="B323" s="134" t="s">
        <v>1818</v>
      </c>
      <c r="C323" s="134" t="s">
        <v>2440</v>
      </c>
      <c r="D323" s="134" t="s">
        <v>2441</v>
      </c>
      <c r="E323" s="134" t="s">
        <v>14</v>
      </c>
      <c r="F323" s="137" t="s">
        <v>10</v>
      </c>
      <c r="G323" s="134" t="s">
        <v>20</v>
      </c>
      <c r="H323" s="140">
        <v>260</v>
      </c>
    </row>
    <row r="324" spans="1:8">
      <c r="A324" s="134">
        <v>323</v>
      </c>
      <c r="B324" s="134" t="s">
        <v>1818</v>
      </c>
      <c r="C324" s="137" t="s">
        <v>2442</v>
      </c>
      <c r="D324" s="137" t="s">
        <v>2443</v>
      </c>
      <c r="E324" s="137" t="s">
        <v>14</v>
      </c>
      <c r="F324" s="137" t="s">
        <v>7</v>
      </c>
      <c r="G324" s="137" t="s">
        <v>13</v>
      </c>
      <c r="H324" s="138">
        <v>190</v>
      </c>
    </row>
    <row r="325" spans="1:8">
      <c r="A325" s="134">
        <v>324</v>
      </c>
      <c r="B325" s="134" t="s">
        <v>1818</v>
      </c>
      <c r="C325" s="146" t="s">
        <v>2444</v>
      </c>
      <c r="D325" s="146" t="s">
        <v>2445</v>
      </c>
      <c r="E325" s="134" t="s">
        <v>14</v>
      </c>
      <c r="F325" s="134" t="s">
        <v>7</v>
      </c>
      <c r="G325" s="146" t="s">
        <v>8</v>
      </c>
      <c r="H325" s="140">
        <v>220</v>
      </c>
    </row>
    <row r="326" spans="1:8">
      <c r="A326" s="134">
        <v>325</v>
      </c>
      <c r="B326" s="134" t="s">
        <v>1818</v>
      </c>
      <c r="C326" s="139" t="s">
        <v>2446</v>
      </c>
      <c r="D326" s="134" t="s">
        <v>2447</v>
      </c>
      <c r="E326" s="134" t="s">
        <v>15</v>
      </c>
      <c r="F326" s="134" t="s">
        <v>27</v>
      </c>
      <c r="G326" s="134" t="s">
        <v>8</v>
      </c>
      <c r="H326" s="141">
        <v>220</v>
      </c>
    </row>
    <row r="327" spans="1:8">
      <c r="A327" s="134">
        <v>326</v>
      </c>
      <c r="B327" s="134" t="s">
        <v>1818</v>
      </c>
      <c r="C327" s="137" t="s">
        <v>2448</v>
      </c>
      <c r="D327" s="137" t="s">
        <v>2449</v>
      </c>
      <c r="E327" s="137" t="s">
        <v>14</v>
      </c>
      <c r="F327" s="137" t="s">
        <v>7</v>
      </c>
      <c r="G327" s="137" t="s">
        <v>8</v>
      </c>
      <c r="H327" s="138">
        <v>220</v>
      </c>
    </row>
    <row r="328" spans="1:8">
      <c r="A328" s="134">
        <v>327</v>
      </c>
      <c r="B328" s="134" t="s">
        <v>1818</v>
      </c>
      <c r="C328" s="137" t="s">
        <v>2448</v>
      </c>
      <c r="D328" s="137" t="s">
        <v>2450</v>
      </c>
      <c r="E328" s="137" t="s">
        <v>18</v>
      </c>
      <c r="F328" s="137" t="s">
        <v>10</v>
      </c>
      <c r="G328" s="137" t="s">
        <v>17</v>
      </c>
      <c r="H328" s="138">
        <v>227</v>
      </c>
    </row>
    <row r="329" spans="1:8">
      <c r="A329" s="134">
        <v>328</v>
      </c>
      <c r="B329" s="134" t="s">
        <v>1818</v>
      </c>
      <c r="C329" s="134" t="s">
        <v>2451</v>
      </c>
      <c r="D329" s="135" t="s">
        <v>2452</v>
      </c>
      <c r="E329" s="134" t="s">
        <v>6</v>
      </c>
      <c r="F329" s="134" t="s">
        <v>7</v>
      </c>
      <c r="G329" s="134" t="s">
        <v>8</v>
      </c>
      <c r="H329" s="136">
        <v>180</v>
      </c>
    </row>
    <row r="330" spans="1:8">
      <c r="A330" s="134">
        <v>329</v>
      </c>
      <c r="B330" s="134" t="s">
        <v>1818</v>
      </c>
      <c r="C330" s="149" t="s">
        <v>2453</v>
      </c>
      <c r="D330" s="150" t="s">
        <v>2454</v>
      </c>
      <c r="G330" s="147" t="s">
        <v>8</v>
      </c>
      <c r="H330" s="151">
        <v>215</v>
      </c>
    </row>
    <row r="331" spans="1:8">
      <c r="A331" s="134">
        <v>330</v>
      </c>
      <c r="B331" s="134" t="s">
        <v>1818</v>
      </c>
      <c r="C331" s="137" t="s">
        <v>2455</v>
      </c>
      <c r="D331" s="137" t="s">
        <v>2456</v>
      </c>
      <c r="E331" s="137" t="s">
        <v>6</v>
      </c>
      <c r="F331" s="137" t="s">
        <v>7</v>
      </c>
      <c r="G331" s="137" t="s">
        <v>8</v>
      </c>
      <c r="H331" s="138">
        <v>180</v>
      </c>
    </row>
    <row r="332" spans="1:8">
      <c r="A332" s="134">
        <v>331</v>
      </c>
      <c r="B332" s="134" t="s">
        <v>1818</v>
      </c>
      <c r="C332" s="146" t="s">
        <v>2457</v>
      </c>
      <c r="D332" s="134" t="s">
        <v>2458</v>
      </c>
      <c r="E332" s="134" t="s">
        <v>18</v>
      </c>
      <c r="F332" s="134" t="s">
        <v>7</v>
      </c>
      <c r="G332" s="134" t="s">
        <v>8</v>
      </c>
      <c r="H332" s="140">
        <v>220</v>
      </c>
    </row>
    <row r="333" spans="1:8" ht="33">
      <c r="A333" s="134">
        <v>332</v>
      </c>
      <c r="B333" s="134" t="s">
        <v>1818</v>
      </c>
      <c r="C333" s="134" t="s">
        <v>2459</v>
      </c>
      <c r="D333" s="134" t="s">
        <v>2460</v>
      </c>
      <c r="E333" s="134" t="s">
        <v>6</v>
      </c>
      <c r="F333" s="134" t="s">
        <v>7</v>
      </c>
      <c r="G333" s="134" t="s">
        <v>8</v>
      </c>
      <c r="H333" s="140">
        <v>180</v>
      </c>
    </row>
    <row r="334" spans="1:8">
      <c r="A334" s="134">
        <v>333</v>
      </c>
      <c r="B334" s="134" t="s">
        <v>1818</v>
      </c>
      <c r="C334" s="134" t="s">
        <v>2461</v>
      </c>
      <c r="D334" s="134" t="s">
        <v>2462</v>
      </c>
      <c r="E334" s="134" t="s">
        <v>12</v>
      </c>
      <c r="F334" s="134" t="s">
        <v>10</v>
      </c>
      <c r="G334" s="134" t="s">
        <v>8</v>
      </c>
      <c r="H334" s="140">
        <v>220</v>
      </c>
    </row>
    <row r="335" spans="1:8">
      <c r="A335" s="134">
        <v>334</v>
      </c>
      <c r="B335" s="134" t="s">
        <v>1818</v>
      </c>
      <c r="C335" s="134" t="s">
        <v>2463</v>
      </c>
      <c r="D335" s="134" t="s">
        <v>2464</v>
      </c>
      <c r="E335" s="134" t="s">
        <v>6</v>
      </c>
      <c r="F335" s="134" t="s">
        <v>7</v>
      </c>
      <c r="G335" s="134" t="s">
        <v>8</v>
      </c>
      <c r="H335" s="140">
        <v>180</v>
      </c>
    </row>
    <row r="336" spans="1:8">
      <c r="A336" s="134">
        <v>335</v>
      </c>
      <c r="B336" s="134" t="s">
        <v>1818</v>
      </c>
      <c r="C336" s="137" t="s">
        <v>2465</v>
      </c>
      <c r="D336" s="137" t="s">
        <v>2466</v>
      </c>
      <c r="E336" s="137" t="s">
        <v>6</v>
      </c>
      <c r="F336" s="137" t="s">
        <v>7</v>
      </c>
      <c r="G336" s="137" t="s">
        <v>8</v>
      </c>
      <c r="H336" s="138">
        <v>190</v>
      </c>
    </row>
    <row r="337" spans="1:9">
      <c r="A337" s="134">
        <v>336</v>
      </c>
      <c r="B337" s="134" t="s">
        <v>1818</v>
      </c>
      <c r="C337" s="139" t="s">
        <v>2467</v>
      </c>
      <c r="D337" s="134" t="s">
        <v>2468</v>
      </c>
      <c r="E337" s="134" t="s">
        <v>9</v>
      </c>
      <c r="F337" s="134" t="s">
        <v>7</v>
      </c>
      <c r="G337" s="134" t="s">
        <v>8</v>
      </c>
      <c r="H337" s="141">
        <v>215</v>
      </c>
    </row>
    <row r="338" spans="1:9">
      <c r="A338" s="134">
        <v>337</v>
      </c>
      <c r="B338" s="134" t="s">
        <v>1818</v>
      </c>
      <c r="C338" s="137" t="s">
        <v>2469</v>
      </c>
      <c r="D338" s="137" t="s">
        <v>2470</v>
      </c>
      <c r="E338" s="137" t="s">
        <v>14</v>
      </c>
      <c r="F338" s="137" t="s">
        <v>7</v>
      </c>
      <c r="G338" s="137" t="s">
        <v>8</v>
      </c>
      <c r="H338" s="138">
        <v>190</v>
      </c>
    </row>
    <row r="339" spans="1:9">
      <c r="A339" s="134">
        <v>338</v>
      </c>
      <c r="B339" s="134" t="s">
        <v>1818</v>
      </c>
      <c r="C339" s="137" t="s">
        <v>2471</v>
      </c>
      <c r="D339" s="137" t="s">
        <v>2472</v>
      </c>
      <c r="E339" s="137" t="s">
        <v>18</v>
      </c>
      <c r="F339" s="137" t="s">
        <v>10</v>
      </c>
      <c r="G339" s="137" t="s">
        <v>11</v>
      </c>
      <c r="H339" s="138">
        <v>232</v>
      </c>
    </row>
    <row r="340" spans="1:9">
      <c r="A340" s="134">
        <v>339</v>
      </c>
      <c r="B340" s="134" t="s">
        <v>1818</v>
      </c>
      <c r="C340" s="134" t="s">
        <v>2473</v>
      </c>
      <c r="D340" s="134" t="s">
        <v>2474</v>
      </c>
      <c r="E340" s="134" t="s">
        <v>9</v>
      </c>
      <c r="F340" s="134" t="s">
        <v>7</v>
      </c>
      <c r="G340" s="134" t="s">
        <v>8</v>
      </c>
      <c r="H340" s="141">
        <v>215</v>
      </c>
    </row>
    <row r="341" spans="1:9">
      <c r="A341" s="134">
        <v>340</v>
      </c>
      <c r="B341" s="134" t="s">
        <v>1818</v>
      </c>
      <c r="C341" s="137" t="s">
        <v>2475</v>
      </c>
      <c r="D341" s="137" t="s">
        <v>2476</v>
      </c>
      <c r="E341" s="137" t="s">
        <v>6</v>
      </c>
      <c r="F341" s="137" t="s">
        <v>7</v>
      </c>
      <c r="G341" s="137" t="s">
        <v>8</v>
      </c>
      <c r="H341" s="138">
        <v>227</v>
      </c>
    </row>
    <row r="342" spans="1:9">
      <c r="A342" s="134">
        <v>341</v>
      </c>
      <c r="B342" s="134" t="s">
        <v>1818</v>
      </c>
      <c r="C342" s="137" t="s">
        <v>2477</v>
      </c>
      <c r="D342" s="137" t="s">
        <v>2478</v>
      </c>
      <c r="E342" s="137" t="s">
        <v>6</v>
      </c>
      <c r="F342" s="137" t="s">
        <v>7</v>
      </c>
      <c r="G342" s="137" t="s">
        <v>8</v>
      </c>
      <c r="H342" s="138">
        <v>190</v>
      </c>
    </row>
    <row r="343" spans="1:9">
      <c r="A343" s="134">
        <v>342</v>
      </c>
      <c r="B343" s="134" t="s">
        <v>1818</v>
      </c>
      <c r="C343" s="137" t="s">
        <v>2479</v>
      </c>
      <c r="D343" s="137" t="s">
        <v>1834</v>
      </c>
      <c r="E343" s="137" t="s">
        <v>14</v>
      </c>
      <c r="F343" s="137" t="s">
        <v>7</v>
      </c>
      <c r="G343" s="137" t="s">
        <v>8</v>
      </c>
      <c r="H343" s="138">
        <v>220</v>
      </c>
    </row>
    <row r="344" spans="1:9">
      <c r="A344" s="134">
        <v>343</v>
      </c>
      <c r="B344" s="134" t="s">
        <v>1818</v>
      </c>
      <c r="C344" s="137" t="s">
        <v>2480</v>
      </c>
      <c r="D344" s="137" t="s">
        <v>2481</v>
      </c>
      <c r="E344" s="137" t="s">
        <v>12</v>
      </c>
      <c r="F344" s="137" t="s">
        <v>7</v>
      </c>
      <c r="G344" s="137" t="s">
        <v>8</v>
      </c>
      <c r="H344" s="138">
        <v>220</v>
      </c>
    </row>
    <row r="345" spans="1:9">
      <c r="A345" s="134">
        <v>344</v>
      </c>
      <c r="B345" s="134" t="s">
        <v>1818</v>
      </c>
      <c r="C345" s="137" t="s">
        <v>2482</v>
      </c>
      <c r="D345" s="137" t="s">
        <v>2483</v>
      </c>
      <c r="E345" s="137" t="s">
        <v>14</v>
      </c>
      <c r="F345" s="137" t="s">
        <v>10</v>
      </c>
      <c r="G345" s="137" t="s">
        <v>13</v>
      </c>
      <c r="H345" s="138">
        <v>232</v>
      </c>
    </row>
    <row r="346" spans="1:9">
      <c r="A346" s="134">
        <v>345</v>
      </c>
      <c r="B346" s="134" t="s">
        <v>1818</v>
      </c>
      <c r="C346" s="147" t="s">
        <v>2484</v>
      </c>
      <c r="D346" s="147" t="s">
        <v>2485</v>
      </c>
      <c r="E346" s="147" t="s">
        <v>14</v>
      </c>
      <c r="F346" s="147" t="s">
        <v>7</v>
      </c>
      <c r="G346" s="147" t="s">
        <v>8</v>
      </c>
      <c r="H346" s="148">
        <v>227</v>
      </c>
    </row>
    <row r="347" spans="1:9">
      <c r="A347" s="134">
        <v>346</v>
      </c>
      <c r="B347" s="134" t="s">
        <v>1818</v>
      </c>
      <c r="C347" s="146" t="s">
        <v>2486</v>
      </c>
      <c r="D347" s="146" t="s">
        <v>2487</v>
      </c>
      <c r="E347" s="134" t="s">
        <v>15</v>
      </c>
      <c r="F347" s="134" t="s">
        <v>10</v>
      </c>
      <c r="G347" s="146" t="s">
        <v>13</v>
      </c>
      <c r="H347" s="140">
        <v>215</v>
      </c>
      <c r="I347" s="156"/>
    </row>
    <row r="348" spans="1:9" s="158" customFormat="1">
      <c r="A348" s="158">
        <v>347</v>
      </c>
      <c r="B348" s="134" t="s">
        <v>1818</v>
      </c>
      <c r="C348" s="158" t="s">
        <v>2488</v>
      </c>
      <c r="D348" s="158" t="s">
        <v>2489</v>
      </c>
      <c r="F348" s="158" t="s">
        <v>10</v>
      </c>
      <c r="G348" s="158" t="s">
        <v>8</v>
      </c>
      <c r="H348" s="159"/>
      <c r="I348" s="158" t="s">
        <v>19</v>
      </c>
    </row>
    <row r="349" spans="1:9">
      <c r="A349" s="134">
        <v>348</v>
      </c>
      <c r="B349" s="134" t="s">
        <v>1818</v>
      </c>
      <c r="C349" s="137" t="s">
        <v>2490</v>
      </c>
      <c r="D349" s="137" t="s">
        <v>2491</v>
      </c>
      <c r="E349" s="137" t="s">
        <v>12</v>
      </c>
      <c r="F349" s="137" t="s">
        <v>7</v>
      </c>
      <c r="G349" s="137" t="s">
        <v>13</v>
      </c>
      <c r="H349" s="138">
        <v>190</v>
      </c>
    </row>
    <row r="350" spans="1:9">
      <c r="A350" s="134">
        <v>349</v>
      </c>
      <c r="B350" s="134" t="s">
        <v>1818</v>
      </c>
      <c r="C350" s="137" t="s">
        <v>2492</v>
      </c>
      <c r="D350" s="137" t="s">
        <v>2493</v>
      </c>
      <c r="E350" s="137" t="s">
        <v>18</v>
      </c>
      <c r="F350" s="137" t="s">
        <v>7</v>
      </c>
      <c r="G350" s="137" t="s">
        <v>13</v>
      </c>
      <c r="H350" s="138">
        <v>232</v>
      </c>
    </row>
    <row r="351" spans="1:9">
      <c r="A351" s="134">
        <v>350</v>
      </c>
      <c r="B351" s="134" t="s">
        <v>1818</v>
      </c>
      <c r="C351" s="139" t="s">
        <v>2494</v>
      </c>
      <c r="D351" s="134" t="s">
        <v>2495</v>
      </c>
      <c r="E351" s="134" t="s">
        <v>14</v>
      </c>
      <c r="F351" s="134" t="s">
        <v>7</v>
      </c>
      <c r="G351" s="134" t="s">
        <v>8</v>
      </c>
      <c r="H351" s="141">
        <v>180</v>
      </c>
    </row>
    <row r="352" spans="1:9">
      <c r="A352" s="134">
        <v>351</v>
      </c>
      <c r="B352" s="134" t="s">
        <v>1818</v>
      </c>
      <c r="C352" s="134" t="s">
        <v>2496</v>
      </c>
      <c r="D352" s="135" t="s">
        <v>2497</v>
      </c>
      <c r="E352" s="134" t="s">
        <v>15</v>
      </c>
      <c r="F352" s="134" t="s">
        <v>7</v>
      </c>
      <c r="G352" s="134" t="s">
        <v>8</v>
      </c>
      <c r="H352" s="136">
        <v>180</v>
      </c>
    </row>
    <row r="353" spans="1:8">
      <c r="A353" s="134">
        <v>352</v>
      </c>
      <c r="B353" s="134" t="s">
        <v>1818</v>
      </c>
      <c r="C353" s="134" t="s">
        <v>2498</v>
      </c>
      <c r="D353" s="134" t="s">
        <v>2499</v>
      </c>
      <c r="E353" s="134" t="s">
        <v>6</v>
      </c>
      <c r="F353" s="137" t="s">
        <v>10</v>
      </c>
      <c r="G353" s="134" t="s">
        <v>20</v>
      </c>
      <c r="H353" s="140">
        <v>220</v>
      </c>
    </row>
    <row r="354" spans="1:8" ht="33">
      <c r="A354" s="134">
        <v>353</v>
      </c>
      <c r="B354" s="134" t="s">
        <v>1818</v>
      </c>
      <c r="C354" s="134" t="s">
        <v>2500</v>
      </c>
      <c r="D354" s="135"/>
      <c r="H354" s="136">
        <v>180</v>
      </c>
    </row>
    <row r="355" spans="1:8">
      <c r="A355" s="134">
        <v>354</v>
      </c>
      <c r="B355" s="134" t="s">
        <v>1818</v>
      </c>
      <c r="C355" s="146" t="s">
        <v>2501</v>
      </c>
      <c r="D355" s="146" t="s">
        <v>2298</v>
      </c>
      <c r="E355" s="134" t="s">
        <v>9</v>
      </c>
      <c r="F355" s="134" t="s">
        <v>7</v>
      </c>
      <c r="G355" s="146" t="s">
        <v>8</v>
      </c>
      <c r="H355" s="140">
        <v>180</v>
      </c>
    </row>
    <row r="356" spans="1:8">
      <c r="A356" s="134">
        <v>355</v>
      </c>
      <c r="B356" s="134" t="s">
        <v>1818</v>
      </c>
      <c r="C356" s="134" t="s">
        <v>2502</v>
      </c>
      <c r="D356" s="134" t="s">
        <v>2503</v>
      </c>
      <c r="E356" s="134" t="s">
        <v>15</v>
      </c>
      <c r="F356" s="134" t="s">
        <v>7</v>
      </c>
      <c r="G356" s="134" t="s">
        <v>8</v>
      </c>
      <c r="H356" s="140">
        <v>200</v>
      </c>
    </row>
    <row r="357" spans="1:8">
      <c r="A357" s="134">
        <v>356</v>
      </c>
      <c r="B357" s="134" t="s">
        <v>1818</v>
      </c>
      <c r="C357" s="137" t="s">
        <v>2504</v>
      </c>
      <c r="D357" s="137" t="s">
        <v>2505</v>
      </c>
      <c r="E357" s="137" t="s">
        <v>6</v>
      </c>
      <c r="F357" s="137" t="s">
        <v>7</v>
      </c>
      <c r="G357" s="137" t="s">
        <v>8</v>
      </c>
      <c r="H357" s="138">
        <v>180</v>
      </c>
    </row>
    <row r="358" spans="1:8">
      <c r="A358" s="134">
        <v>357</v>
      </c>
      <c r="B358" s="134" t="s">
        <v>1818</v>
      </c>
      <c r="C358" s="137" t="s">
        <v>2506</v>
      </c>
      <c r="D358" s="137" t="s">
        <v>2507</v>
      </c>
      <c r="E358" s="137" t="s">
        <v>6</v>
      </c>
      <c r="F358" s="137" t="s">
        <v>7</v>
      </c>
      <c r="G358" s="137" t="s">
        <v>8</v>
      </c>
      <c r="H358" s="138">
        <v>220</v>
      </c>
    </row>
    <row r="359" spans="1:8">
      <c r="A359" s="134">
        <v>358</v>
      </c>
      <c r="B359" s="134" t="s">
        <v>1818</v>
      </c>
      <c r="C359" s="137" t="s">
        <v>2508</v>
      </c>
      <c r="D359" s="137" t="s">
        <v>2509</v>
      </c>
      <c r="E359" s="137" t="s">
        <v>6</v>
      </c>
      <c r="F359" s="137" t="s">
        <v>7</v>
      </c>
      <c r="G359" s="137" t="s">
        <v>8</v>
      </c>
      <c r="H359" s="138">
        <v>180</v>
      </c>
    </row>
    <row r="360" spans="1:8">
      <c r="A360" s="134">
        <v>359</v>
      </c>
      <c r="B360" s="134" t="s">
        <v>1818</v>
      </c>
      <c r="C360" s="147" t="s">
        <v>2510</v>
      </c>
      <c r="D360" s="147" t="s">
        <v>2013</v>
      </c>
      <c r="E360" s="147" t="s">
        <v>14</v>
      </c>
      <c r="F360" s="147" t="s">
        <v>7</v>
      </c>
      <c r="G360" s="147" t="s">
        <v>8</v>
      </c>
      <c r="H360" s="148">
        <v>274</v>
      </c>
    </row>
    <row r="361" spans="1:8">
      <c r="A361" s="134">
        <v>360</v>
      </c>
      <c r="B361" s="134" t="s">
        <v>1818</v>
      </c>
      <c r="C361" s="137" t="s">
        <v>2511</v>
      </c>
      <c r="D361" s="137" t="s">
        <v>2512</v>
      </c>
      <c r="E361" s="137" t="s">
        <v>14</v>
      </c>
      <c r="F361" s="137" t="s">
        <v>7</v>
      </c>
      <c r="G361" s="137" t="s">
        <v>8</v>
      </c>
      <c r="H361" s="138">
        <v>227</v>
      </c>
    </row>
    <row r="362" spans="1:8">
      <c r="A362" s="134">
        <v>361</v>
      </c>
      <c r="B362" s="134" t="s">
        <v>1818</v>
      </c>
      <c r="C362" s="149" t="s">
        <v>2513</v>
      </c>
      <c r="D362" s="150" t="s">
        <v>2514</v>
      </c>
      <c r="E362" s="134" t="s">
        <v>6</v>
      </c>
      <c r="F362" s="134" t="s">
        <v>7</v>
      </c>
      <c r="G362" s="147" t="s">
        <v>8</v>
      </c>
      <c r="H362" s="151">
        <v>200</v>
      </c>
    </row>
    <row r="363" spans="1:8">
      <c r="A363" s="134">
        <v>362</v>
      </c>
      <c r="B363" s="134" t="s">
        <v>1818</v>
      </c>
      <c r="C363" s="137" t="s">
        <v>2515</v>
      </c>
      <c r="D363" s="137" t="s">
        <v>2516</v>
      </c>
      <c r="E363" s="137" t="s">
        <v>6</v>
      </c>
      <c r="F363" s="137" t="s">
        <v>7</v>
      </c>
      <c r="G363" s="137" t="s">
        <v>8</v>
      </c>
      <c r="H363" s="138">
        <v>190</v>
      </c>
    </row>
    <row r="364" spans="1:8">
      <c r="A364" s="134">
        <v>363</v>
      </c>
      <c r="B364" s="134" t="s">
        <v>1818</v>
      </c>
      <c r="C364" s="137" t="s">
        <v>2517</v>
      </c>
      <c r="D364" s="137" t="s">
        <v>2518</v>
      </c>
      <c r="E364" s="137" t="s">
        <v>6</v>
      </c>
      <c r="F364" s="137" t="s">
        <v>10</v>
      </c>
      <c r="G364" s="137" t="s">
        <v>8</v>
      </c>
      <c r="H364" s="138">
        <v>190</v>
      </c>
    </row>
    <row r="365" spans="1:8">
      <c r="A365" s="134">
        <v>364</v>
      </c>
      <c r="B365" s="134" t="s">
        <v>1818</v>
      </c>
      <c r="C365" s="137" t="s">
        <v>2519</v>
      </c>
      <c r="D365" s="137" t="s">
        <v>2520</v>
      </c>
      <c r="E365" s="137" t="s">
        <v>6</v>
      </c>
      <c r="F365" s="137" t="s">
        <v>7</v>
      </c>
      <c r="G365" s="137" t="s">
        <v>8</v>
      </c>
      <c r="H365" s="138">
        <v>180</v>
      </c>
    </row>
    <row r="366" spans="1:8">
      <c r="A366" s="134">
        <v>365</v>
      </c>
      <c r="B366" s="134" t="s">
        <v>1818</v>
      </c>
      <c r="C366" s="134" t="s">
        <v>2521</v>
      </c>
      <c r="D366" s="134" t="s">
        <v>2522</v>
      </c>
      <c r="E366" s="134" t="s">
        <v>6</v>
      </c>
      <c r="F366" s="134" t="s">
        <v>7</v>
      </c>
      <c r="G366" s="134" t="s">
        <v>8</v>
      </c>
      <c r="H366" s="140">
        <v>180</v>
      </c>
    </row>
    <row r="367" spans="1:8">
      <c r="A367" s="134">
        <v>366</v>
      </c>
      <c r="B367" s="134" t="s">
        <v>1818</v>
      </c>
      <c r="C367" s="146" t="s">
        <v>2523</v>
      </c>
      <c r="D367" s="146" t="s">
        <v>1873</v>
      </c>
      <c r="E367" s="134" t="s">
        <v>6</v>
      </c>
      <c r="F367" s="134" t="s">
        <v>7</v>
      </c>
      <c r="G367" s="146" t="s">
        <v>8</v>
      </c>
      <c r="H367" s="140">
        <v>220</v>
      </c>
    </row>
    <row r="368" spans="1:8">
      <c r="A368" s="134">
        <v>367</v>
      </c>
      <c r="B368" s="134" t="s">
        <v>1818</v>
      </c>
      <c r="C368" s="137" t="s">
        <v>2524</v>
      </c>
      <c r="D368" s="137" t="s">
        <v>2525</v>
      </c>
      <c r="E368" s="137" t="s">
        <v>12</v>
      </c>
      <c r="F368" s="137" t="s">
        <v>7</v>
      </c>
      <c r="G368" s="137" t="s">
        <v>8</v>
      </c>
      <c r="H368" s="138">
        <v>232</v>
      </c>
    </row>
    <row r="369" spans="1:9">
      <c r="A369" s="134">
        <v>368</v>
      </c>
      <c r="B369" s="134" t="s">
        <v>1818</v>
      </c>
      <c r="C369" s="137" t="s">
        <v>2526</v>
      </c>
      <c r="D369" s="137" t="s">
        <v>2512</v>
      </c>
      <c r="E369" s="137" t="s">
        <v>18</v>
      </c>
      <c r="F369" s="137" t="s">
        <v>7</v>
      </c>
      <c r="G369" s="137" t="s">
        <v>8</v>
      </c>
      <c r="H369" s="138">
        <v>220</v>
      </c>
    </row>
    <row r="370" spans="1:9">
      <c r="A370" s="134">
        <v>369</v>
      </c>
      <c r="B370" s="134" t="s">
        <v>1818</v>
      </c>
      <c r="C370" s="137" t="s">
        <v>2527</v>
      </c>
      <c r="D370" s="137" t="s">
        <v>2528</v>
      </c>
      <c r="E370" s="137" t="s">
        <v>6</v>
      </c>
      <c r="F370" s="137" t="s">
        <v>7</v>
      </c>
      <c r="G370" s="137" t="s">
        <v>8</v>
      </c>
      <c r="H370" s="138">
        <v>190</v>
      </c>
    </row>
    <row r="371" spans="1:9">
      <c r="A371" s="134">
        <v>370</v>
      </c>
      <c r="B371" s="134" t="s">
        <v>1818</v>
      </c>
      <c r="C371" s="137" t="s">
        <v>2529</v>
      </c>
      <c r="D371" s="137" t="s">
        <v>2530</v>
      </c>
      <c r="E371" s="137" t="s">
        <v>6</v>
      </c>
      <c r="F371" s="137" t="s">
        <v>7</v>
      </c>
      <c r="G371" s="137" t="s">
        <v>8</v>
      </c>
      <c r="H371" s="138">
        <v>190</v>
      </c>
    </row>
    <row r="372" spans="1:9">
      <c r="A372" s="134">
        <v>371</v>
      </c>
      <c r="B372" s="134" t="s">
        <v>1818</v>
      </c>
      <c r="C372" s="134" t="s">
        <v>2531</v>
      </c>
      <c r="D372" s="134" t="s">
        <v>2532</v>
      </c>
      <c r="E372" s="134" t="s">
        <v>6</v>
      </c>
      <c r="F372" s="134" t="s">
        <v>7</v>
      </c>
      <c r="G372" s="134" t="s">
        <v>13</v>
      </c>
      <c r="H372" s="140">
        <v>227</v>
      </c>
    </row>
    <row r="373" spans="1:9">
      <c r="A373" s="134">
        <v>372</v>
      </c>
      <c r="B373" s="134" t="s">
        <v>1818</v>
      </c>
      <c r="C373" s="137" t="s">
        <v>2533</v>
      </c>
      <c r="D373" s="137" t="s">
        <v>2534</v>
      </c>
      <c r="E373" s="137" t="s">
        <v>6</v>
      </c>
      <c r="F373" s="137" t="s">
        <v>7</v>
      </c>
      <c r="G373" s="137" t="s">
        <v>8</v>
      </c>
      <c r="H373" s="138">
        <v>220</v>
      </c>
    </row>
    <row r="374" spans="1:9">
      <c r="A374" s="134">
        <v>373</v>
      </c>
      <c r="B374" s="134" t="s">
        <v>1818</v>
      </c>
      <c r="C374" s="137" t="s">
        <v>2535</v>
      </c>
      <c r="D374" s="137" t="s">
        <v>2536</v>
      </c>
      <c r="E374" s="137" t="s">
        <v>12</v>
      </c>
      <c r="F374" s="137" t="s">
        <v>7</v>
      </c>
      <c r="G374" s="137" t="s">
        <v>8</v>
      </c>
      <c r="H374" s="138">
        <v>232</v>
      </c>
    </row>
    <row r="375" spans="1:9" ht="33">
      <c r="A375" s="134">
        <v>374</v>
      </c>
      <c r="B375" s="134" t="s">
        <v>1818</v>
      </c>
      <c r="C375" s="134" t="s">
        <v>2537</v>
      </c>
      <c r="D375" s="135" t="s">
        <v>2538</v>
      </c>
      <c r="E375" s="134" t="s">
        <v>14</v>
      </c>
      <c r="F375" s="134" t="s">
        <v>7</v>
      </c>
      <c r="G375" s="134" t="s">
        <v>8</v>
      </c>
      <c r="H375" s="136">
        <v>180</v>
      </c>
    </row>
    <row r="376" spans="1:9">
      <c r="A376" s="134">
        <v>375</v>
      </c>
      <c r="B376" s="134" t="s">
        <v>1818</v>
      </c>
      <c r="C376" s="137" t="s">
        <v>2539</v>
      </c>
      <c r="D376" s="137" t="s">
        <v>2540</v>
      </c>
      <c r="E376" s="137" t="s">
        <v>14</v>
      </c>
      <c r="F376" s="137" t="s">
        <v>7</v>
      </c>
      <c r="G376" s="137" t="s">
        <v>8</v>
      </c>
      <c r="H376" s="138">
        <v>180</v>
      </c>
    </row>
    <row r="377" spans="1:9" ht="27" customHeight="1">
      <c r="A377" s="134">
        <v>376</v>
      </c>
      <c r="B377" s="134" t="s">
        <v>1818</v>
      </c>
      <c r="C377" s="146" t="s">
        <v>2541</v>
      </c>
      <c r="D377" s="146" t="s">
        <v>2542</v>
      </c>
      <c r="G377" s="146" t="s">
        <v>8</v>
      </c>
      <c r="H377" s="140">
        <v>215</v>
      </c>
    </row>
    <row r="378" spans="1:9">
      <c r="A378" s="134">
        <v>377</v>
      </c>
      <c r="B378" s="134" t="s">
        <v>1818</v>
      </c>
      <c r="C378" s="146" t="s">
        <v>2543</v>
      </c>
      <c r="D378" s="146" t="s">
        <v>2544</v>
      </c>
      <c r="E378" s="134" t="s">
        <v>14</v>
      </c>
      <c r="F378" s="134" t="s">
        <v>10</v>
      </c>
      <c r="G378" s="146" t="s">
        <v>20</v>
      </c>
      <c r="H378" s="140">
        <v>180</v>
      </c>
    </row>
    <row r="379" spans="1:9">
      <c r="A379" s="134">
        <v>378</v>
      </c>
      <c r="B379" s="134" t="s">
        <v>1818</v>
      </c>
      <c r="C379" s="137" t="s">
        <v>2545</v>
      </c>
      <c r="D379" s="137" t="s">
        <v>2546</v>
      </c>
      <c r="E379" s="137" t="s">
        <v>18</v>
      </c>
      <c r="F379" s="137" t="s">
        <v>10</v>
      </c>
      <c r="G379" s="137" t="s">
        <v>8</v>
      </c>
      <c r="H379" s="138">
        <v>232</v>
      </c>
    </row>
    <row r="380" spans="1:9">
      <c r="A380" s="134">
        <v>379</v>
      </c>
      <c r="B380" s="134" t="s">
        <v>1818</v>
      </c>
      <c r="C380" s="137" t="s">
        <v>2547</v>
      </c>
      <c r="D380" s="137" t="s">
        <v>2548</v>
      </c>
      <c r="E380" s="137" t="s">
        <v>6</v>
      </c>
      <c r="F380" s="137" t="s">
        <v>7</v>
      </c>
      <c r="G380" s="137" t="s">
        <v>8</v>
      </c>
      <c r="H380" s="138">
        <v>190</v>
      </c>
    </row>
    <row r="381" spans="1:9">
      <c r="A381" s="134">
        <v>380</v>
      </c>
      <c r="B381" s="134" t="s">
        <v>1818</v>
      </c>
      <c r="C381" s="146" t="s">
        <v>2549</v>
      </c>
      <c r="D381" s="146" t="s">
        <v>2550</v>
      </c>
      <c r="E381" s="134" t="s">
        <v>14</v>
      </c>
      <c r="F381" s="134" t="s">
        <v>7</v>
      </c>
      <c r="G381" s="146" t="s">
        <v>8</v>
      </c>
      <c r="H381" s="140">
        <v>220</v>
      </c>
    </row>
    <row r="382" spans="1:9" s="158" customFormat="1" ht="33">
      <c r="A382" s="158">
        <v>382</v>
      </c>
      <c r="B382" s="134" t="s">
        <v>1818</v>
      </c>
      <c r="C382" s="158" t="s">
        <v>2551</v>
      </c>
      <c r="D382" s="158" t="s">
        <v>2552</v>
      </c>
      <c r="F382" s="158" t="s">
        <v>10</v>
      </c>
      <c r="G382" s="158" t="s">
        <v>28</v>
      </c>
      <c r="H382" s="159"/>
      <c r="I382" s="158" t="s">
        <v>29</v>
      </c>
    </row>
    <row r="383" spans="1:9">
      <c r="A383" s="134">
        <v>383</v>
      </c>
      <c r="B383" s="134" t="s">
        <v>1818</v>
      </c>
      <c r="C383" s="134" t="s">
        <v>2553</v>
      </c>
      <c r="D383" s="134" t="s">
        <v>2554</v>
      </c>
      <c r="E383" s="134" t="s">
        <v>16</v>
      </c>
      <c r="F383" s="134" t="s">
        <v>10</v>
      </c>
      <c r="G383" s="134" t="s">
        <v>25</v>
      </c>
      <c r="H383" s="140">
        <v>274</v>
      </c>
    </row>
    <row r="384" spans="1:9">
      <c r="A384" s="134">
        <v>384</v>
      </c>
      <c r="B384" s="134" t="s">
        <v>1818</v>
      </c>
      <c r="C384" s="134" t="s">
        <v>2555</v>
      </c>
      <c r="D384" s="134" t="s">
        <v>2556</v>
      </c>
      <c r="E384" s="134" t="s">
        <v>6</v>
      </c>
      <c r="F384" s="134" t="s">
        <v>10</v>
      </c>
      <c r="G384" s="134" t="s">
        <v>8</v>
      </c>
      <c r="H384" s="140">
        <v>180</v>
      </c>
    </row>
    <row r="385" spans="1:9">
      <c r="A385" s="134">
        <v>385</v>
      </c>
      <c r="B385" s="134" t="s">
        <v>1818</v>
      </c>
      <c r="C385" s="134" t="s">
        <v>2557</v>
      </c>
      <c r="D385" s="134" t="s">
        <v>2558</v>
      </c>
      <c r="E385" s="134" t="s">
        <v>6</v>
      </c>
      <c r="F385" s="134" t="s">
        <v>10</v>
      </c>
      <c r="G385" s="134" t="s">
        <v>8</v>
      </c>
      <c r="H385" s="140">
        <v>220</v>
      </c>
    </row>
    <row r="386" spans="1:9">
      <c r="A386" s="134">
        <v>386</v>
      </c>
      <c r="B386" s="134" t="s">
        <v>1818</v>
      </c>
      <c r="C386" s="134" t="s">
        <v>2559</v>
      </c>
      <c r="D386" s="134" t="s">
        <v>2560</v>
      </c>
      <c r="E386" s="134" t="s">
        <v>15</v>
      </c>
      <c r="F386" s="134" t="s">
        <v>7</v>
      </c>
      <c r="G386" s="134" t="s">
        <v>8</v>
      </c>
      <c r="H386" s="140">
        <v>190</v>
      </c>
      <c r="I386" s="156"/>
    </row>
    <row r="387" spans="1:9">
      <c r="A387" s="134">
        <v>387</v>
      </c>
      <c r="B387" s="134" t="s">
        <v>1818</v>
      </c>
      <c r="C387" s="134" t="s">
        <v>2561</v>
      </c>
      <c r="D387" s="134" t="s">
        <v>2562</v>
      </c>
      <c r="F387" s="134" t="s">
        <v>10</v>
      </c>
      <c r="G387" s="134" t="s">
        <v>8</v>
      </c>
      <c r="H387" s="140">
        <v>260</v>
      </c>
    </row>
    <row r="388" spans="1:9" s="158" customFormat="1" ht="33">
      <c r="A388" s="158">
        <v>388</v>
      </c>
      <c r="B388" s="134" t="s">
        <v>1818</v>
      </c>
      <c r="C388" s="158" t="s">
        <v>2563</v>
      </c>
      <c r="D388" s="158" t="s">
        <v>2564</v>
      </c>
      <c r="F388" s="158" t="s">
        <v>10</v>
      </c>
      <c r="G388" s="158" t="s">
        <v>20</v>
      </c>
      <c r="H388" s="159"/>
      <c r="I388" s="158" t="s">
        <v>30</v>
      </c>
    </row>
    <row r="389" spans="1:9">
      <c r="A389" s="134">
        <v>389</v>
      </c>
      <c r="B389" s="134" t="s">
        <v>1818</v>
      </c>
      <c r="C389" s="137" t="s">
        <v>2565</v>
      </c>
      <c r="D389" s="137" t="s">
        <v>2566</v>
      </c>
      <c r="E389" s="137" t="s">
        <v>14</v>
      </c>
      <c r="F389" s="137" t="s">
        <v>7</v>
      </c>
      <c r="G389" s="137" t="s">
        <v>13</v>
      </c>
      <c r="H389" s="138">
        <v>190</v>
      </c>
    </row>
    <row r="390" spans="1:9">
      <c r="A390" s="134">
        <v>390</v>
      </c>
      <c r="B390" s="134" t="s">
        <v>1818</v>
      </c>
      <c r="C390" s="137" t="s">
        <v>2567</v>
      </c>
      <c r="D390" s="137" t="s">
        <v>2118</v>
      </c>
      <c r="E390" s="137" t="s">
        <v>14</v>
      </c>
      <c r="F390" s="137" t="s">
        <v>7</v>
      </c>
      <c r="G390" s="137" t="s">
        <v>8</v>
      </c>
      <c r="H390" s="138">
        <v>180</v>
      </c>
    </row>
    <row r="391" spans="1:9">
      <c r="A391" s="134">
        <v>391</v>
      </c>
      <c r="B391" s="134" t="s">
        <v>1818</v>
      </c>
      <c r="C391" s="137" t="s">
        <v>2568</v>
      </c>
      <c r="D391" s="137" t="s">
        <v>2569</v>
      </c>
      <c r="E391" s="137" t="s">
        <v>18</v>
      </c>
      <c r="F391" s="137" t="s">
        <v>7</v>
      </c>
      <c r="G391" s="137" t="s">
        <v>13</v>
      </c>
      <c r="H391" s="138">
        <v>227</v>
      </c>
    </row>
    <row r="392" spans="1:9">
      <c r="A392" s="134">
        <v>392</v>
      </c>
      <c r="B392" s="134" t="s">
        <v>1818</v>
      </c>
      <c r="C392" s="137" t="s">
        <v>2570</v>
      </c>
      <c r="D392" s="137" t="s">
        <v>2571</v>
      </c>
      <c r="E392" s="137" t="s">
        <v>18</v>
      </c>
      <c r="F392" s="137" t="s">
        <v>7</v>
      </c>
      <c r="G392" s="137" t="s">
        <v>8</v>
      </c>
      <c r="H392" s="138">
        <v>190</v>
      </c>
    </row>
    <row r="393" spans="1:9">
      <c r="A393" s="134">
        <v>393</v>
      </c>
      <c r="B393" s="134" t="s">
        <v>1818</v>
      </c>
      <c r="C393" s="137" t="s">
        <v>2572</v>
      </c>
      <c r="D393" s="137" t="s">
        <v>1937</v>
      </c>
      <c r="E393" s="137" t="s">
        <v>14</v>
      </c>
      <c r="F393" s="137" t="s">
        <v>7</v>
      </c>
      <c r="G393" s="137" t="s">
        <v>13</v>
      </c>
      <c r="H393" s="138">
        <v>190</v>
      </c>
    </row>
    <row r="394" spans="1:9">
      <c r="A394" s="134">
        <v>394</v>
      </c>
      <c r="B394" s="134" t="s">
        <v>1818</v>
      </c>
      <c r="C394" s="137" t="s">
        <v>2573</v>
      </c>
      <c r="D394" s="137" t="s">
        <v>2574</v>
      </c>
      <c r="E394" s="137" t="s">
        <v>6</v>
      </c>
      <c r="F394" s="137" t="s">
        <v>7</v>
      </c>
      <c r="G394" s="137" t="s">
        <v>8</v>
      </c>
      <c r="H394" s="138">
        <v>190</v>
      </c>
    </row>
    <row r="395" spans="1:9">
      <c r="A395" s="134">
        <v>395</v>
      </c>
      <c r="B395" s="134" t="s">
        <v>1818</v>
      </c>
      <c r="C395" s="137" t="s">
        <v>2575</v>
      </c>
      <c r="D395" s="137" t="s">
        <v>2576</v>
      </c>
      <c r="E395" s="137" t="s">
        <v>6</v>
      </c>
      <c r="F395" s="137" t="s">
        <v>7</v>
      </c>
      <c r="G395" s="137" t="s">
        <v>8</v>
      </c>
      <c r="H395" s="138">
        <v>190</v>
      </c>
    </row>
    <row r="396" spans="1:9" ht="17.100000000000001" customHeight="1">
      <c r="A396" s="134">
        <v>396</v>
      </c>
      <c r="B396" s="134" t="s">
        <v>1818</v>
      </c>
      <c r="C396" s="137" t="s">
        <v>2577</v>
      </c>
      <c r="D396" s="137" t="s">
        <v>2578</v>
      </c>
      <c r="E396" s="137" t="s">
        <v>6</v>
      </c>
      <c r="F396" s="137" t="s">
        <v>10</v>
      </c>
      <c r="G396" s="137" t="s">
        <v>13</v>
      </c>
      <c r="H396" s="138">
        <v>190</v>
      </c>
    </row>
    <row r="397" spans="1:9">
      <c r="A397" s="134">
        <v>397</v>
      </c>
      <c r="B397" s="134" t="s">
        <v>1818</v>
      </c>
      <c r="C397" s="134" t="s">
        <v>2579</v>
      </c>
      <c r="D397" s="134" t="s">
        <v>2580</v>
      </c>
      <c r="H397" s="140">
        <v>300</v>
      </c>
    </row>
    <row r="398" spans="1:9">
      <c r="A398" s="134">
        <v>398</v>
      </c>
      <c r="B398" s="134" t="s">
        <v>1818</v>
      </c>
      <c r="C398" s="137" t="s">
        <v>2581</v>
      </c>
      <c r="D398" s="137" t="s">
        <v>2582</v>
      </c>
      <c r="E398" s="137" t="s">
        <v>6</v>
      </c>
      <c r="F398" s="137" t="s">
        <v>7</v>
      </c>
      <c r="G398" s="137" t="s">
        <v>8</v>
      </c>
      <c r="H398" s="138">
        <v>180</v>
      </c>
    </row>
    <row r="399" spans="1:9">
      <c r="A399" s="134">
        <v>399</v>
      </c>
      <c r="B399" s="134" t="s">
        <v>1818</v>
      </c>
      <c r="C399" s="137" t="s">
        <v>2583</v>
      </c>
      <c r="D399" s="137" t="s">
        <v>2584</v>
      </c>
      <c r="E399" s="137" t="s">
        <v>16</v>
      </c>
      <c r="F399" s="137" t="s">
        <v>10</v>
      </c>
      <c r="G399" s="137" t="s">
        <v>11</v>
      </c>
      <c r="H399" s="138">
        <v>232</v>
      </c>
    </row>
    <row r="400" spans="1:9">
      <c r="A400" s="134">
        <v>400</v>
      </c>
      <c r="B400" s="134" t="s">
        <v>1818</v>
      </c>
      <c r="C400" s="137" t="s">
        <v>2585</v>
      </c>
      <c r="D400" s="137" t="s">
        <v>2586</v>
      </c>
      <c r="E400" s="137" t="s">
        <v>18</v>
      </c>
      <c r="F400" s="137" t="s">
        <v>7</v>
      </c>
      <c r="G400" s="137" t="s">
        <v>13</v>
      </c>
      <c r="H400" s="138">
        <v>190</v>
      </c>
    </row>
    <row r="401" spans="1:8">
      <c r="A401" s="134">
        <v>401</v>
      </c>
      <c r="B401" s="134" t="s">
        <v>1818</v>
      </c>
      <c r="C401" s="137" t="s">
        <v>2587</v>
      </c>
      <c r="D401" s="137" t="s">
        <v>2298</v>
      </c>
      <c r="E401" s="137" t="s">
        <v>15</v>
      </c>
      <c r="F401" s="137" t="s">
        <v>10</v>
      </c>
      <c r="G401" s="137" t="s">
        <v>25</v>
      </c>
      <c r="H401" s="138">
        <v>232</v>
      </c>
    </row>
    <row r="402" spans="1:8">
      <c r="A402" s="134">
        <v>402</v>
      </c>
      <c r="B402" s="134" t="s">
        <v>1818</v>
      </c>
      <c r="C402" s="137" t="s">
        <v>2588</v>
      </c>
      <c r="D402" s="137" t="s">
        <v>2589</v>
      </c>
      <c r="E402" s="137" t="s">
        <v>6</v>
      </c>
      <c r="F402" s="137" t="s">
        <v>7</v>
      </c>
      <c r="G402" s="137" t="s">
        <v>13</v>
      </c>
      <c r="H402" s="138">
        <v>227</v>
      </c>
    </row>
    <row r="403" spans="1:8">
      <c r="A403" s="134">
        <v>403</v>
      </c>
      <c r="B403" s="134" t="s">
        <v>1818</v>
      </c>
      <c r="C403" s="137" t="s">
        <v>2590</v>
      </c>
      <c r="D403" s="137" t="s">
        <v>2591</v>
      </c>
      <c r="E403" s="137" t="s">
        <v>18</v>
      </c>
      <c r="F403" s="137" t="s">
        <v>7</v>
      </c>
      <c r="G403" s="137" t="s">
        <v>8</v>
      </c>
      <c r="H403" s="138">
        <v>232</v>
      </c>
    </row>
    <row r="404" spans="1:8">
      <c r="A404" s="134">
        <v>404</v>
      </c>
      <c r="B404" s="134" t="s">
        <v>1818</v>
      </c>
      <c r="C404" s="137" t="s">
        <v>2592</v>
      </c>
      <c r="D404" s="137" t="s">
        <v>2593</v>
      </c>
      <c r="E404" s="137" t="s">
        <v>6</v>
      </c>
      <c r="F404" s="137" t="s">
        <v>10</v>
      </c>
      <c r="G404" s="137" t="s">
        <v>13</v>
      </c>
      <c r="H404" s="138">
        <v>227</v>
      </c>
    </row>
    <row r="405" spans="1:8">
      <c r="A405" s="134">
        <v>405</v>
      </c>
      <c r="B405" s="134" t="s">
        <v>1818</v>
      </c>
      <c r="C405" s="137" t="s">
        <v>2594</v>
      </c>
      <c r="D405" s="137" t="s">
        <v>2595</v>
      </c>
      <c r="E405" s="137" t="s">
        <v>14</v>
      </c>
      <c r="F405" s="137" t="s">
        <v>7</v>
      </c>
      <c r="G405" s="137" t="s">
        <v>13</v>
      </c>
      <c r="H405" s="138">
        <v>190</v>
      </c>
    </row>
    <row r="406" spans="1:8">
      <c r="A406" s="134">
        <v>406</v>
      </c>
      <c r="B406" s="134" t="s">
        <v>1818</v>
      </c>
      <c r="C406" s="137" t="s">
        <v>2596</v>
      </c>
      <c r="D406" s="137" t="s">
        <v>2050</v>
      </c>
      <c r="E406" s="137" t="s">
        <v>14</v>
      </c>
      <c r="F406" s="137" t="s">
        <v>7</v>
      </c>
      <c r="G406" s="137" t="s">
        <v>8</v>
      </c>
      <c r="H406" s="138">
        <v>232</v>
      </c>
    </row>
    <row r="407" spans="1:8" ht="33">
      <c r="A407" s="134">
        <v>407</v>
      </c>
      <c r="B407" s="134" t="s">
        <v>1818</v>
      </c>
      <c r="C407" s="134" t="s">
        <v>2597</v>
      </c>
      <c r="D407" s="135" t="s">
        <v>2598</v>
      </c>
      <c r="E407" s="134" t="s">
        <v>6</v>
      </c>
      <c r="F407" s="134" t="s">
        <v>7</v>
      </c>
      <c r="G407" s="134" t="s">
        <v>8</v>
      </c>
      <c r="H407" s="136">
        <v>180</v>
      </c>
    </row>
    <row r="408" spans="1:8">
      <c r="A408" s="134">
        <v>408</v>
      </c>
      <c r="B408" s="134" t="s">
        <v>1818</v>
      </c>
      <c r="C408" s="137" t="s">
        <v>2599</v>
      </c>
      <c r="D408" s="137" t="s">
        <v>2600</v>
      </c>
      <c r="E408" s="137" t="s">
        <v>6</v>
      </c>
      <c r="F408" s="137" t="s">
        <v>7</v>
      </c>
      <c r="G408" s="137" t="s">
        <v>8</v>
      </c>
      <c r="H408" s="138">
        <v>190</v>
      </c>
    </row>
    <row r="409" spans="1:8">
      <c r="A409" s="134">
        <v>409</v>
      </c>
      <c r="B409" s="134" t="s">
        <v>1818</v>
      </c>
      <c r="C409" s="137" t="s">
        <v>2601</v>
      </c>
      <c r="D409" s="137" t="s">
        <v>2602</v>
      </c>
      <c r="E409" s="137" t="s">
        <v>14</v>
      </c>
      <c r="F409" s="137" t="s">
        <v>7</v>
      </c>
      <c r="G409" s="137" t="s">
        <v>8</v>
      </c>
      <c r="H409" s="138">
        <v>180</v>
      </c>
    </row>
    <row r="410" spans="1:8">
      <c r="A410" s="134">
        <v>410</v>
      </c>
      <c r="B410" s="134" t="s">
        <v>1818</v>
      </c>
      <c r="C410" s="134" t="s">
        <v>2603</v>
      </c>
      <c r="D410" s="134" t="s">
        <v>2604</v>
      </c>
      <c r="E410" s="134" t="s">
        <v>12</v>
      </c>
      <c r="F410" s="134" t="s">
        <v>7</v>
      </c>
      <c r="G410" s="134" t="s">
        <v>8</v>
      </c>
      <c r="H410" s="140">
        <v>215</v>
      </c>
    </row>
    <row r="411" spans="1:8">
      <c r="A411" s="134">
        <v>411</v>
      </c>
      <c r="B411" s="134" t="s">
        <v>1818</v>
      </c>
      <c r="C411" s="137" t="s">
        <v>2605</v>
      </c>
      <c r="D411" s="137" t="s">
        <v>2606</v>
      </c>
      <c r="E411" s="137" t="s">
        <v>18</v>
      </c>
      <c r="F411" s="137" t="s">
        <v>7</v>
      </c>
      <c r="G411" s="137" t="s">
        <v>8</v>
      </c>
      <c r="H411" s="138">
        <v>190</v>
      </c>
    </row>
    <row r="412" spans="1:8">
      <c r="A412" s="134">
        <v>412</v>
      </c>
      <c r="B412" s="134" t="s">
        <v>1818</v>
      </c>
      <c r="C412" s="166" t="s">
        <v>2607</v>
      </c>
      <c r="D412" s="134" t="s">
        <v>2608</v>
      </c>
      <c r="E412" s="134" t="s">
        <v>14</v>
      </c>
      <c r="F412" s="134" t="s">
        <v>7</v>
      </c>
      <c r="G412" s="147" t="s">
        <v>8</v>
      </c>
      <c r="H412" s="167">
        <v>220</v>
      </c>
    </row>
    <row r="413" spans="1:8">
      <c r="A413" s="134">
        <v>413</v>
      </c>
      <c r="B413" s="134" t="s">
        <v>1818</v>
      </c>
      <c r="C413" s="137" t="s">
        <v>2609</v>
      </c>
      <c r="D413" s="137" t="s">
        <v>2610</v>
      </c>
      <c r="E413" s="137" t="s">
        <v>18</v>
      </c>
      <c r="F413" s="137" t="s">
        <v>7</v>
      </c>
      <c r="G413" s="137" t="s">
        <v>8</v>
      </c>
      <c r="H413" s="138">
        <v>190</v>
      </c>
    </row>
    <row r="414" spans="1:8" ht="33">
      <c r="A414" s="134">
        <v>414</v>
      </c>
      <c r="B414" s="134" t="s">
        <v>1818</v>
      </c>
      <c r="C414" s="137" t="s">
        <v>2611</v>
      </c>
      <c r="D414" s="137" t="s">
        <v>2612</v>
      </c>
      <c r="E414" s="137" t="s">
        <v>6</v>
      </c>
      <c r="F414" s="137" t="s">
        <v>7</v>
      </c>
      <c r="G414" s="137" t="s">
        <v>8</v>
      </c>
      <c r="H414" s="138">
        <v>190</v>
      </c>
    </row>
    <row r="415" spans="1:8">
      <c r="A415" s="134">
        <v>415</v>
      </c>
      <c r="B415" s="134" t="s">
        <v>1818</v>
      </c>
      <c r="C415" s="134" t="s">
        <v>2613</v>
      </c>
      <c r="D415" s="134" t="s">
        <v>2614</v>
      </c>
      <c r="E415" s="134" t="s">
        <v>6</v>
      </c>
      <c r="F415" s="134" t="s">
        <v>7</v>
      </c>
      <c r="G415" s="134" t="s">
        <v>8</v>
      </c>
      <c r="H415" s="140">
        <v>180</v>
      </c>
    </row>
    <row r="416" spans="1:8">
      <c r="A416" s="134">
        <v>416</v>
      </c>
      <c r="B416" s="134" t="s">
        <v>1818</v>
      </c>
      <c r="C416" s="134" t="s">
        <v>2615</v>
      </c>
      <c r="D416" s="134" t="s">
        <v>2616</v>
      </c>
      <c r="E416" s="134" t="s">
        <v>14</v>
      </c>
      <c r="F416" s="134" t="s">
        <v>10</v>
      </c>
      <c r="G416" s="134" t="s">
        <v>8</v>
      </c>
      <c r="H416" s="140">
        <v>220</v>
      </c>
    </row>
    <row r="417" spans="1:9">
      <c r="A417" s="134">
        <v>417</v>
      </c>
      <c r="B417" s="134" t="s">
        <v>1818</v>
      </c>
      <c r="C417" s="134" t="s">
        <v>2617</v>
      </c>
      <c r="D417" s="134" t="s">
        <v>2618</v>
      </c>
      <c r="E417" s="134" t="s">
        <v>18</v>
      </c>
      <c r="F417" s="134" t="s">
        <v>7</v>
      </c>
      <c r="G417" s="134" t="s">
        <v>8</v>
      </c>
      <c r="H417" s="140">
        <v>232</v>
      </c>
    </row>
    <row r="418" spans="1:9">
      <c r="A418" s="134">
        <v>418</v>
      </c>
      <c r="B418" s="134" t="s">
        <v>1818</v>
      </c>
      <c r="C418" s="134" t="s">
        <v>2619</v>
      </c>
      <c r="D418" s="134" t="s">
        <v>2620</v>
      </c>
      <c r="E418" s="134" t="s">
        <v>9</v>
      </c>
      <c r="F418" s="134" t="s">
        <v>7</v>
      </c>
      <c r="G418" s="134" t="s">
        <v>8</v>
      </c>
      <c r="H418" s="140">
        <v>180</v>
      </c>
    </row>
    <row r="419" spans="1:9">
      <c r="A419" s="134">
        <v>419</v>
      </c>
      <c r="B419" s="134" t="s">
        <v>1818</v>
      </c>
      <c r="C419" s="137" t="s">
        <v>2621</v>
      </c>
      <c r="D419" s="137" t="s">
        <v>2525</v>
      </c>
      <c r="E419" s="137" t="s">
        <v>6</v>
      </c>
      <c r="F419" s="137" t="s">
        <v>7</v>
      </c>
      <c r="G419" s="137" t="s">
        <v>8</v>
      </c>
      <c r="H419" s="138">
        <v>190</v>
      </c>
    </row>
    <row r="420" spans="1:9">
      <c r="A420" s="134">
        <v>420</v>
      </c>
      <c r="B420" s="134" t="s">
        <v>1818</v>
      </c>
      <c r="C420" s="137" t="s">
        <v>2622</v>
      </c>
      <c r="D420" s="137" t="s">
        <v>2623</v>
      </c>
      <c r="E420" s="137" t="s">
        <v>6</v>
      </c>
      <c r="F420" s="137" t="s">
        <v>7</v>
      </c>
      <c r="G420" s="137" t="s">
        <v>8</v>
      </c>
      <c r="H420" s="138">
        <v>190</v>
      </c>
    </row>
    <row r="421" spans="1:9">
      <c r="A421" s="134">
        <v>421</v>
      </c>
      <c r="B421" s="134" t="s">
        <v>1818</v>
      </c>
      <c r="C421" s="134" t="s">
        <v>2624</v>
      </c>
      <c r="D421" s="134" t="s">
        <v>2625</v>
      </c>
      <c r="E421" s="134" t="s">
        <v>18</v>
      </c>
      <c r="F421" s="134" t="s">
        <v>10</v>
      </c>
      <c r="G421" s="134" t="s">
        <v>8</v>
      </c>
      <c r="H421" s="140">
        <v>220</v>
      </c>
    </row>
    <row r="422" spans="1:9">
      <c r="A422" s="134">
        <v>422</v>
      </c>
      <c r="B422" s="134" t="s">
        <v>1818</v>
      </c>
      <c r="C422" s="134" t="s">
        <v>2624</v>
      </c>
      <c r="D422" s="134" t="s">
        <v>2626</v>
      </c>
      <c r="E422" s="134" t="s">
        <v>18</v>
      </c>
      <c r="F422" s="134" t="s">
        <v>7</v>
      </c>
      <c r="G422" s="134" t="s">
        <v>31</v>
      </c>
      <c r="H422" s="140">
        <v>227</v>
      </c>
    </row>
    <row r="423" spans="1:9">
      <c r="A423" s="134">
        <v>423</v>
      </c>
      <c r="B423" s="134" t="s">
        <v>1818</v>
      </c>
      <c r="C423" s="137" t="s">
        <v>2627</v>
      </c>
      <c r="D423" s="137" t="s">
        <v>2628</v>
      </c>
      <c r="E423" s="137" t="s">
        <v>15</v>
      </c>
      <c r="F423" s="137" t="s">
        <v>10</v>
      </c>
      <c r="G423" s="137" t="s">
        <v>25</v>
      </c>
      <c r="H423" s="138">
        <v>190</v>
      </c>
    </row>
    <row r="424" spans="1:9">
      <c r="A424" s="134">
        <v>424</v>
      </c>
      <c r="B424" s="134" t="s">
        <v>1818</v>
      </c>
      <c r="C424" s="137" t="s">
        <v>2629</v>
      </c>
      <c r="D424" s="137" t="s">
        <v>2630</v>
      </c>
      <c r="E424" s="137" t="s">
        <v>18</v>
      </c>
      <c r="F424" s="137" t="s">
        <v>10</v>
      </c>
      <c r="G424" s="137" t="s">
        <v>25</v>
      </c>
      <c r="H424" s="138">
        <v>190</v>
      </c>
    </row>
    <row r="425" spans="1:9">
      <c r="A425" s="134">
        <v>425</v>
      </c>
      <c r="B425" s="134" t="s">
        <v>1818</v>
      </c>
      <c r="C425" s="137" t="s">
        <v>2631</v>
      </c>
      <c r="D425" s="137" t="s">
        <v>2632</v>
      </c>
      <c r="E425" s="137" t="s">
        <v>18</v>
      </c>
      <c r="F425" s="137" t="s">
        <v>10</v>
      </c>
      <c r="G425" s="137" t="s">
        <v>13</v>
      </c>
      <c r="H425" s="138">
        <v>190</v>
      </c>
    </row>
    <row r="426" spans="1:9" s="158" customFormat="1" ht="33">
      <c r="A426" s="158">
        <v>426</v>
      </c>
      <c r="B426" s="134" t="s">
        <v>1818</v>
      </c>
      <c r="C426" s="158" t="s">
        <v>2633</v>
      </c>
      <c r="D426" s="158" t="s">
        <v>2634</v>
      </c>
      <c r="F426" s="158" t="s">
        <v>10</v>
      </c>
      <c r="G426" s="158" t="s">
        <v>11</v>
      </c>
      <c r="H426" s="159"/>
      <c r="I426" s="158" t="s">
        <v>32</v>
      </c>
    </row>
    <row r="427" spans="1:9">
      <c r="A427" s="134">
        <v>427</v>
      </c>
      <c r="B427" s="134" t="s">
        <v>1818</v>
      </c>
      <c r="C427" s="137" t="s">
        <v>2635</v>
      </c>
      <c r="D427" s="137" t="s">
        <v>2013</v>
      </c>
      <c r="E427" s="137" t="s">
        <v>16</v>
      </c>
      <c r="F427" s="137" t="s">
        <v>10</v>
      </c>
      <c r="G427" s="137" t="s">
        <v>8</v>
      </c>
      <c r="H427" s="138">
        <v>274</v>
      </c>
    </row>
    <row r="428" spans="1:9">
      <c r="A428" s="134">
        <v>428</v>
      </c>
      <c r="B428" s="134" t="s">
        <v>1818</v>
      </c>
      <c r="C428" s="134" t="s">
        <v>2636</v>
      </c>
      <c r="D428" s="135" t="s">
        <v>2637</v>
      </c>
      <c r="E428" s="134" t="s">
        <v>14</v>
      </c>
      <c r="F428" s="134" t="s">
        <v>7</v>
      </c>
      <c r="G428" s="134" t="s">
        <v>8</v>
      </c>
      <c r="H428" s="136">
        <v>220</v>
      </c>
    </row>
    <row r="429" spans="1:9">
      <c r="A429" s="134">
        <v>429</v>
      </c>
      <c r="B429" s="134" t="s">
        <v>1818</v>
      </c>
      <c r="C429" s="146" t="s">
        <v>2638</v>
      </c>
      <c r="D429" s="146" t="s">
        <v>2639</v>
      </c>
      <c r="G429" s="146" t="s">
        <v>8</v>
      </c>
      <c r="H429" s="140">
        <v>220</v>
      </c>
    </row>
    <row r="430" spans="1:9">
      <c r="A430" s="134">
        <v>430</v>
      </c>
      <c r="B430" s="134" t="s">
        <v>1818</v>
      </c>
      <c r="C430" s="152" t="s">
        <v>2640</v>
      </c>
      <c r="D430" s="152" t="s">
        <v>2641</v>
      </c>
      <c r="E430" s="152" t="s">
        <v>14</v>
      </c>
      <c r="F430" s="152" t="s">
        <v>7</v>
      </c>
      <c r="G430" s="152" t="s">
        <v>13</v>
      </c>
      <c r="H430" s="157">
        <v>227</v>
      </c>
    </row>
    <row r="431" spans="1:9">
      <c r="A431" s="134">
        <v>431</v>
      </c>
      <c r="B431" s="134" t="s">
        <v>1818</v>
      </c>
      <c r="C431" s="137" t="s">
        <v>1951</v>
      </c>
      <c r="D431" s="137" t="s">
        <v>1845</v>
      </c>
      <c r="E431" s="137" t="s">
        <v>15</v>
      </c>
      <c r="F431" s="137" t="s">
        <v>10</v>
      </c>
      <c r="G431" s="137" t="s">
        <v>8</v>
      </c>
      <c r="H431" s="138">
        <v>232</v>
      </c>
    </row>
    <row r="432" spans="1:9">
      <c r="A432" s="134">
        <v>432</v>
      </c>
      <c r="B432" s="134" t="s">
        <v>1818</v>
      </c>
      <c r="C432" s="149" t="s">
        <v>2642</v>
      </c>
      <c r="D432" s="134" t="s">
        <v>2643</v>
      </c>
      <c r="G432" s="147" t="s">
        <v>8</v>
      </c>
      <c r="H432" s="155">
        <v>180</v>
      </c>
    </row>
    <row r="433" spans="1:9">
      <c r="A433" s="134">
        <v>433</v>
      </c>
      <c r="B433" s="134" t="s">
        <v>1818</v>
      </c>
      <c r="C433" s="137" t="s">
        <v>2644</v>
      </c>
      <c r="D433" s="137" t="s">
        <v>2645</v>
      </c>
      <c r="E433" s="137" t="s">
        <v>18</v>
      </c>
      <c r="F433" s="137" t="s">
        <v>7</v>
      </c>
      <c r="G433" s="137" t="s">
        <v>8</v>
      </c>
      <c r="H433" s="138">
        <v>232</v>
      </c>
    </row>
    <row r="434" spans="1:9">
      <c r="A434" s="134">
        <v>434</v>
      </c>
      <c r="B434" s="134" t="s">
        <v>1818</v>
      </c>
      <c r="C434" s="146" t="s">
        <v>2646</v>
      </c>
      <c r="D434" s="146" t="s">
        <v>2647</v>
      </c>
      <c r="E434" s="134" t="s">
        <v>18</v>
      </c>
      <c r="F434" s="134" t="s">
        <v>7</v>
      </c>
      <c r="G434" s="146" t="s">
        <v>8</v>
      </c>
      <c r="H434" s="140">
        <v>190</v>
      </c>
    </row>
    <row r="435" spans="1:9">
      <c r="A435" s="134">
        <v>435</v>
      </c>
      <c r="B435" s="134" t="s">
        <v>1818</v>
      </c>
      <c r="C435" s="137" t="s">
        <v>2648</v>
      </c>
      <c r="D435" s="137" t="s">
        <v>2649</v>
      </c>
      <c r="E435" s="137" t="s">
        <v>14</v>
      </c>
      <c r="F435" s="137" t="s">
        <v>7</v>
      </c>
      <c r="G435" s="137" t="s">
        <v>8</v>
      </c>
      <c r="H435" s="138">
        <v>190</v>
      </c>
    </row>
    <row r="436" spans="1:9" ht="33">
      <c r="A436" s="134">
        <v>436</v>
      </c>
      <c r="B436" s="134" t="s">
        <v>1818</v>
      </c>
      <c r="C436" s="137" t="s">
        <v>2650</v>
      </c>
      <c r="D436" s="137" t="s">
        <v>2651</v>
      </c>
      <c r="E436" s="137" t="s">
        <v>6</v>
      </c>
      <c r="F436" s="137" t="s">
        <v>7</v>
      </c>
      <c r="G436" s="137" t="s">
        <v>8</v>
      </c>
      <c r="H436" s="138">
        <v>180</v>
      </c>
    </row>
    <row r="437" spans="1:9">
      <c r="A437" s="134">
        <v>437</v>
      </c>
      <c r="B437" s="134" t="s">
        <v>1818</v>
      </c>
      <c r="C437" s="137" t="s">
        <v>2650</v>
      </c>
      <c r="D437" s="137" t="s">
        <v>2652</v>
      </c>
      <c r="E437" s="137" t="s">
        <v>18</v>
      </c>
      <c r="F437" s="137" t="s">
        <v>7</v>
      </c>
      <c r="G437" s="137" t="s">
        <v>8</v>
      </c>
      <c r="H437" s="138">
        <v>180</v>
      </c>
    </row>
    <row r="438" spans="1:9">
      <c r="A438" s="134">
        <v>438</v>
      </c>
      <c r="B438" s="134" t="s">
        <v>1818</v>
      </c>
      <c r="C438" s="137" t="s">
        <v>2653</v>
      </c>
      <c r="D438" s="137" t="s">
        <v>2654</v>
      </c>
      <c r="E438" s="137" t="s">
        <v>14</v>
      </c>
      <c r="F438" s="137" t="s">
        <v>7</v>
      </c>
      <c r="G438" s="137" t="s">
        <v>8</v>
      </c>
      <c r="H438" s="138">
        <v>190</v>
      </c>
    </row>
    <row r="439" spans="1:9">
      <c r="A439" s="134">
        <v>439</v>
      </c>
      <c r="B439" s="134" t="s">
        <v>1818</v>
      </c>
      <c r="C439" s="134" t="s">
        <v>2655</v>
      </c>
      <c r="D439" s="135" t="s">
        <v>2656</v>
      </c>
      <c r="E439" s="134" t="s">
        <v>18</v>
      </c>
      <c r="F439" s="134" t="s">
        <v>7</v>
      </c>
      <c r="G439" s="134" t="s">
        <v>8</v>
      </c>
      <c r="H439" s="136">
        <v>180</v>
      </c>
    </row>
    <row r="440" spans="1:9">
      <c r="A440" s="134">
        <v>440</v>
      </c>
      <c r="B440" s="134" t="s">
        <v>1818</v>
      </c>
      <c r="C440" s="137" t="s">
        <v>2657</v>
      </c>
      <c r="D440" s="137" t="s">
        <v>2658</v>
      </c>
      <c r="E440" s="137" t="s">
        <v>14</v>
      </c>
      <c r="F440" s="137" t="s">
        <v>7</v>
      </c>
      <c r="G440" s="137" t="s">
        <v>8</v>
      </c>
      <c r="H440" s="138">
        <v>190</v>
      </c>
    </row>
    <row r="441" spans="1:9">
      <c r="A441" s="134">
        <v>441</v>
      </c>
      <c r="B441" s="134" t="s">
        <v>1818</v>
      </c>
      <c r="C441" s="146" t="s">
        <v>2659</v>
      </c>
      <c r="D441" s="146" t="s">
        <v>2660</v>
      </c>
      <c r="E441" s="134" t="s">
        <v>12</v>
      </c>
      <c r="F441" s="134" t="s">
        <v>27</v>
      </c>
      <c r="G441" s="146" t="s">
        <v>13</v>
      </c>
      <c r="H441" s="140">
        <v>190</v>
      </c>
      <c r="I441" s="156"/>
    </row>
    <row r="442" spans="1:9">
      <c r="A442" s="134">
        <v>442</v>
      </c>
      <c r="B442" s="134" t="s">
        <v>1818</v>
      </c>
      <c r="C442" s="137" t="s">
        <v>2661</v>
      </c>
      <c r="D442" s="137" t="s">
        <v>2662</v>
      </c>
      <c r="E442" s="137" t="s">
        <v>18</v>
      </c>
      <c r="F442" s="137" t="s">
        <v>7</v>
      </c>
      <c r="G442" s="137" t="s">
        <v>8</v>
      </c>
      <c r="H442" s="138">
        <v>232</v>
      </c>
    </row>
    <row r="443" spans="1:9">
      <c r="A443" s="134">
        <v>443</v>
      </c>
      <c r="B443" s="134" t="s">
        <v>1818</v>
      </c>
      <c r="C443" s="166" t="s">
        <v>2663</v>
      </c>
      <c r="D443" s="166" t="s">
        <v>2664</v>
      </c>
      <c r="E443" s="166" t="s">
        <v>33</v>
      </c>
      <c r="F443" s="139" t="s">
        <v>10</v>
      </c>
      <c r="G443" s="147" t="s">
        <v>25</v>
      </c>
      <c r="H443" s="155">
        <v>169</v>
      </c>
    </row>
    <row r="444" spans="1:9" s="158" customFormat="1">
      <c r="A444" s="158">
        <v>444</v>
      </c>
      <c r="B444" s="134" t="s">
        <v>1818</v>
      </c>
      <c r="C444" s="158" t="s">
        <v>2665</v>
      </c>
      <c r="D444" s="158" t="s">
        <v>2666</v>
      </c>
      <c r="F444" s="158" t="s">
        <v>10</v>
      </c>
      <c r="H444" s="159"/>
      <c r="I444" s="158" t="s">
        <v>19</v>
      </c>
    </row>
    <row r="445" spans="1:9">
      <c r="A445" s="134">
        <v>445</v>
      </c>
      <c r="B445" s="134" t="s">
        <v>1818</v>
      </c>
      <c r="C445" s="134" t="s">
        <v>2667</v>
      </c>
      <c r="D445" s="135" t="s">
        <v>2668</v>
      </c>
      <c r="H445" s="136">
        <v>180</v>
      </c>
    </row>
    <row r="446" spans="1:9">
      <c r="A446" s="134">
        <v>446</v>
      </c>
      <c r="B446" s="134" t="s">
        <v>1818</v>
      </c>
      <c r="C446" s="137" t="s">
        <v>2669</v>
      </c>
      <c r="D446" s="137" t="s">
        <v>2218</v>
      </c>
      <c r="E446" s="137" t="s">
        <v>6</v>
      </c>
      <c r="F446" s="137" t="s">
        <v>7</v>
      </c>
      <c r="G446" s="137" t="s">
        <v>8</v>
      </c>
      <c r="H446" s="138">
        <v>190</v>
      </c>
    </row>
    <row r="447" spans="1:9">
      <c r="A447" s="134">
        <v>447</v>
      </c>
      <c r="B447" s="134" t="s">
        <v>1818</v>
      </c>
      <c r="C447" s="134" t="s">
        <v>2670</v>
      </c>
      <c r="D447" s="135" t="s">
        <v>2671</v>
      </c>
      <c r="E447" s="134" t="s">
        <v>16</v>
      </c>
      <c r="F447" s="134" t="s">
        <v>7</v>
      </c>
      <c r="G447" s="134" t="s">
        <v>8</v>
      </c>
      <c r="H447" s="136">
        <v>180</v>
      </c>
    </row>
    <row r="448" spans="1:9">
      <c r="A448" s="134">
        <v>448</v>
      </c>
      <c r="B448" s="134" t="s">
        <v>1818</v>
      </c>
      <c r="C448" s="137" t="s">
        <v>2672</v>
      </c>
      <c r="D448" s="137" t="s">
        <v>2673</v>
      </c>
      <c r="E448" s="137" t="s">
        <v>12</v>
      </c>
      <c r="F448" s="137" t="s">
        <v>10</v>
      </c>
      <c r="G448" s="137" t="s">
        <v>8</v>
      </c>
      <c r="H448" s="138">
        <v>232</v>
      </c>
    </row>
    <row r="449" spans="1:9">
      <c r="A449" s="134">
        <v>449</v>
      </c>
      <c r="B449" s="134" t="s">
        <v>1818</v>
      </c>
      <c r="C449" s="149" t="s">
        <v>2674</v>
      </c>
      <c r="D449" s="150" t="s">
        <v>2675</v>
      </c>
      <c r="E449" s="134" t="s">
        <v>12</v>
      </c>
      <c r="F449" s="134" t="s">
        <v>7</v>
      </c>
      <c r="G449" s="147" t="s">
        <v>8</v>
      </c>
      <c r="H449" s="151">
        <v>260</v>
      </c>
    </row>
    <row r="450" spans="1:9" s="158" customFormat="1">
      <c r="A450" s="158">
        <v>450</v>
      </c>
      <c r="B450" s="134" t="s">
        <v>1818</v>
      </c>
      <c r="C450" s="158" t="s">
        <v>2676</v>
      </c>
      <c r="D450" s="158" t="s">
        <v>2677</v>
      </c>
      <c r="F450" s="158" t="s">
        <v>10</v>
      </c>
      <c r="G450" s="158" t="s">
        <v>34</v>
      </c>
      <c r="H450" s="159"/>
      <c r="I450" s="158" t="s">
        <v>35</v>
      </c>
    </row>
    <row r="451" spans="1:9" ht="33">
      <c r="A451" s="134">
        <v>451</v>
      </c>
      <c r="B451" s="134" t="s">
        <v>1818</v>
      </c>
      <c r="C451" s="137" t="s">
        <v>2678</v>
      </c>
      <c r="D451" s="137" t="s">
        <v>2679</v>
      </c>
      <c r="E451" s="137" t="s">
        <v>18</v>
      </c>
      <c r="F451" s="137" t="s">
        <v>7</v>
      </c>
      <c r="G451" s="137" t="s">
        <v>8</v>
      </c>
      <c r="H451" s="138">
        <v>190</v>
      </c>
    </row>
    <row r="452" spans="1:9">
      <c r="A452" s="134">
        <v>452</v>
      </c>
      <c r="B452" s="134" t="s">
        <v>1818</v>
      </c>
      <c r="C452" s="134" t="s">
        <v>2680</v>
      </c>
      <c r="D452" s="134" t="s">
        <v>2681</v>
      </c>
      <c r="E452" s="134" t="s">
        <v>14</v>
      </c>
      <c r="F452" s="137" t="s">
        <v>10</v>
      </c>
      <c r="G452" s="134" t="s">
        <v>20</v>
      </c>
      <c r="H452" s="140">
        <v>220</v>
      </c>
    </row>
    <row r="453" spans="1:9">
      <c r="A453" s="134">
        <v>453</v>
      </c>
      <c r="B453" s="134" t="s">
        <v>1818</v>
      </c>
      <c r="C453" s="137" t="s">
        <v>2682</v>
      </c>
      <c r="D453" s="137" t="s">
        <v>2683</v>
      </c>
      <c r="E453" s="137" t="s">
        <v>15</v>
      </c>
      <c r="F453" s="137" t="s">
        <v>7</v>
      </c>
      <c r="G453" s="137" t="s">
        <v>8</v>
      </c>
      <c r="H453" s="138">
        <v>190</v>
      </c>
    </row>
    <row r="454" spans="1:9">
      <c r="A454" s="134">
        <v>454</v>
      </c>
      <c r="B454" s="134" t="s">
        <v>1818</v>
      </c>
      <c r="C454" s="137" t="s">
        <v>2684</v>
      </c>
      <c r="D454" s="137" t="s">
        <v>2685</v>
      </c>
      <c r="E454" s="137" t="s">
        <v>14</v>
      </c>
      <c r="F454" s="137" t="s">
        <v>7</v>
      </c>
      <c r="G454" s="137" t="s">
        <v>8</v>
      </c>
      <c r="H454" s="138">
        <v>232</v>
      </c>
    </row>
    <row r="455" spans="1:9">
      <c r="A455" s="134">
        <v>455</v>
      </c>
      <c r="B455" s="134" t="s">
        <v>1818</v>
      </c>
      <c r="C455" s="134" t="s">
        <v>2686</v>
      </c>
      <c r="D455" s="134" t="s">
        <v>2687</v>
      </c>
      <c r="E455" s="134" t="s">
        <v>9</v>
      </c>
      <c r="F455" s="134" t="s">
        <v>7</v>
      </c>
      <c r="G455" s="134" t="s">
        <v>8</v>
      </c>
      <c r="H455" s="140">
        <v>180</v>
      </c>
    </row>
    <row r="456" spans="1:9">
      <c r="A456" s="134">
        <v>456</v>
      </c>
      <c r="B456" s="134" t="s">
        <v>1818</v>
      </c>
      <c r="C456" s="137" t="s">
        <v>2688</v>
      </c>
      <c r="D456" s="137" t="s">
        <v>2689</v>
      </c>
      <c r="E456" s="137" t="s">
        <v>14</v>
      </c>
      <c r="F456" s="137" t="s">
        <v>7</v>
      </c>
      <c r="G456" s="137" t="s">
        <v>8</v>
      </c>
      <c r="H456" s="138">
        <v>220</v>
      </c>
    </row>
    <row r="457" spans="1:9">
      <c r="A457" s="134">
        <v>457</v>
      </c>
      <c r="B457" s="134" t="s">
        <v>1818</v>
      </c>
      <c r="C457" s="137" t="s">
        <v>2690</v>
      </c>
      <c r="D457" s="137" t="s">
        <v>2691</v>
      </c>
      <c r="E457" s="137" t="s">
        <v>14</v>
      </c>
      <c r="F457" s="137" t="s">
        <v>7</v>
      </c>
      <c r="G457" s="137" t="s">
        <v>8</v>
      </c>
      <c r="H457" s="138">
        <v>232</v>
      </c>
    </row>
    <row r="458" spans="1:9">
      <c r="A458" s="134">
        <v>458</v>
      </c>
      <c r="B458" s="134" t="s">
        <v>1818</v>
      </c>
      <c r="C458" s="137" t="s">
        <v>2692</v>
      </c>
      <c r="D458" s="137" t="s">
        <v>2693</v>
      </c>
      <c r="E458" s="137" t="s">
        <v>6</v>
      </c>
      <c r="F458" s="137" t="s">
        <v>7</v>
      </c>
      <c r="G458" s="137" t="s">
        <v>8</v>
      </c>
      <c r="H458" s="138">
        <v>220</v>
      </c>
    </row>
    <row r="459" spans="1:9">
      <c r="A459" s="134">
        <v>459</v>
      </c>
      <c r="B459" s="134" t="s">
        <v>1818</v>
      </c>
      <c r="C459" s="137" t="s">
        <v>2694</v>
      </c>
      <c r="D459" s="137" t="s">
        <v>1874</v>
      </c>
      <c r="E459" s="137" t="s">
        <v>6</v>
      </c>
      <c r="F459" s="137" t="s">
        <v>7</v>
      </c>
      <c r="G459" s="137" t="s">
        <v>8</v>
      </c>
      <c r="H459" s="138">
        <v>220</v>
      </c>
    </row>
    <row r="460" spans="1:9" ht="33">
      <c r="A460" s="134">
        <v>460</v>
      </c>
      <c r="B460" s="134" t="s">
        <v>1818</v>
      </c>
      <c r="C460" s="137" t="s">
        <v>2695</v>
      </c>
      <c r="D460" s="137" t="s">
        <v>2696</v>
      </c>
      <c r="E460" s="137" t="s">
        <v>16</v>
      </c>
      <c r="F460" s="137" t="s">
        <v>10</v>
      </c>
      <c r="G460" s="137" t="s">
        <v>8</v>
      </c>
      <c r="H460" s="138">
        <v>232</v>
      </c>
    </row>
    <row r="461" spans="1:9">
      <c r="A461" s="134">
        <v>461</v>
      </c>
      <c r="B461" s="134" t="s">
        <v>1818</v>
      </c>
      <c r="C461" s="137" t="s">
        <v>2697</v>
      </c>
      <c r="D461" s="137" t="s">
        <v>2698</v>
      </c>
      <c r="E461" s="137" t="s">
        <v>6</v>
      </c>
      <c r="F461" s="137" t="s">
        <v>7</v>
      </c>
      <c r="G461" s="137" t="s">
        <v>8</v>
      </c>
      <c r="H461" s="138">
        <v>180</v>
      </c>
    </row>
    <row r="462" spans="1:9">
      <c r="A462" s="134">
        <v>462</v>
      </c>
      <c r="B462" s="134" t="s">
        <v>1818</v>
      </c>
      <c r="C462" s="137" t="s">
        <v>2699</v>
      </c>
      <c r="D462" s="137" t="s">
        <v>2700</v>
      </c>
      <c r="E462" s="137" t="s">
        <v>14</v>
      </c>
      <c r="F462" s="137" t="s">
        <v>7</v>
      </c>
      <c r="G462" s="137" t="s">
        <v>8</v>
      </c>
      <c r="H462" s="138">
        <v>180</v>
      </c>
    </row>
    <row r="463" spans="1:9">
      <c r="A463" s="134">
        <v>463</v>
      </c>
      <c r="B463" s="134" t="s">
        <v>1818</v>
      </c>
      <c r="C463" s="137" t="s">
        <v>2701</v>
      </c>
      <c r="D463" s="137" t="s">
        <v>2702</v>
      </c>
      <c r="E463" s="137" t="s">
        <v>6</v>
      </c>
      <c r="F463" s="137" t="s">
        <v>7</v>
      </c>
      <c r="G463" s="137" t="s">
        <v>8</v>
      </c>
      <c r="H463" s="138">
        <v>180</v>
      </c>
    </row>
    <row r="464" spans="1:9">
      <c r="A464" s="134">
        <v>464</v>
      </c>
      <c r="B464" s="134" t="s">
        <v>1818</v>
      </c>
      <c r="C464" s="137" t="s">
        <v>2703</v>
      </c>
      <c r="D464" s="137" t="s">
        <v>2704</v>
      </c>
      <c r="E464" s="137" t="s">
        <v>12</v>
      </c>
      <c r="F464" s="137" t="s">
        <v>7</v>
      </c>
      <c r="G464" s="137" t="s">
        <v>8</v>
      </c>
      <c r="H464" s="138">
        <v>180</v>
      </c>
    </row>
    <row r="465" spans="1:9">
      <c r="A465" s="134">
        <v>465</v>
      </c>
      <c r="B465" s="134" t="s">
        <v>1818</v>
      </c>
      <c r="C465" s="137" t="s">
        <v>2705</v>
      </c>
      <c r="D465" s="137" t="s">
        <v>2706</v>
      </c>
      <c r="E465" s="137" t="s">
        <v>15</v>
      </c>
      <c r="F465" s="137" t="s">
        <v>7</v>
      </c>
      <c r="G465" s="137" t="s">
        <v>17</v>
      </c>
      <c r="H465" s="138">
        <v>232</v>
      </c>
    </row>
    <row r="466" spans="1:9">
      <c r="A466" s="134">
        <v>466</v>
      </c>
      <c r="B466" s="134" t="s">
        <v>1818</v>
      </c>
      <c r="C466" s="134" t="s">
        <v>2707</v>
      </c>
      <c r="D466" s="135" t="s">
        <v>2708</v>
      </c>
      <c r="E466" s="134" t="s">
        <v>15</v>
      </c>
      <c r="F466" s="134" t="s">
        <v>7</v>
      </c>
      <c r="G466" s="134" t="s">
        <v>8</v>
      </c>
      <c r="H466" s="136">
        <v>180</v>
      </c>
    </row>
    <row r="467" spans="1:9" ht="33">
      <c r="A467" s="134">
        <v>467</v>
      </c>
      <c r="B467" s="134" t="s">
        <v>1818</v>
      </c>
      <c r="C467" s="169" t="s">
        <v>2709</v>
      </c>
      <c r="D467" s="170" t="s">
        <v>2710</v>
      </c>
      <c r="E467" s="170"/>
      <c r="F467" s="170" t="s">
        <v>10</v>
      </c>
      <c r="G467" s="170" t="s">
        <v>8</v>
      </c>
      <c r="H467" s="171">
        <v>260</v>
      </c>
      <c r="I467" s="170" t="s">
        <v>36</v>
      </c>
    </row>
    <row r="468" spans="1:9">
      <c r="A468" s="134">
        <v>468</v>
      </c>
      <c r="B468" s="134" t="s">
        <v>1818</v>
      </c>
      <c r="C468" s="137" t="s">
        <v>2711</v>
      </c>
      <c r="D468" s="137" t="s">
        <v>2712</v>
      </c>
      <c r="E468" s="137" t="s">
        <v>18</v>
      </c>
      <c r="F468" s="137" t="s">
        <v>7</v>
      </c>
      <c r="G468" s="137" t="s">
        <v>8</v>
      </c>
      <c r="H468" s="138">
        <v>220</v>
      </c>
    </row>
    <row r="469" spans="1:9">
      <c r="A469" s="134">
        <v>469</v>
      </c>
      <c r="B469" s="134" t="s">
        <v>1818</v>
      </c>
      <c r="C469" s="134" t="s">
        <v>2713</v>
      </c>
      <c r="D469" s="134" t="s">
        <v>2714</v>
      </c>
      <c r="E469" s="134" t="s">
        <v>9</v>
      </c>
      <c r="F469" s="134" t="s">
        <v>7</v>
      </c>
      <c r="G469" s="134" t="s">
        <v>8</v>
      </c>
      <c r="H469" s="140">
        <v>260</v>
      </c>
    </row>
    <row r="470" spans="1:9">
      <c r="A470" s="134">
        <v>470</v>
      </c>
      <c r="B470" s="134" t="s">
        <v>1818</v>
      </c>
      <c r="C470" s="134" t="s">
        <v>2715</v>
      </c>
      <c r="D470" s="134" t="s">
        <v>2716</v>
      </c>
      <c r="E470" s="134" t="s">
        <v>6</v>
      </c>
      <c r="F470" s="134" t="s">
        <v>7</v>
      </c>
      <c r="G470" s="134" t="s">
        <v>8</v>
      </c>
      <c r="H470" s="140">
        <v>180</v>
      </c>
    </row>
    <row r="471" spans="1:9">
      <c r="A471" s="134">
        <v>471</v>
      </c>
      <c r="B471" s="134" t="s">
        <v>1818</v>
      </c>
      <c r="C471" s="137" t="s">
        <v>2717</v>
      </c>
      <c r="D471" s="137" t="s">
        <v>2718</v>
      </c>
      <c r="E471" s="137" t="s">
        <v>14</v>
      </c>
      <c r="F471" s="137" t="s">
        <v>7</v>
      </c>
      <c r="G471" s="137" t="s">
        <v>8</v>
      </c>
      <c r="H471" s="138">
        <v>180</v>
      </c>
    </row>
    <row r="472" spans="1:9">
      <c r="A472" s="134">
        <v>472</v>
      </c>
      <c r="B472" s="134" t="s">
        <v>1818</v>
      </c>
      <c r="C472" s="134" t="s">
        <v>2719</v>
      </c>
      <c r="D472" s="134" t="s">
        <v>2720</v>
      </c>
      <c r="E472" s="134" t="s">
        <v>14</v>
      </c>
      <c r="F472" s="134" t="s">
        <v>7</v>
      </c>
      <c r="G472" s="134" t="s">
        <v>8</v>
      </c>
      <c r="H472" s="140">
        <v>220</v>
      </c>
    </row>
    <row r="473" spans="1:9">
      <c r="A473" s="134">
        <v>473</v>
      </c>
      <c r="B473" s="134" t="s">
        <v>1818</v>
      </c>
      <c r="C473" s="134" t="s">
        <v>2721</v>
      </c>
      <c r="D473" s="134" t="s">
        <v>2722</v>
      </c>
      <c r="E473" s="134" t="s">
        <v>16</v>
      </c>
      <c r="F473" s="134" t="s">
        <v>10</v>
      </c>
      <c r="G473" s="134" t="s">
        <v>8</v>
      </c>
      <c r="H473" s="140">
        <v>232</v>
      </c>
    </row>
    <row r="474" spans="1:9">
      <c r="A474" s="134">
        <v>474</v>
      </c>
      <c r="B474" s="134" t="s">
        <v>1818</v>
      </c>
      <c r="C474" s="137" t="s">
        <v>2723</v>
      </c>
      <c r="D474" s="137" t="s">
        <v>2724</v>
      </c>
      <c r="E474" s="137" t="s">
        <v>18</v>
      </c>
      <c r="F474" s="137" t="s">
        <v>7</v>
      </c>
      <c r="G474" s="137" t="s">
        <v>8</v>
      </c>
      <c r="H474" s="138">
        <v>180</v>
      </c>
    </row>
    <row r="475" spans="1:9">
      <c r="A475" s="134">
        <v>475</v>
      </c>
      <c r="B475" s="134" t="s">
        <v>1818</v>
      </c>
      <c r="C475" s="139" t="s">
        <v>2725</v>
      </c>
      <c r="D475" s="134" t="s">
        <v>2726</v>
      </c>
      <c r="G475" s="134" t="s">
        <v>8</v>
      </c>
      <c r="H475" s="141">
        <v>260</v>
      </c>
    </row>
    <row r="476" spans="1:9">
      <c r="A476" s="134">
        <v>476</v>
      </c>
      <c r="B476" s="134" t="s">
        <v>1818</v>
      </c>
      <c r="C476" s="134" t="s">
        <v>2727</v>
      </c>
      <c r="D476" s="135" t="s">
        <v>2728</v>
      </c>
      <c r="E476" s="134" t="s">
        <v>14</v>
      </c>
      <c r="F476" s="134" t="s">
        <v>7</v>
      </c>
      <c r="G476" s="134" t="s">
        <v>8</v>
      </c>
      <c r="H476" s="136">
        <v>220</v>
      </c>
    </row>
    <row r="477" spans="1:9">
      <c r="A477" s="134">
        <v>477</v>
      </c>
      <c r="B477" s="134" t="s">
        <v>1818</v>
      </c>
      <c r="C477" s="137" t="s">
        <v>2729</v>
      </c>
      <c r="D477" s="137" t="s">
        <v>2730</v>
      </c>
      <c r="E477" s="137" t="s">
        <v>6</v>
      </c>
      <c r="F477" s="137" t="s">
        <v>7</v>
      </c>
      <c r="G477" s="137" t="s">
        <v>8</v>
      </c>
      <c r="H477" s="138">
        <v>232</v>
      </c>
    </row>
    <row r="478" spans="1:9">
      <c r="A478" s="134">
        <v>478</v>
      </c>
      <c r="B478" s="134" t="s">
        <v>1818</v>
      </c>
      <c r="C478" s="137" t="s">
        <v>2731</v>
      </c>
      <c r="D478" s="137" t="s">
        <v>2732</v>
      </c>
      <c r="E478" s="137" t="s">
        <v>14</v>
      </c>
      <c r="F478" s="137" t="s">
        <v>7</v>
      </c>
      <c r="G478" s="137" t="s">
        <v>8</v>
      </c>
      <c r="H478" s="138">
        <v>232</v>
      </c>
    </row>
    <row r="479" spans="1:9">
      <c r="A479" s="134">
        <v>479</v>
      </c>
      <c r="B479" s="134" t="s">
        <v>1818</v>
      </c>
      <c r="C479" s="166" t="s">
        <v>2733</v>
      </c>
      <c r="D479" s="134" t="s">
        <v>2734</v>
      </c>
      <c r="G479" s="147" t="s">
        <v>8</v>
      </c>
      <c r="H479" s="167">
        <v>200</v>
      </c>
    </row>
    <row r="480" spans="1:9">
      <c r="A480" s="134">
        <v>480</v>
      </c>
      <c r="B480" s="134" t="s">
        <v>1818</v>
      </c>
      <c r="C480" s="137" t="s">
        <v>2735</v>
      </c>
      <c r="D480" s="137" t="s">
        <v>2736</v>
      </c>
      <c r="E480" s="137" t="s">
        <v>14</v>
      </c>
      <c r="F480" s="137" t="s">
        <v>7</v>
      </c>
      <c r="G480" s="137" t="s">
        <v>8</v>
      </c>
      <c r="H480" s="138">
        <v>190</v>
      </c>
    </row>
    <row r="481" spans="1:9">
      <c r="A481" s="134">
        <v>481</v>
      </c>
      <c r="B481" s="134" t="s">
        <v>1818</v>
      </c>
      <c r="C481" s="134" t="s">
        <v>2737</v>
      </c>
      <c r="D481" s="134" t="s">
        <v>2738</v>
      </c>
      <c r="E481" s="134" t="s">
        <v>12</v>
      </c>
      <c r="F481" s="134" t="s">
        <v>7</v>
      </c>
      <c r="G481" s="134" t="s">
        <v>8</v>
      </c>
      <c r="H481" s="140">
        <v>232</v>
      </c>
    </row>
    <row r="482" spans="1:9">
      <c r="A482" s="134">
        <v>482</v>
      </c>
      <c r="B482" s="134" t="s">
        <v>1818</v>
      </c>
      <c r="C482" s="137" t="s">
        <v>2737</v>
      </c>
      <c r="D482" s="137" t="s">
        <v>2739</v>
      </c>
      <c r="E482" s="137" t="s">
        <v>12</v>
      </c>
      <c r="F482" s="137" t="s">
        <v>7</v>
      </c>
      <c r="G482" s="137" t="s">
        <v>8</v>
      </c>
      <c r="H482" s="138">
        <v>135</v>
      </c>
    </row>
    <row r="483" spans="1:9">
      <c r="A483" s="134">
        <v>483</v>
      </c>
      <c r="B483" s="134" t="s">
        <v>1818</v>
      </c>
      <c r="C483" s="137" t="s">
        <v>2399</v>
      </c>
      <c r="D483" s="137" t="s">
        <v>2398</v>
      </c>
      <c r="E483" s="137" t="s">
        <v>18</v>
      </c>
      <c r="F483" s="137" t="s">
        <v>7</v>
      </c>
      <c r="G483" s="137" t="s">
        <v>8</v>
      </c>
      <c r="H483" s="138">
        <v>220</v>
      </c>
    </row>
    <row r="484" spans="1:9">
      <c r="A484" s="134">
        <v>484</v>
      </c>
      <c r="B484" s="134" t="s">
        <v>1818</v>
      </c>
      <c r="C484" s="137" t="s">
        <v>2740</v>
      </c>
      <c r="D484" s="137" t="s">
        <v>2741</v>
      </c>
      <c r="E484" s="137" t="s">
        <v>16</v>
      </c>
      <c r="F484" s="137" t="s">
        <v>7</v>
      </c>
      <c r="G484" s="137" t="s">
        <v>8</v>
      </c>
      <c r="H484" s="138">
        <v>180</v>
      </c>
    </row>
    <row r="485" spans="1:9">
      <c r="A485" s="134">
        <v>485</v>
      </c>
      <c r="B485" s="134" t="s">
        <v>1818</v>
      </c>
      <c r="C485" s="137" t="s">
        <v>2742</v>
      </c>
      <c r="D485" s="137" t="s">
        <v>2536</v>
      </c>
      <c r="E485" s="137" t="s">
        <v>18</v>
      </c>
      <c r="F485" s="137" t="s">
        <v>7</v>
      </c>
      <c r="G485" s="137" t="s">
        <v>8</v>
      </c>
      <c r="H485" s="138">
        <v>180</v>
      </c>
    </row>
    <row r="486" spans="1:9">
      <c r="A486" s="134">
        <v>486</v>
      </c>
      <c r="B486" s="134" t="s">
        <v>1818</v>
      </c>
      <c r="C486" s="146" t="s">
        <v>2743</v>
      </c>
      <c r="D486" s="146" t="s">
        <v>2744</v>
      </c>
      <c r="G486" s="146" t="s">
        <v>8</v>
      </c>
      <c r="H486" s="140">
        <v>200</v>
      </c>
    </row>
    <row r="487" spans="1:9">
      <c r="A487" s="134">
        <v>487</v>
      </c>
      <c r="B487" s="134" t="s">
        <v>1818</v>
      </c>
      <c r="C487" s="137" t="s">
        <v>2745</v>
      </c>
      <c r="D487" s="137" t="s">
        <v>2746</v>
      </c>
      <c r="E487" s="137" t="s">
        <v>12</v>
      </c>
      <c r="F487" s="137" t="s">
        <v>7</v>
      </c>
      <c r="G487" s="137" t="s">
        <v>8</v>
      </c>
      <c r="H487" s="138">
        <v>232</v>
      </c>
    </row>
    <row r="488" spans="1:9" ht="12" customHeight="1">
      <c r="A488" s="134">
        <v>488</v>
      </c>
      <c r="B488" s="134" t="s">
        <v>1818</v>
      </c>
      <c r="C488" s="134" t="s">
        <v>2747</v>
      </c>
      <c r="D488" s="134" t="s">
        <v>2748</v>
      </c>
      <c r="E488" s="134" t="s">
        <v>14</v>
      </c>
      <c r="F488" s="137" t="s">
        <v>10</v>
      </c>
      <c r="G488" s="134" t="s">
        <v>20</v>
      </c>
      <c r="H488" s="140">
        <v>180</v>
      </c>
    </row>
    <row r="489" spans="1:9" ht="29.25" customHeight="1">
      <c r="A489" s="134">
        <v>489</v>
      </c>
      <c r="B489" s="134" t="s">
        <v>1818</v>
      </c>
      <c r="C489" s="137" t="s">
        <v>2749</v>
      </c>
      <c r="D489" s="137" t="s">
        <v>2750</v>
      </c>
      <c r="E489" s="137" t="s">
        <v>12</v>
      </c>
      <c r="F489" s="137" t="s">
        <v>7</v>
      </c>
      <c r="G489" s="137" t="s">
        <v>8</v>
      </c>
      <c r="H489" s="138">
        <v>220</v>
      </c>
    </row>
    <row r="490" spans="1:9">
      <c r="A490" s="134">
        <v>490</v>
      </c>
      <c r="B490" s="134" t="s">
        <v>1818</v>
      </c>
      <c r="C490" s="134" t="s">
        <v>2751</v>
      </c>
      <c r="D490" s="135" t="s">
        <v>2752</v>
      </c>
      <c r="H490" s="136">
        <v>215</v>
      </c>
    </row>
    <row r="491" spans="1:9">
      <c r="A491" s="134">
        <v>491</v>
      </c>
      <c r="B491" s="134" t="s">
        <v>1818</v>
      </c>
      <c r="C491" s="134" t="s">
        <v>2753</v>
      </c>
      <c r="D491" s="134" t="s">
        <v>2754</v>
      </c>
      <c r="E491" s="134" t="s">
        <v>15</v>
      </c>
      <c r="F491" s="134" t="s">
        <v>7</v>
      </c>
      <c r="G491" s="134" t="s">
        <v>8</v>
      </c>
      <c r="H491" s="140">
        <v>232</v>
      </c>
    </row>
    <row r="492" spans="1:9">
      <c r="A492" s="134">
        <v>492</v>
      </c>
      <c r="B492" s="134" t="s">
        <v>1818</v>
      </c>
      <c r="C492" s="134" t="s">
        <v>2755</v>
      </c>
      <c r="D492" s="134" t="s">
        <v>2756</v>
      </c>
      <c r="E492" s="134" t="s">
        <v>12</v>
      </c>
      <c r="F492" s="137" t="s">
        <v>10</v>
      </c>
      <c r="G492" s="134" t="s">
        <v>20</v>
      </c>
      <c r="H492" s="140">
        <v>220</v>
      </c>
    </row>
    <row r="493" spans="1:9" ht="24" customHeight="1">
      <c r="A493" s="134">
        <v>493</v>
      </c>
      <c r="B493" s="134" t="s">
        <v>1818</v>
      </c>
      <c r="C493" s="137" t="s">
        <v>2757</v>
      </c>
      <c r="D493" s="137" t="s">
        <v>2758</v>
      </c>
      <c r="E493" s="137" t="s">
        <v>16</v>
      </c>
      <c r="F493" s="137" t="s">
        <v>10</v>
      </c>
      <c r="G493" s="137" t="s">
        <v>13</v>
      </c>
      <c r="H493" s="138">
        <v>232</v>
      </c>
    </row>
    <row r="494" spans="1:9" ht="33">
      <c r="A494" s="134">
        <v>494</v>
      </c>
      <c r="B494" s="134" t="s">
        <v>1818</v>
      </c>
      <c r="C494" s="146" t="s">
        <v>2759</v>
      </c>
      <c r="D494" s="146" t="s">
        <v>2760</v>
      </c>
      <c r="E494" s="134" t="s">
        <v>6</v>
      </c>
      <c r="F494" s="134" t="s">
        <v>10</v>
      </c>
      <c r="G494" s="146" t="s">
        <v>8</v>
      </c>
      <c r="H494" s="140">
        <v>197</v>
      </c>
      <c r="I494" s="134" t="s">
        <v>37</v>
      </c>
    </row>
    <row r="495" spans="1:9">
      <c r="A495" s="134">
        <v>495</v>
      </c>
      <c r="B495" s="134" t="s">
        <v>1818</v>
      </c>
      <c r="C495" s="146" t="s">
        <v>2761</v>
      </c>
      <c r="D495" s="146" t="s">
        <v>2762</v>
      </c>
      <c r="G495" s="146" t="s">
        <v>8</v>
      </c>
      <c r="H495" s="140">
        <v>232</v>
      </c>
      <c r="I495" s="156"/>
    </row>
    <row r="496" spans="1:9" ht="33">
      <c r="A496" s="134">
        <v>496</v>
      </c>
      <c r="B496" s="134" t="s">
        <v>1818</v>
      </c>
      <c r="C496" s="134" t="s">
        <v>2763</v>
      </c>
      <c r="D496" s="135" t="s">
        <v>2764</v>
      </c>
      <c r="E496" s="134" t="s">
        <v>14</v>
      </c>
      <c r="F496" s="134" t="s">
        <v>7</v>
      </c>
      <c r="G496" s="134" t="s">
        <v>8</v>
      </c>
      <c r="H496" s="136">
        <v>180</v>
      </c>
    </row>
    <row r="497" spans="1:8">
      <c r="A497" s="134">
        <v>497</v>
      </c>
      <c r="B497" s="134" t="s">
        <v>1818</v>
      </c>
      <c r="C497" s="134" t="s">
        <v>2765</v>
      </c>
      <c r="D497" s="134" t="s">
        <v>2766</v>
      </c>
      <c r="F497" s="134" t="s">
        <v>10</v>
      </c>
      <c r="G497" s="134" t="s">
        <v>8</v>
      </c>
      <c r="H497" s="140">
        <v>260</v>
      </c>
    </row>
    <row r="498" spans="1:8">
      <c r="A498" s="134">
        <v>498</v>
      </c>
      <c r="B498" s="134" t="s">
        <v>1818</v>
      </c>
      <c r="C498" s="137" t="s">
        <v>2767</v>
      </c>
      <c r="D498" s="137" t="s">
        <v>2768</v>
      </c>
      <c r="E498" s="137" t="s">
        <v>14</v>
      </c>
      <c r="F498" s="137" t="s">
        <v>10</v>
      </c>
      <c r="G498" s="137" t="s">
        <v>8</v>
      </c>
      <c r="H498" s="138">
        <v>220</v>
      </c>
    </row>
    <row r="499" spans="1:8" ht="21" customHeight="1">
      <c r="A499" s="134">
        <v>499</v>
      </c>
      <c r="B499" s="134" t="s">
        <v>1818</v>
      </c>
      <c r="C499" s="137" t="s">
        <v>2769</v>
      </c>
      <c r="D499" s="137" t="s">
        <v>1873</v>
      </c>
      <c r="E499" s="137" t="s">
        <v>6</v>
      </c>
      <c r="F499" s="137" t="s">
        <v>7</v>
      </c>
      <c r="G499" s="137" t="s">
        <v>8</v>
      </c>
      <c r="H499" s="138">
        <v>180</v>
      </c>
    </row>
    <row r="500" spans="1:8">
      <c r="A500" s="134">
        <v>500</v>
      </c>
      <c r="B500" s="134" t="s">
        <v>1818</v>
      </c>
      <c r="C500" s="152" t="s">
        <v>2770</v>
      </c>
      <c r="D500" s="152" t="s">
        <v>2771</v>
      </c>
      <c r="E500" s="152" t="s">
        <v>14</v>
      </c>
      <c r="F500" s="152" t="s">
        <v>7</v>
      </c>
      <c r="G500" s="152" t="s">
        <v>8</v>
      </c>
      <c r="H500" s="157">
        <v>274</v>
      </c>
    </row>
    <row r="501" spans="1:8">
      <c r="A501" s="134">
        <v>501</v>
      </c>
      <c r="B501" s="134" t="s">
        <v>1818</v>
      </c>
      <c r="C501" s="137" t="s">
        <v>2772</v>
      </c>
      <c r="D501" s="137" t="s">
        <v>2773</v>
      </c>
      <c r="E501" s="137" t="s">
        <v>12</v>
      </c>
      <c r="F501" s="137" t="s">
        <v>7</v>
      </c>
      <c r="G501" s="137" t="s">
        <v>13</v>
      </c>
      <c r="H501" s="138">
        <v>190</v>
      </c>
    </row>
    <row r="502" spans="1:8">
      <c r="A502" s="134">
        <v>502</v>
      </c>
      <c r="B502" s="134" t="s">
        <v>1818</v>
      </c>
      <c r="C502" s="137" t="s">
        <v>2774</v>
      </c>
      <c r="D502" s="137" t="s">
        <v>2775</v>
      </c>
      <c r="E502" s="137" t="s">
        <v>6</v>
      </c>
      <c r="F502" s="137" t="s">
        <v>7</v>
      </c>
      <c r="G502" s="137" t="s">
        <v>8</v>
      </c>
      <c r="H502" s="138">
        <v>220</v>
      </c>
    </row>
    <row r="503" spans="1:8">
      <c r="A503" s="134">
        <v>503</v>
      </c>
      <c r="B503" s="134" t="s">
        <v>1818</v>
      </c>
      <c r="C503" s="146" t="s">
        <v>2776</v>
      </c>
      <c r="D503" s="146" t="s">
        <v>2777</v>
      </c>
      <c r="E503" s="134" t="s">
        <v>18</v>
      </c>
      <c r="F503" s="134" t="s">
        <v>7</v>
      </c>
      <c r="G503" s="146" t="s">
        <v>8</v>
      </c>
      <c r="H503" s="140">
        <v>215</v>
      </c>
    </row>
    <row r="504" spans="1:8" ht="24" customHeight="1">
      <c r="A504" s="134">
        <v>504</v>
      </c>
      <c r="B504" s="134" t="s">
        <v>1818</v>
      </c>
      <c r="C504" s="137" t="s">
        <v>2778</v>
      </c>
      <c r="D504" s="137" t="s">
        <v>2779</v>
      </c>
      <c r="E504" s="172" t="s">
        <v>6</v>
      </c>
      <c r="F504" s="137" t="s">
        <v>10</v>
      </c>
      <c r="G504" s="137" t="s">
        <v>8</v>
      </c>
      <c r="H504" s="173">
        <v>190</v>
      </c>
    </row>
    <row r="505" spans="1:8" ht="18" customHeight="1">
      <c r="A505" s="134">
        <v>505</v>
      </c>
      <c r="B505" s="134" t="s">
        <v>1818</v>
      </c>
      <c r="C505" s="174" t="s">
        <v>2780</v>
      </c>
      <c r="D505" s="174" t="s">
        <v>2781</v>
      </c>
      <c r="E505" s="137" t="s">
        <v>18</v>
      </c>
      <c r="F505" s="137" t="s">
        <v>7</v>
      </c>
      <c r="G505" s="137" t="s">
        <v>8</v>
      </c>
      <c r="H505" s="138">
        <v>190</v>
      </c>
    </row>
    <row r="506" spans="1:8">
      <c r="A506" s="134">
        <v>506</v>
      </c>
      <c r="B506" s="134" t="s">
        <v>1818</v>
      </c>
      <c r="C506" s="175" t="s">
        <v>2782</v>
      </c>
      <c r="D506" s="176" t="s">
        <v>2783</v>
      </c>
      <c r="E506" s="134" t="s">
        <v>15</v>
      </c>
      <c r="F506" s="134" t="s">
        <v>7</v>
      </c>
      <c r="G506" s="147" t="s">
        <v>8</v>
      </c>
      <c r="H506" s="177">
        <v>180</v>
      </c>
    </row>
    <row r="507" spans="1:8">
      <c r="A507" s="134">
        <v>507</v>
      </c>
      <c r="B507" s="134" t="s">
        <v>1818</v>
      </c>
      <c r="C507" s="139" t="s">
        <v>2784</v>
      </c>
      <c r="D507" s="134" t="s">
        <v>2785</v>
      </c>
      <c r="E507" s="134" t="s">
        <v>6</v>
      </c>
      <c r="F507" s="134" t="s">
        <v>7</v>
      </c>
      <c r="G507" s="134" t="s">
        <v>8</v>
      </c>
      <c r="H507" s="141">
        <v>360</v>
      </c>
    </row>
    <row r="508" spans="1:8">
      <c r="A508" s="134">
        <v>508</v>
      </c>
      <c r="B508" s="134" t="s">
        <v>1818</v>
      </c>
      <c r="C508" s="137" t="s">
        <v>2786</v>
      </c>
      <c r="D508" s="137" t="s">
        <v>2787</v>
      </c>
      <c r="E508" s="137" t="s">
        <v>6</v>
      </c>
      <c r="F508" s="137" t="s">
        <v>7</v>
      </c>
      <c r="G508" s="137" t="s">
        <v>8</v>
      </c>
      <c r="H508" s="138">
        <v>232</v>
      </c>
    </row>
    <row r="509" spans="1:8">
      <c r="A509" s="134">
        <v>509</v>
      </c>
      <c r="B509" s="134" t="s">
        <v>1818</v>
      </c>
      <c r="C509" s="137" t="s">
        <v>2788</v>
      </c>
      <c r="D509" s="137" t="s">
        <v>2789</v>
      </c>
      <c r="E509" s="137" t="s">
        <v>18</v>
      </c>
      <c r="F509" s="137" t="s">
        <v>7</v>
      </c>
      <c r="G509" s="137" t="s">
        <v>8</v>
      </c>
      <c r="H509" s="138">
        <v>232</v>
      </c>
    </row>
    <row r="510" spans="1:8">
      <c r="A510" s="134">
        <v>510</v>
      </c>
      <c r="B510" s="134" t="s">
        <v>1818</v>
      </c>
      <c r="C510" s="137" t="s">
        <v>2790</v>
      </c>
      <c r="D510" s="137" t="s">
        <v>2791</v>
      </c>
      <c r="E510" s="137" t="s">
        <v>14</v>
      </c>
      <c r="F510" s="137" t="s">
        <v>10</v>
      </c>
      <c r="G510" s="137" t="s">
        <v>13</v>
      </c>
      <c r="H510" s="138">
        <v>190</v>
      </c>
    </row>
    <row r="511" spans="1:8">
      <c r="A511" s="134">
        <v>511</v>
      </c>
      <c r="B511" s="134" t="s">
        <v>1818</v>
      </c>
      <c r="C511" s="137" t="s">
        <v>2792</v>
      </c>
      <c r="D511" s="137" t="s">
        <v>2793</v>
      </c>
      <c r="E511" s="137" t="s">
        <v>14</v>
      </c>
      <c r="F511" s="137" t="s">
        <v>10</v>
      </c>
      <c r="G511" s="137" t="s">
        <v>13</v>
      </c>
      <c r="H511" s="138">
        <v>190</v>
      </c>
    </row>
    <row r="512" spans="1:8">
      <c r="A512" s="134">
        <v>512</v>
      </c>
      <c r="B512" s="134" t="s">
        <v>1818</v>
      </c>
      <c r="C512" s="137" t="s">
        <v>2794</v>
      </c>
      <c r="D512" s="137" t="s">
        <v>2795</v>
      </c>
      <c r="E512" s="137" t="s">
        <v>6</v>
      </c>
      <c r="F512" s="137" t="s">
        <v>7</v>
      </c>
      <c r="G512" s="137" t="s">
        <v>8</v>
      </c>
      <c r="H512" s="138">
        <v>190</v>
      </c>
    </row>
    <row r="513" spans="1:8">
      <c r="A513" s="134">
        <v>513</v>
      </c>
      <c r="B513" s="134" t="s">
        <v>1818</v>
      </c>
      <c r="C513" s="137" t="s">
        <v>2796</v>
      </c>
      <c r="D513" s="137" t="s">
        <v>2797</v>
      </c>
      <c r="E513" s="137" t="s">
        <v>12</v>
      </c>
      <c r="F513" s="137" t="s">
        <v>7</v>
      </c>
      <c r="G513" s="137" t="s">
        <v>13</v>
      </c>
      <c r="H513" s="138">
        <v>190</v>
      </c>
    </row>
    <row r="514" spans="1:8">
      <c r="A514" s="134">
        <v>514</v>
      </c>
      <c r="B514" s="134" t="s">
        <v>1818</v>
      </c>
      <c r="C514" s="149" t="s">
        <v>2798</v>
      </c>
      <c r="D514" s="134" t="s">
        <v>2799</v>
      </c>
      <c r="E514" s="134" t="s">
        <v>6</v>
      </c>
      <c r="F514" s="134" t="s">
        <v>7</v>
      </c>
      <c r="G514" s="147" t="s">
        <v>8</v>
      </c>
      <c r="H514" s="154">
        <v>274</v>
      </c>
    </row>
    <row r="515" spans="1:8">
      <c r="A515" s="134">
        <v>515</v>
      </c>
      <c r="B515" s="134" t="s">
        <v>1818</v>
      </c>
      <c r="C515" s="137" t="s">
        <v>2800</v>
      </c>
      <c r="D515" s="137" t="s">
        <v>2789</v>
      </c>
      <c r="E515" s="137" t="s">
        <v>16</v>
      </c>
      <c r="F515" s="137" t="s">
        <v>7</v>
      </c>
      <c r="G515" s="137" t="s">
        <v>8</v>
      </c>
      <c r="H515" s="138">
        <v>180</v>
      </c>
    </row>
    <row r="516" spans="1:8">
      <c r="A516" s="134">
        <v>516</v>
      </c>
      <c r="B516" s="134" t="s">
        <v>1818</v>
      </c>
      <c r="C516" s="137" t="s">
        <v>2801</v>
      </c>
      <c r="D516" s="137" t="s">
        <v>2802</v>
      </c>
      <c r="E516" s="137" t="s">
        <v>14</v>
      </c>
      <c r="F516" s="137" t="s">
        <v>7</v>
      </c>
      <c r="G516" s="137" t="s">
        <v>8</v>
      </c>
      <c r="H516" s="138">
        <v>190</v>
      </c>
    </row>
    <row r="517" spans="1:8">
      <c r="A517" s="134">
        <v>517</v>
      </c>
      <c r="B517" s="134" t="s">
        <v>1818</v>
      </c>
      <c r="C517" s="137" t="s">
        <v>2803</v>
      </c>
      <c r="D517" s="137" t="s">
        <v>2804</v>
      </c>
      <c r="E517" s="137" t="s">
        <v>18</v>
      </c>
      <c r="F517" s="137" t="s">
        <v>7</v>
      </c>
      <c r="G517" s="137" t="s">
        <v>8</v>
      </c>
      <c r="H517" s="138">
        <v>190</v>
      </c>
    </row>
    <row r="518" spans="1:8">
      <c r="A518" s="134">
        <v>518</v>
      </c>
      <c r="B518" s="134" t="s">
        <v>1818</v>
      </c>
      <c r="C518" s="137" t="s">
        <v>2805</v>
      </c>
      <c r="D518" s="137" t="s">
        <v>2806</v>
      </c>
      <c r="E518" s="137" t="s">
        <v>14</v>
      </c>
      <c r="F518" s="137" t="s">
        <v>10</v>
      </c>
      <c r="G518" s="137" t="s">
        <v>13</v>
      </c>
      <c r="H518" s="178">
        <v>190</v>
      </c>
    </row>
    <row r="519" spans="1:8">
      <c r="A519" s="134">
        <v>519</v>
      </c>
      <c r="B519" s="134" t="s">
        <v>1818</v>
      </c>
      <c r="C519" s="137" t="s">
        <v>2803</v>
      </c>
      <c r="D519" s="137" t="s">
        <v>2807</v>
      </c>
      <c r="E519" s="137" t="s">
        <v>18</v>
      </c>
      <c r="F519" s="137" t="s">
        <v>7</v>
      </c>
      <c r="G519" s="137" t="s">
        <v>8</v>
      </c>
      <c r="H519" s="138">
        <v>232</v>
      </c>
    </row>
    <row r="520" spans="1:8">
      <c r="A520" s="134">
        <v>520</v>
      </c>
      <c r="B520" s="134" t="s">
        <v>1818</v>
      </c>
      <c r="C520" s="134" t="s">
        <v>2805</v>
      </c>
      <c r="D520" s="134" t="s">
        <v>2808</v>
      </c>
      <c r="E520" s="134" t="s">
        <v>12</v>
      </c>
      <c r="F520" s="134" t="s">
        <v>7</v>
      </c>
      <c r="G520" s="134" t="s">
        <v>8</v>
      </c>
      <c r="H520" s="140">
        <v>227</v>
      </c>
    </row>
    <row r="521" spans="1:8">
      <c r="A521" s="134">
        <v>521</v>
      </c>
      <c r="B521" s="134" t="s">
        <v>1818</v>
      </c>
      <c r="C521" s="139" t="s">
        <v>2809</v>
      </c>
      <c r="D521" s="134" t="s">
        <v>2810</v>
      </c>
      <c r="G521" s="134" t="s">
        <v>8</v>
      </c>
      <c r="H521" s="141">
        <v>260</v>
      </c>
    </row>
    <row r="522" spans="1:8">
      <c r="A522" s="134">
        <v>522</v>
      </c>
      <c r="B522" s="134" t="s">
        <v>1818</v>
      </c>
      <c r="C522" s="144" t="s">
        <v>2811</v>
      </c>
      <c r="D522" s="144" t="s">
        <v>2812</v>
      </c>
      <c r="E522" s="144" t="s">
        <v>14</v>
      </c>
      <c r="F522" s="144" t="s">
        <v>7</v>
      </c>
      <c r="G522" s="144" t="s">
        <v>13</v>
      </c>
      <c r="H522" s="145">
        <v>227</v>
      </c>
    </row>
    <row r="523" spans="1:8">
      <c r="A523" s="134">
        <v>523</v>
      </c>
      <c r="B523" s="134" t="s">
        <v>1818</v>
      </c>
      <c r="C523" s="137" t="s">
        <v>2813</v>
      </c>
      <c r="D523" s="137" t="s">
        <v>2814</v>
      </c>
      <c r="E523" s="137" t="s">
        <v>14</v>
      </c>
      <c r="F523" s="137" t="s">
        <v>7</v>
      </c>
      <c r="G523" s="137" t="s">
        <v>8</v>
      </c>
      <c r="H523" s="138">
        <v>190</v>
      </c>
    </row>
    <row r="524" spans="1:8">
      <c r="A524" s="134">
        <v>524</v>
      </c>
      <c r="B524" s="134" t="s">
        <v>1818</v>
      </c>
      <c r="C524" s="137" t="s">
        <v>2815</v>
      </c>
      <c r="D524" s="137" t="s">
        <v>1999</v>
      </c>
      <c r="E524" s="137" t="s">
        <v>14</v>
      </c>
      <c r="F524" s="137" t="s">
        <v>10</v>
      </c>
      <c r="G524" s="137" t="s">
        <v>13</v>
      </c>
      <c r="H524" s="138">
        <v>232</v>
      </c>
    </row>
    <row r="525" spans="1:8" ht="33">
      <c r="A525" s="134">
        <v>525</v>
      </c>
      <c r="B525" s="134" t="s">
        <v>1818</v>
      </c>
      <c r="C525" s="137" t="s">
        <v>2816</v>
      </c>
      <c r="D525" s="137" t="s">
        <v>2817</v>
      </c>
      <c r="E525" s="137" t="s">
        <v>6</v>
      </c>
      <c r="F525" s="137" t="s">
        <v>7</v>
      </c>
      <c r="G525" s="137" t="s">
        <v>8</v>
      </c>
      <c r="H525" s="138">
        <v>220</v>
      </c>
    </row>
    <row r="526" spans="1:8">
      <c r="A526" s="134">
        <v>526</v>
      </c>
      <c r="B526" s="134" t="s">
        <v>1818</v>
      </c>
      <c r="C526" s="134" t="s">
        <v>2818</v>
      </c>
      <c r="D526" s="134" t="s">
        <v>2819</v>
      </c>
      <c r="E526" s="134" t="s">
        <v>9</v>
      </c>
      <c r="F526" s="134" t="s">
        <v>7</v>
      </c>
      <c r="G526" s="134" t="s">
        <v>8</v>
      </c>
      <c r="H526" s="140">
        <v>180</v>
      </c>
    </row>
    <row r="527" spans="1:8">
      <c r="A527" s="134">
        <v>527</v>
      </c>
      <c r="B527" s="134" t="s">
        <v>1818</v>
      </c>
      <c r="C527" s="137" t="s">
        <v>2820</v>
      </c>
      <c r="D527" s="137" t="s">
        <v>2821</v>
      </c>
      <c r="E527" s="172" t="s">
        <v>16</v>
      </c>
      <c r="F527" s="137" t="s">
        <v>10</v>
      </c>
      <c r="G527" s="137" t="s">
        <v>8</v>
      </c>
      <c r="H527" s="138">
        <v>180</v>
      </c>
    </row>
    <row r="528" spans="1:8">
      <c r="A528" s="134">
        <v>528</v>
      </c>
      <c r="B528" s="134" t="s">
        <v>1818</v>
      </c>
      <c r="C528" s="179" t="s">
        <v>2822</v>
      </c>
      <c r="D528" s="137" t="s">
        <v>2823</v>
      </c>
      <c r="E528" s="137" t="s">
        <v>12</v>
      </c>
      <c r="F528" s="137" t="s">
        <v>7</v>
      </c>
      <c r="G528" s="137" t="s">
        <v>8</v>
      </c>
      <c r="H528" s="180">
        <v>220</v>
      </c>
    </row>
    <row r="529" spans="1:8">
      <c r="A529" s="134">
        <v>529</v>
      </c>
      <c r="B529" s="134" t="s">
        <v>1818</v>
      </c>
      <c r="C529" s="137" t="s">
        <v>2824</v>
      </c>
      <c r="D529" s="137" t="s">
        <v>2825</v>
      </c>
      <c r="E529" s="137" t="s">
        <v>6</v>
      </c>
      <c r="F529" s="137" t="s">
        <v>7</v>
      </c>
      <c r="G529" s="137" t="s">
        <v>8</v>
      </c>
      <c r="H529" s="138">
        <v>190</v>
      </c>
    </row>
    <row r="530" spans="1:8">
      <c r="A530" s="134">
        <v>530</v>
      </c>
      <c r="B530" s="134" t="s">
        <v>1818</v>
      </c>
      <c r="C530" s="134" t="s">
        <v>2826</v>
      </c>
      <c r="D530" s="134" t="s">
        <v>2827</v>
      </c>
      <c r="E530" s="134" t="s">
        <v>14</v>
      </c>
      <c r="F530" s="137" t="s">
        <v>10</v>
      </c>
      <c r="G530" s="134" t="s">
        <v>20</v>
      </c>
      <c r="H530" s="140">
        <v>220</v>
      </c>
    </row>
    <row r="531" spans="1:8">
      <c r="A531" s="134">
        <v>531</v>
      </c>
      <c r="B531" s="134" t="s">
        <v>1818</v>
      </c>
      <c r="C531" s="137" t="s">
        <v>2828</v>
      </c>
      <c r="D531" s="137" t="s">
        <v>2829</v>
      </c>
      <c r="E531" s="137" t="s">
        <v>6</v>
      </c>
      <c r="F531" s="137" t="s">
        <v>7</v>
      </c>
      <c r="G531" s="137" t="s">
        <v>8</v>
      </c>
      <c r="H531" s="138">
        <v>190</v>
      </c>
    </row>
    <row r="532" spans="1:8">
      <c r="A532" s="134">
        <v>532</v>
      </c>
      <c r="B532" s="134" t="s">
        <v>1818</v>
      </c>
      <c r="C532" s="137" t="s">
        <v>2830</v>
      </c>
      <c r="D532" s="137" t="s">
        <v>2218</v>
      </c>
      <c r="E532" s="137" t="s">
        <v>6</v>
      </c>
      <c r="F532" s="137" t="s">
        <v>7</v>
      </c>
      <c r="G532" s="137" t="s">
        <v>8</v>
      </c>
      <c r="H532" s="138">
        <v>190</v>
      </c>
    </row>
    <row r="533" spans="1:8">
      <c r="A533" s="134">
        <v>533</v>
      </c>
      <c r="B533" s="134" t="s">
        <v>1818</v>
      </c>
      <c r="C533" s="137" t="s">
        <v>2831</v>
      </c>
      <c r="D533" s="137" t="s">
        <v>2832</v>
      </c>
      <c r="E533" s="137" t="s">
        <v>14</v>
      </c>
      <c r="F533" s="137" t="s">
        <v>7</v>
      </c>
      <c r="G533" s="137" t="s">
        <v>13</v>
      </c>
      <c r="H533" s="138">
        <v>274</v>
      </c>
    </row>
    <row r="534" spans="1:8">
      <c r="A534" s="134">
        <v>534</v>
      </c>
      <c r="B534" s="134" t="s">
        <v>1818</v>
      </c>
      <c r="C534" s="137" t="s">
        <v>2833</v>
      </c>
      <c r="D534" s="137" t="s">
        <v>2834</v>
      </c>
      <c r="E534" s="137" t="s">
        <v>14</v>
      </c>
      <c r="F534" s="137" t="s">
        <v>7</v>
      </c>
      <c r="G534" s="137" t="s">
        <v>8</v>
      </c>
      <c r="H534" s="138">
        <v>220</v>
      </c>
    </row>
    <row r="535" spans="1:8">
      <c r="A535" s="134">
        <v>535</v>
      </c>
      <c r="B535" s="134" t="s">
        <v>1818</v>
      </c>
      <c r="C535" s="137" t="s">
        <v>2835</v>
      </c>
      <c r="D535" s="137" t="s">
        <v>2836</v>
      </c>
      <c r="E535" s="137" t="s">
        <v>15</v>
      </c>
      <c r="F535" s="137" t="s">
        <v>10</v>
      </c>
      <c r="G535" s="137" t="s">
        <v>11</v>
      </c>
      <c r="H535" s="138">
        <v>190</v>
      </c>
    </row>
    <row r="536" spans="1:8" ht="27.95" customHeight="1">
      <c r="A536" s="134">
        <v>536</v>
      </c>
      <c r="B536" s="134" t="s">
        <v>1818</v>
      </c>
      <c r="C536" s="134" t="s">
        <v>2837</v>
      </c>
      <c r="D536" s="134" t="s">
        <v>1944</v>
      </c>
      <c r="E536" s="134" t="s">
        <v>18</v>
      </c>
      <c r="F536" s="134" t="s">
        <v>7</v>
      </c>
      <c r="G536" s="134" t="s">
        <v>8</v>
      </c>
      <c r="H536" s="140">
        <v>180</v>
      </c>
    </row>
    <row r="537" spans="1:8">
      <c r="A537" s="134">
        <v>537</v>
      </c>
      <c r="B537" s="134" t="s">
        <v>1818</v>
      </c>
      <c r="C537" s="134" t="s">
        <v>2838</v>
      </c>
      <c r="D537" s="134" t="s">
        <v>2839</v>
      </c>
      <c r="E537" s="134" t="s">
        <v>12</v>
      </c>
      <c r="F537" s="134" t="s">
        <v>7</v>
      </c>
      <c r="G537" s="134" t="s">
        <v>8</v>
      </c>
      <c r="H537" s="140">
        <v>220</v>
      </c>
    </row>
    <row r="538" spans="1:8" ht="33">
      <c r="A538" s="134">
        <v>538</v>
      </c>
      <c r="B538" s="134" t="s">
        <v>1818</v>
      </c>
      <c r="C538" s="134" t="s">
        <v>2840</v>
      </c>
      <c r="D538" s="135" t="s">
        <v>2841</v>
      </c>
      <c r="E538" s="134" t="s">
        <v>14</v>
      </c>
      <c r="F538" s="134" t="s">
        <v>7</v>
      </c>
      <c r="G538" s="134" t="s">
        <v>8</v>
      </c>
      <c r="H538" s="136">
        <v>180</v>
      </c>
    </row>
    <row r="539" spans="1:8">
      <c r="A539" s="134">
        <v>539</v>
      </c>
      <c r="B539" s="134" t="s">
        <v>1818</v>
      </c>
      <c r="C539" s="137" t="s">
        <v>2842</v>
      </c>
      <c r="D539" s="137" t="s">
        <v>2843</v>
      </c>
      <c r="E539" s="137" t="s">
        <v>14</v>
      </c>
      <c r="F539" s="137" t="s">
        <v>10</v>
      </c>
      <c r="G539" s="137" t="s">
        <v>11</v>
      </c>
      <c r="H539" s="138">
        <v>232</v>
      </c>
    </row>
    <row r="540" spans="1:8">
      <c r="A540" s="134">
        <v>540</v>
      </c>
      <c r="B540" s="134" t="s">
        <v>1818</v>
      </c>
      <c r="C540" s="137" t="s">
        <v>2844</v>
      </c>
      <c r="D540" s="137" t="s">
        <v>2845</v>
      </c>
      <c r="E540" s="137" t="s">
        <v>6</v>
      </c>
      <c r="F540" s="137" t="s">
        <v>7</v>
      </c>
      <c r="G540" s="137" t="s">
        <v>8</v>
      </c>
      <c r="H540" s="138">
        <v>220</v>
      </c>
    </row>
    <row r="541" spans="1:8">
      <c r="A541" s="134">
        <v>541</v>
      </c>
      <c r="B541" s="134" t="s">
        <v>1818</v>
      </c>
      <c r="C541" s="134" t="s">
        <v>2846</v>
      </c>
      <c r="D541" s="134" t="s">
        <v>2847</v>
      </c>
      <c r="E541" s="134" t="s">
        <v>6</v>
      </c>
      <c r="F541" s="134" t="s">
        <v>7</v>
      </c>
      <c r="G541" s="134" t="s">
        <v>8</v>
      </c>
      <c r="H541" s="140">
        <v>180</v>
      </c>
    </row>
    <row r="542" spans="1:8">
      <c r="A542" s="134">
        <v>542</v>
      </c>
      <c r="B542" s="134" t="s">
        <v>1818</v>
      </c>
      <c r="C542" s="149" t="s">
        <v>2848</v>
      </c>
      <c r="D542" s="134" t="s">
        <v>2849</v>
      </c>
      <c r="E542" s="134" t="s">
        <v>9</v>
      </c>
      <c r="F542" s="134" t="s">
        <v>7</v>
      </c>
      <c r="G542" s="147" t="s">
        <v>8</v>
      </c>
      <c r="H542" s="154">
        <v>272</v>
      </c>
    </row>
    <row r="543" spans="1:8">
      <c r="A543" s="134">
        <v>543</v>
      </c>
      <c r="B543" s="134" t="s">
        <v>1818</v>
      </c>
      <c r="C543" s="146" t="s">
        <v>2850</v>
      </c>
      <c r="D543" s="146" t="s">
        <v>2851</v>
      </c>
      <c r="G543" s="146" t="s">
        <v>8</v>
      </c>
      <c r="H543" s="140">
        <v>180</v>
      </c>
    </row>
    <row r="544" spans="1:8">
      <c r="A544" s="134">
        <v>544</v>
      </c>
      <c r="B544" s="134" t="s">
        <v>1818</v>
      </c>
      <c r="C544" s="137" t="s">
        <v>2852</v>
      </c>
      <c r="D544" s="137" t="s">
        <v>2853</v>
      </c>
      <c r="E544" s="137" t="s">
        <v>6</v>
      </c>
      <c r="F544" s="137" t="s">
        <v>7</v>
      </c>
      <c r="G544" s="137" t="s">
        <v>8</v>
      </c>
      <c r="H544" s="138">
        <v>180</v>
      </c>
    </row>
    <row r="545" spans="1:9">
      <c r="A545" s="134">
        <v>545</v>
      </c>
      <c r="B545" s="134" t="s">
        <v>1818</v>
      </c>
      <c r="C545" s="134" t="s">
        <v>2854</v>
      </c>
      <c r="D545" s="134" t="s">
        <v>2855</v>
      </c>
      <c r="E545" s="134" t="s">
        <v>14</v>
      </c>
      <c r="F545" s="134" t="s">
        <v>7</v>
      </c>
      <c r="G545" s="134" t="s">
        <v>8</v>
      </c>
      <c r="H545" s="140">
        <v>180</v>
      </c>
      <c r="I545" s="156"/>
    </row>
    <row r="546" spans="1:9">
      <c r="A546" s="134">
        <v>546</v>
      </c>
      <c r="B546" s="134" t="s">
        <v>1818</v>
      </c>
      <c r="C546" s="134" t="s">
        <v>2856</v>
      </c>
      <c r="D546" s="134" t="s">
        <v>2857</v>
      </c>
      <c r="E546" s="134" t="s">
        <v>12</v>
      </c>
      <c r="F546" s="134" t="s">
        <v>7</v>
      </c>
      <c r="G546" s="134" t="s">
        <v>8</v>
      </c>
      <c r="H546" s="140">
        <v>180</v>
      </c>
    </row>
    <row r="547" spans="1:9">
      <c r="A547" s="134">
        <v>547</v>
      </c>
      <c r="B547" s="134" t="s">
        <v>1818</v>
      </c>
      <c r="C547" s="134" t="s">
        <v>2858</v>
      </c>
      <c r="D547" s="134" t="s">
        <v>2859</v>
      </c>
      <c r="E547" s="134" t="s">
        <v>9</v>
      </c>
      <c r="F547" s="134" t="s">
        <v>7</v>
      </c>
      <c r="G547" s="134" t="s">
        <v>8</v>
      </c>
      <c r="H547" s="140">
        <v>180</v>
      </c>
    </row>
    <row r="548" spans="1:9">
      <c r="A548" s="134">
        <v>548</v>
      </c>
      <c r="B548" s="134" t="s">
        <v>1818</v>
      </c>
      <c r="C548" s="137" t="s">
        <v>2860</v>
      </c>
      <c r="D548" s="137" t="s">
        <v>2861</v>
      </c>
      <c r="E548" s="137" t="s">
        <v>16</v>
      </c>
      <c r="F548" s="137" t="s">
        <v>7</v>
      </c>
      <c r="G548" s="137" t="s">
        <v>8</v>
      </c>
      <c r="H548" s="138">
        <v>180</v>
      </c>
    </row>
    <row r="549" spans="1:9">
      <c r="A549" s="134">
        <v>549</v>
      </c>
      <c r="B549" s="134" t="s">
        <v>1818</v>
      </c>
      <c r="C549" s="134" t="s">
        <v>2862</v>
      </c>
      <c r="D549" s="134" t="s">
        <v>2863</v>
      </c>
      <c r="E549" s="134" t="s">
        <v>6</v>
      </c>
      <c r="F549" s="134" t="s">
        <v>7</v>
      </c>
      <c r="G549" s="134" t="s">
        <v>8</v>
      </c>
      <c r="H549" s="140">
        <v>227</v>
      </c>
    </row>
    <row r="550" spans="1:9">
      <c r="A550" s="134">
        <v>550</v>
      </c>
      <c r="B550" s="134" t="s">
        <v>1818</v>
      </c>
      <c r="C550" s="137" t="s">
        <v>2864</v>
      </c>
      <c r="D550" s="137" t="s">
        <v>2865</v>
      </c>
      <c r="E550" s="137" t="s">
        <v>16</v>
      </c>
      <c r="F550" s="137" t="s">
        <v>7</v>
      </c>
      <c r="G550" s="137" t="s">
        <v>8</v>
      </c>
      <c r="H550" s="138">
        <v>232</v>
      </c>
    </row>
    <row r="551" spans="1:9">
      <c r="A551" s="134">
        <v>551</v>
      </c>
      <c r="B551" s="134" t="s">
        <v>1818</v>
      </c>
      <c r="C551" s="137" t="s">
        <v>2866</v>
      </c>
      <c r="D551" s="137" t="s">
        <v>2867</v>
      </c>
      <c r="E551" s="137" t="s">
        <v>14</v>
      </c>
      <c r="F551" s="137" t="s">
        <v>7</v>
      </c>
      <c r="G551" s="137" t="s">
        <v>8</v>
      </c>
      <c r="H551" s="138">
        <v>180</v>
      </c>
    </row>
    <row r="552" spans="1:9">
      <c r="A552" s="134">
        <v>552</v>
      </c>
      <c r="B552" s="134" t="s">
        <v>1818</v>
      </c>
      <c r="C552" s="137" t="s">
        <v>2868</v>
      </c>
      <c r="D552" s="137" t="s">
        <v>2869</v>
      </c>
      <c r="E552" s="137" t="s">
        <v>15</v>
      </c>
      <c r="F552" s="137" t="s">
        <v>10</v>
      </c>
      <c r="G552" s="137" t="s">
        <v>13</v>
      </c>
      <c r="H552" s="138">
        <v>190</v>
      </c>
    </row>
    <row r="553" spans="1:9">
      <c r="A553" s="134">
        <v>553</v>
      </c>
      <c r="B553" s="134" t="s">
        <v>1818</v>
      </c>
      <c r="C553" s="137" t="s">
        <v>2870</v>
      </c>
      <c r="D553" s="137" t="s">
        <v>2871</v>
      </c>
      <c r="E553" s="137" t="s">
        <v>14</v>
      </c>
      <c r="F553" s="137" t="s">
        <v>7</v>
      </c>
      <c r="G553" s="137" t="s">
        <v>13</v>
      </c>
      <c r="H553" s="138">
        <v>232</v>
      </c>
    </row>
    <row r="554" spans="1:9">
      <c r="A554" s="134">
        <v>554</v>
      </c>
      <c r="B554" s="134" t="s">
        <v>1818</v>
      </c>
      <c r="C554" s="134" t="s">
        <v>2872</v>
      </c>
      <c r="D554" s="135" t="s">
        <v>2873</v>
      </c>
      <c r="H554" s="136">
        <v>180</v>
      </c>
    </row>
    <row r="555" spans="1:9">
      <c r="A555" s="134">
        <v>555</v>
      </c>
      <c r="B555" s="134" t="s">
        <v>1818</v>
      </c>
      <c r="C555" s="137" t="s">
        <v>2874</v>
      </c>
      <c r="D555" s="137" t="s">
        <v>2875</v>
      </c>
      <c r="E555" s="137" t="s">
        <v>6</v>
      </c>
      <c r="F555" s="137" t="s">
        <v>7</v>
      </c>
      <c r="G555" s="137" t="s">
        <v>8</v>
      </c>
      <c r="H555" s="138">
        <v>190</v>
      </c>
    </row>
    <row r="556" spans="1:9">
      <c r="A556" s="134">
        <v>556</v>
      </c>
      <c r="B556" s="134" t="s">
        <v>1818</v>
      </c>
      <c r="C556" s="152" t="s">
        <v>2876</v>
      </c>
      <c r="D556" s="152" t="s">
        <v>2877</v>
      </c>
      <c r="E556" s="152" t="s">
        <v>18</v>
      </c>
      <c r="F556" s="152" t="s">
        <v>7</v>
      </c>
      <c r="G556" s="152" t="s">
        <v>8</v>
      </c>
      <c r="H556" s="157">
        <v>227</v>
      </c>
    </row>
    <row r="557" spans="1:9">
      <c r="A557" s="134">
        <v>557</v>
      </c>
      <c r="B557" s="134" t="s">
        <v>1818</v>
      </c>
      <c r="C557" s="137" t="s">
        <v>2878</v>
      </c>
      <c r="D557" s="137" t="s">
        <v>2879</v>
      </c>
      <c r="E557" s="137" t="s">
        <v>14</v>
      </c>
      <c r="F557" s="137" t="s">
        <v>7</v>
      </c>
      <c r="G557" s="137" t="s">
        <v>13</v>
      </c>
      <c r="H557" s="138">
        <v>190</v>
      </c>
    </row>
    <row r="558" spans="1:9">
      <c r="A558" s="134">
        <v>558</v>
      </c>
      <c r="B558" s="134" t="s">
        <v>1818</v>
      </c>
      <c r="C558" s="137" t="s">
        <v>2880</v>
      </c>
      <c r="D558" s="137" t="s">
        <v>2881</v>
      </c>
      <c r="E558" s="137" t="s">
        <v>18</v>
      </c>
      <c r="F558" s="137" t="s">
        <v>10</v>
      </c>
      <c r="G558" s="137" t="s">
        <v>13</v>
      </c>
      <c r="H558" s="138">
        <v>190</v>
      </c>
    </row>
    <row r="559" spans="1:9">
      <c r="A559" s="134">
        <v>559</v>
      </c>
      <c r="B559" s="134" t="s">
        <v>1818</v>
      </c>
      <c r="C559" s="134" t="s">
        <v>2882</v>
      </c>
      <c r="D559" s="134" t="s">
        <v>2883</v>
      </c>
      <c r="E559" s="134" t="s">
        <v>6</v>
      </c>
      <c r="F559" s="134" t="s">
        <v>7</v>
      </c>
      <c r="G559" s="134" t="s">
        <v>13</v>
      </c>
      <c r="H559" s="140">
        <v>227</v>
      </c>
    </row>
    <row r="560" spans="1:9" ht="25.5" customHeight="1">
      <c r="A560" s="134">
        <v>560</v>
      </c>
      <c r="B560" s="134" t="s">
        <v>1818</v>
      </c>
      <c r="C560" s="137" t="s">
        <v>2884</v>
      </c>
      <c r="D560" s="137" t="s">
        <v>2885</v>
      </c>
      <c r="E560" s="137" t="s">
        <v>14</v>
      </c>
      <c r="F560" s="137" t="s">
        <v>7</v>
      </c>
      <c r="G560" s="137" t="s">
        <v>13</v>
      </c>
      <c r="H560" s="138">
        <v>190</v>
      </c>
    </row>
    <row r="561" spans="1:9" s="158" customFormat="1" ht="33">
      <c r="A561" s="158">
        <v>561</v>
      </c>
      <c r="B561" s="134" t="s">
        <v>1818</v>
      </c>
      <c r="C561" s="158" t="s">
        <v>2886</v>
      </c>
      <c r="D561" s="158" t="s">
        <v>2887</v>
      </c>
      <c r="F561" s="158" t="s">
        <v>10</v>
      </c>
      <c r="G561" s="158" t="s">
        <v>28</v>
      </c>
      <c r="H561" s="159"/>
      <c r="I561" s="158" t="s">
        <v>38</v>
      </c>
    </row>
    <row r="562" spans="1:9">
      <c r="A562" s="134">
        <v>562</v>
      </c>
      <c r="B562" s="134" t="s">
        <v>1818</v>
      </c>
      <c r="C562" s="137" t="s">
        <v>2888</v>
      </c>
      <c r="D562" s="137" t="s">
        <v>2889</v>
      </c>
      <c r="E562" s="137" t="s">
        <v>14</v>
      </c>
      <c r="F562" s="137" t="s">
        <v>10</v>
      </c>
      <c r="G562" s="137" t="s">
        <v>11</v>
      </c>
      <c r="H562" s="138">
        <v>232</v>
      </c>
    </row>
    <row r="563" spans="1:9">
      <c r="A563" s="134">
        <v>563</v>
      </c>
      <c r="B563" s="134" t="s">
        <v>1818</v>
      </c>
      <c r="C563" s="137" t="s">
        <v>2890</v>
      </c>
      <c r="D563" s="137" t="s">
        <v>2891</v>
      </c>
      <c r="E563" s="137" t="s">
        <v>14</v>
      </c>
      <c r="F563" s="137" t="s">
        <v>7</v>
      </c>
      <c r="G563" s="137" t="s">
        <v>8</v>
      </c>
      <c r="H563" s="138">
        <v>190</v>
      </c>
    </row>
    <row r="564" spans="1:9">
      <c r="A564" s="134">
        <v>564</v>
      </c>
      <c r="B564" s="134" t="s">
        <v>1818</v>
      </c>
      <c r="C564" s="134" t="s">
        <v>2892</v>
      </c>
      <c r="D564" s="134" t="s">
        <v>2893</v>
      </c>
      <c r="E564" s="134" t="s">
        <v>12</v>
      </c>
      <c r="F564" s="137" t="s">
        <v>10</v>
      </c>
      <c r="G564" s="134" t="s">
        <v>20</v>
      </c>
      <c r="H564" s="140">
        <v>220</v>
      </c>
    </row>
    <row r="565" spans="1:9" ht="17.25" thickBot="1">
      <c r="A565" s="134">
        <v>565</v>
      </c>
      <c r="B565" s="134" t="s">
        <v>1818</v>
      </c>
      <c r="C565" s="137" t="s">
        <v>2894</v>
      </c>
      <c r="D565" s="137" t="s">
        <v>2895</v>
      </c>
      <c r="E565" s="137" t="s">
        <v>12</v>
      </c>
      <c r="F565" s="137" t="s">
        <v>7</v>
      </c>
      <c r="G565" s="137" t="s">
        <v>8</v>
      </c>
      <c r="H565" s="181">
        <v>180</v>
      </c>
    </row>
    <row r="566" spans="1:9" ht="17.25" thickBot="1">
      <c r="A566" s="134">
        <v>566</v>
      </c>
      <c r="B566" s="134" t="s">
        <v>1818</v>
      </c>
      <c r="C566" s="179" t="s">
        <v>2896</v>
      </c>
      <c r="D566" s="179" t="s">
        <v>2897</v>
      </c>
      <c r="E566" s="137" t="s">
        <v>18</v>
      </c>
      <c r="F566" s="137" t="s">
        <v>10</v>
      </c>
      <c r="G566" s="137" t="s">
        <v>8</v>
      </c>
      <c r="H566" s="181">
        <v>232</v>
      </c>
    </row>
    <row r="567" spans="1:9" ht="17.25" thickBot="1">
      <c r="A567" s="134">
        <v>567</v>
      </c>
      <c r="B567" s="134" t="s">
        <v>1818</v>
      </c>
      <c r="C567" s="134" t="s">
        <v>2898</v>
      </c>
      <c r="D567" s="134" t="s">
        <v>2899</v>
      </c>
      <c r="E567" s="134" t="s">
        <v>6</v>
      </c>
      <c r="F567" s="134" t="s">
        <v>7</v>
      </c>
      <c r="G567" s="134" t="s">
        <v>8</v>
      </c>
      <c r="H567" s="182">
        <v>220</v>
      </c>
    </row>
    <row r="568" spans="1:9">
      <c r="A568" s="134">
        <v>568</v>
      </c>
      <c r="B568" s="134" t="s">
        <v>1818</v>
      </c>
      <c r="C568" s="183" t="s">
        <v>2900</v>
      </c>
      <c r="D568" s="183" t="s">
        <v>2901</v>
      </c>
      <c r="E568" s="184" t="s">
        <v>15</v>
      </c>
      <c r="F568" s="184" t="s">
        <v>10</v>
      </c>
      <c r="G568" s="183" t="s">
        <v>13</v>
      </c>
      <c r="H568" s="185">
        <v>190</v>
      </c>
    </row>
    <row r="569" spans="1:9">
      <c r="A569" s="134">
        <v>569</v>
      </c>
      <c r="B569" s="134" t="s">
        <v>1818</v>
      </c>
      <c r="C569" s="137" t="s">
        <v>2902</v>
      </c>
      <c r="D569" s="137" t="s">
        <v>2903</v>
      </c>
      <c r="E569" s="137" t="s">
        <v>18</v>
      </c>
      <c r="F569" s="137" t="s">
        <v>7</v>
      </c>
      <c r="G569" s="137" t="s">
        <v>13</v>
      </c>
      <c r="H569" s="138">
        <v>190</v>
      </c>
    </row>
    <row r="570" spans="1:9">
      <c r="A570" s="134">
        <v>570</v>
      </c>
      <c r="B570" s="134" t="s">
        <v>1818</v>
      </c>
      <c r="C570" s="137" t="s">
        <v>2904</v>
      </c>
      <c r="D570" s="137" t="s">
        <v>2867</v>
      </c>
      <c r="E570" s="137" t="s">
        <v>6</v>
      </c>
      <c r="F570" s="137" t="s">
        <v>7</v>
      </c>
      <c r="G570" s="137" t="s">
        <v>8</v>
      </c>
      <c r="H570" s="138">
        <v>232</v>
      </c>
    </row>
    <row r="571" spans="1:9">
      <c r="A571" s="134">
        <v>571</v>
      </c>
      <c r="B571" s="134" t="s">
        <v>1818</v>
      </c>
      <c r="C571" s="137" t="s">
        <v>2905</v>
      </c>
      <c r="D571" s="137" t="s">
        <v>2240</v>
      </c>
      <c r="E571" s="137" t="s">
        <v>14</v>
      </c>
      <c r="F571" s="137" t="s">
        <v>10</v>
      </c>
      <c r="G571" s="137" t="s">
        <v>8</v>
      </c>
      <c r="H571" s="138">
        <v>274</v>
      </c>
    </row>
    <row r="572" spans="1:9">
      <c r="A572" s="134">
        <v>572</v>
      </c>
      <c r="B572" s="134" t="s">
        <v>1818</v>
      </c>
      <c r="C572" s="149" t="s">
        <v>2906</v>
      </c>
      <c r="D572" s="150" t="s">
        <v>2907</v>
      </c>
      <c r="G572" s="147" t="s">
        <v>8</v>
      </c>
      <c r="H572" s="151">
        <v>260</v>
      </c>
    </row>
    <row r="573" spans="1:9" ht="33">
      <c r="A573" s="134">
        <v>573</v>
      </c>
      <c r="B573" s="134" t="s">
        <v>1818</v>
      </c>
      <c r="C573" s="137" t="s">
        <v>2908</v>
      </c>
      <c r="D573" s="137" t="s">
        <v>2909</v>
      </c>
      <c r="E573" s="137" t="s">
        <v>18</v>
      </c>
      <c r="F573" s="137" t="s">
        <v>7</v>
      </c>
      <c r="G573" s="137" t="s">
        <v>13</v>
      </c>
      <c r="H573" s="138">
        <v>190</v>
      </c>
    </row>
    <row r="574" spans="1:9">
      <c r="A574" s="134">
        <v>574</v>
      </c>
      <c r="B574" s="134" t="s">
        <v>1818</v>
      </c>
      <c r="C574" s="152" t="s">
        <v>2910</v>
      </c>
      <c r="D574" s="152" t="s">
        <v>2909</v>
      </c>
      <c r="E574" s="152" t="s">
        <v>14</v>
      </c>
      <c r="F574" s="152" t="s">
        <v>7</v>
      </c>
      <c r="G574" s="152" t="s">
        <v>13</v>
      </c>
      <c r="H574" s="157">
        <v>227</v>
      </c>
    </row>
    <row r="575" spans="1:9">
      <c r="A575" s="134">
        <v>575</v>
      </c>
      <c r="B575" s="134" t="s">
        <v>1818</v>
      </c>
      <c r="C575" s="137" t="s">
        <v>2911</v>
      </c>
      <c r="D575" s="137" t="s">
        <v>2912</v>
      </c>
      <c r="E575" s="137" t="s">
        <v>14</v>
      </c>
      <c r="F575" s="137" t="s">
        <v>7</v>
      </c>
      <c r="G575" s="137" t="s">
        <v>8</v>
      </c>
      <c r="H575" s="138">
        <v>232</v>
      </c>
    </row>
    <row r="576" spans="1:9">
      <c r="A576" s="134">
        <v>576</v>
      </c>
      <c r="B576" s="134" t="s">
        <v>1818</v>
      </c>
      <c r="C576" s="186" t="s">
        <v>2913</v>
      </c>
      <c r="D576" s="186" t="s">
        <v>2914</v>
      </c>
      <c r="E576" s="186" t="s">
        <v>6</v>
      </c>
      <c r="F576" s="137" t="s">
        <v>7</v>
      </c>
      <c r="G576" s="137" t="s">
        <v>8</v>
      </c>
      <c r="H576" s="173">
        <v>220</v>
      </c>
    </row>
    <row r="577" spans="1:9">
      <c r="A577" s="134">
        <v>577</v>
      </c>
      <c r="B577" s="134" t="s">
        <v>1818</v>
      </c>
      <c r="C577" s="186" t="s">
        <v>2915</v>
      </c>
      <c r="D577" s="186" t="s">
        <v>2916</v>
      </c>
      <c r="E577" s="186" t="s">
        <v>6</v>
      </c>
      <c r="F577" s="137" t="s">
        <v>7</v>
      </c>
      <c r="G577" s="137" t="s">
        <v>8</v>
      </c>
      <c r="H577" s="173">
        <v>180</v>
      </c>
    </row>
    <row r="578" spans="1:9">
      <c r="A578" s="134">
        <v>578</v>
      </c>
      <c r="B578" s="134" t="s">
        <v>1818</v>
      </c>
      <c r="C578" s="186" t="s">
        <v>2915</v>
      </c>
      <c r="D578" s="186" t="s">
        <v>2917</v>
      </c>
      <c r="E578" s="186" t="s">
        <v>14</v>
      </c>
      <c r="F578" s="137" t="s">
        <v>10</v>
      </c>
      <c r="G578" s="137" t="s">
        <v>11</v>
      </c>
      <c r="H578" s="173">
        <v>169</v>
      </c>
    </row>
    <row r="579" spans="1:9">
      <c r="A579" s="134">
        <v>579</v>
      </c>
      <c r="B579" s="134" t="s">
        <v>1818</v>
      </c>
      <c r="C579" s="187" t="s">
        <v>2915</v>
      </c>
      <c r="D579" s="187" t="s">
        <v>2916</v>
      </c>
      <c r="E579" s="188"/>
      <c r="F579" s="184"/>
      <c r="G579" s="189" t="s">
        <v>8</v>
      </c>
      <c r="H579" s="190">
        <v>180</v>
      </c>
      <c r="I579" s="191"/>
    </row>
    <row r="580" spans="1:9">
      <c r="A580" s="134">
        <v>580</v>
      </c>
      <c r="B580" s="134" t="s">
        <v>1818</v>
      </c>
      <c r="C580" s="139" t="s">
        <v>2918</v>
      </c>
      <c r="D580" s="139" t="s">
        <v>2919</v>
      </c>
      <c r="E580" s="139" t="s">
        <v>39</v>
      </c>
      <c r="F580" s="137" t="s">
        <v>10</v>
      </c>
      <c r="G580" s="134" t="s">
        <v>11</v>
      </c>
      <c r="H580" s="192">
        <v>180</v>
      </c>
    </row>
    <row r="581" spans="1:9">
      <c r="A581" s="134">
        <v>581</v>
      </c>
      <c r="B581" s="134" t="s">
        <v>1818</v>
      </c>
      <c r="C581" s="166" t="s">
        <v>2920</v>
      </c>
      <c r="D581" s="166" t="s">
        <v>2921</v>
      </c>
      <c r="E581" s="166" t="s">
        <v>9</v>
      </c>
      <c r="F581" s="139" t="s">
        <v>10</v>
      </c>
      <c r="G581" s="147" t="s">
        <v>25</v>
      </c>
      <c r="H581" s="155">
        <v>227</v>
      </c>
    </row>
    <row r="582" spans="1:9">
      <c r="A582" s="134">
        <v>582</v>
      </c>
      <c r="B582" s="134" t="s">
        <v>1818</v>
      </c>
      <c r="C582" s="137" t="s">
        <v>2922</v>
      </c>
      <c r="D582" s="137" t="s">
        <v>2923</v>
      </c>
      <c r="E582" s="137" t="s">
        <v>6</v>
      </c>
      <c r="F582" s="137" t="s">
        <v>10</v>
      </c>
      <c r="G582" s="137" t="s">
        <v>13</v>
      </c>
      <c r="H582" s="138">
        <v>232</v>
      </c>
    </row>
    <row r="583" spans="1:9" s="158" customFormat="1" ht="33">
      <c r="A583" s="158">
        <v>583</v>
      </c>
      <c r="B583" s="134" t="s">
        <v>1818</v>
      </c>
      <c r="C583" s="158" t="s">
        <v>2924</v>
      </c>
      <c r="D583" s="158" t="s">
        <v>2925</v>
      </c>
      <c r="E583" s="158" t="s">
        <v>33</v>
      </c>
      <c r="F583" s="158" t="s">
        <v>10</v>
      </c>
      <c r="G583" s="158" t="s">
        <v>11</v>
      </c>
      <c r="H583" s="159"/>
      <c r="I583" s="158" t="s">
        <v>40</v>
      </c>
    </row>
    <row r="584" spans="1:9">
      <c r="A584" s="134">
        <v>584</v>
      </c>
      <c r="B584" s="134" t="s">
        <v>1818</v>
      </c>
      <c r="C584" s="137" t="s">
        <v>2926</v>
      </c>
      <c r="D584" s="137" t="s">
        <v>2927</v>
      </c>
      <c r="E584" s="137" t="s">
        <v>14</v>
      </c>
      <c r="F584" s="137" t="s">
        <v>7</v>
      </c>
      <c r="G584" s="137" t="s">
        <v>13</v>
      </c>
      <c r="H584" s="138">
        <v>190</v>
      </c>
    </row>
    <row r="585" spans="1:9">
      <c r="A585" s="134">
        <v>585</v>
      </c>
      <c r="B585" s="134" t="s">
        <v>1818</v>
      </c>
      <c r="C585" s="149" t="s">
        <v>2928</v>
      </c>
      <c r="D585" s="193" t="s">
        <v>2929</v>
      </c>
      <c r="E585" s="134" t="s">
        <v>9</v>
      </c>
      <c r="F585" s="134" t="s">
        <v>10</v>
      </c>
      <c r="G585" s="149" t="s">
        <v>8</v>
      </c>
      <c r="H585" s="194">
        <v>260</v>
      </c>
    </row>
    <row r="586" spans="1:9">
      <c r="A586" s="134">
        <v>586</v>
      </c>
      <c r="B586" s="134" t="s">
        <v>1818</v>
      </c>
      <c r="C586" s="134" t="s">
        <v>2930</v>
      </c>
      <c r="D586" s="135" t="s">
        <v>2931</v>
      </c>
      <c r="H586" s="136">
        <v>180</v>
      </c>
    </row>
    <row r="587" spans="1:9">
      <c r="A587" s="134">
        <v>587</v>
      </c>
      <c r="B587" s="134" t="s">
        <v>1818</v>
      </c>
      <c r="C587" s="137" t="s">
        <v>2932</v>
      </c>
      <c r="D587" s="137" t="s">
        <v>2618</v>
      </c>
      <c r="E587" s="137" t="s">
        <v>6</v>
      </c>
      <c r="F587" s="137" t="s">
        <v>10</v>
      </c>
      <c r="G587" s="137" t="s">
        <v>8</v>
      </c>
      <c r="H587" s="138">
        <v>190</v>
      </c>
    </row>
    <row r="588" spans="1:9">
      <c r="A588" s="134">
        <v>588</v>
      </c>
      <c r="B588" s="134" t="s">
        <v>1818</v>
      </c>
      <c r="C588" s="1" t="s">
        <v>2933</v>
      </c>
      <c r="D588" s="135" t="s">
        <v>2934</v>
      </c>
      <c r="E588" s="134" t="s">
        <v>9</v>
      </c>
      <c r="F588" s="134" t="s">
        <v>7</v>
      </c>
      <c r="G588" s="134" t="s">
        <v>8</v>
      </c>
      <c r="H588" s="136">
        <v>180</v>
      </c>
    </row>
    <row r="589" spans="1:9">
      <c r="A589" s="134">
        <v>589</v>
      </c>
      <c r="B589" s="134" t="s">
        <v>1818</v>
      </c>
      <c r="C589" s="166" t="s">
        <v>2935</v>
      </c>
      <c r="D589" s="134" t="s">
        <v>2936</v>
      </c>
      <c r="G589" s="147" t="s">
        <v>8</v>
      </c>
      <c r="H589" s="167">
        <v>180</v>
      </c>
    </row>
    <row r="590" spans="1:9">
      <c r="A590" s="134">
        <v>590</v>
      </c>
      <c r="B590" s="134" t="s">
        <v>1818</v>
      </c>
      <c r="C590" s="134" t="s">
        <v>2937</v>
      </c>
      <c r="D590" s="135" t="s">
        <v>2938</v>
      </c>
      <c r="E590" s="134" t="s">
        <v>15</v>
      </c>
      <c r="F590" s="134" t="s">
        <v>7</v>
      </c>
      <c r="G590" s="134" t="s">
        <v>8</v>
      </c>
      <c r="H590" s="136">
        <v>180</v>
      </c>
    </row>
    <row r="591" spans="1:9">
      <c r="A591" s="134">
        <v>591</v>
      </c>
      <c r="B591" s="134" t="s">
        <v>1818</v>
      </c>
      <c r="C591" s="137" t="s">
        <v>2939</v>
      </c>
      <c r="D591" s="172" t="s">
        <v>2940</v>
      </c>
      <c r="E591" s="137" t="s">
        <v>14</v>
      </c>
      <c r="F591" s="137" t="s">
        <v>7</v>
      </c>
      <c r="G591" s="137" t="s">
        <v>13</v>
      </c>
      <c r="H591" s="138">
        <v>190</v>
      </c>
    </row>
    <row r="592" spans="1:9">
      <c r="A592" s="134">
        <v>592</v>
      </c>
      <c r="B592" s="134" t="s">
        <v>1818</v>
      </c>
      <c r="C592" s="137" t="s">
        <v>2941</v>
      </c>
      <c r="D592" s="137" t="s">
        <v>2942</v>
      </c>
      <c r="E592" s="137" t="s">
        <v>16</v>
      </c>
      <c r="F592" s="137" t="s">
        <v>7</v>
      </c>
      <c r="G592" s="137" t="s">
        <v>13</v>
      </c>
      <c r="H592" s="138">
        <v>190</v>
      </c>
    </row>
    <row r="593" spans="1:8">
      <c r="A593" s="134">
        <v>593</v>
      </c>
      <c r="B593" s="134" t="s">
        <v>1818</v>
      </c>
      <c r="C593" s="152" t="s">
        <v>2943</v>
      </c>
      <c r="D593" s="152" t="s">
        <v>2944</v>
      </c>
      <c r="E593" s="152" t="s">
        <v>14</v>
      </c>
      <c r="F593" s="152" t="s">
        <v>7</v>
      </c>
      <c r="G593" s="152" t="s">
        <v>13</v>
      </c>
      <c r="H593" s="157">
        <v>227</v>
      </c>
    </row>
    <row r="594" spans="1:8">
      <c r="A594" s="134">
        <v>594</v>
      </c>
      <c r="B594" s="134" t="s">
        <v>1818</v>
      </c>
      <c r="C594" s="137" t="s">
        <v>2945</v>
      </c>
      <c r="D594" s="137" t="s">
        <v>2946</v>
      </c>
      <c r="E594" s="137" t="s">
        <v>6</v>
      </c>
      <c r="F594" s="137" t="s">
        <v>7</v>
      </c>
      <c r="G594" s="137" t="s">
        <v>8</v>
      </c>
      <c r="H594" s="138">
        <v>190</v>
      </c>
    </row>
    <row r="595" spans="1:8">
      <c r="A595" s="134">
        <v>595</v>
      </c>
      <c r="B595" s="134" t="s">
        <v>1818</v>
      </c>
      <c r="C595" s="137" t="s">
        <v>2947</v>
      </c>
      <c r="D595" s="137" t="s">
        <v>2948</v>
      </c>
      <c r="E595" s="137" t="s">
        <v>18</v>
      </c>
      <c r="F595" s="137" t="s">
        <v>7</v>
      </c>
      <c r="G595" s="137" t="s">
        <v>8</v>
      </c>
      <c r="H595" s="138">
        <v>232</v>
      </c>
    </row>
    <row r="596" spans="1:8">
      <c r="A596" s="134">
        <v>596</v>
      </c>
      <c r="B596" s="134" t="s">
        <v>1818</v>
      </c>
      <c r="C596" s="137" t="s">
        <v>2949</v>
      </c>
      <c r="D596" s="137" t="s">
        <v>2950</v>
      </c>
      <c r="E596" s="137" t="s">
        <v>14</v>
      </c>
      <c r="F596" s="137" t="s">
        <v>10</v>
      </c>
      <c r="G596" s="137" t="s">
        <v>8</v>
      </c>
      <c r="H596" s="138">
        <v>232</v>
      </c>
    </row>
    <row r="597" spans="1:8" ht="33">
      <c r="A597" s="134">
        <v>597</v>
      </c>
      <c r="B597" s="134" t="s">
        <v>1818</v>
      </c>
      <c r="C597" s="137" t="s">
        <v>2951</v>
      </c>
      <c r="D597" s="137" t="s">
        <v>2952</v>
      </c>
      <c r="E597" s="137" t="s">
        <v>15</v>
      </c>
      <c r="F597" s="137" t="s">
        <v>7</v>
      </c>
      <c r="G597" s="137" t="s">
        <v>8</v>
      </c>
      <c r="H597" s="138">
        <v>274</v>
      </c>
    </row>
    <row r="598" spans="1:8">
      <c r="A598" s="134">
        <v>598</v>
      </c>
      <c r="B598" s="134" t="s">
        <v>1818</v>
      </c>
      <c r="C598" s="137" t="s">
        <v>2953</v>
      </c>
      <c r="D598" s="137" t="s">
        <v>2954</v>
      </c>
      <c r="E598" s="137" t="s">
        <v>6</v>
      </c>
      <c r="F598" s="137" t="s">
        <v>7</v>
      </c>
      <c r="G598" s="137" t="s">
        <v>8</v>
      </c>
      <c r="H598" s="138">
        <v>190</v>
      </c>
    </row>
    <row r="599" spans="1:8">
      <c r="A599" s="134">
        <v>599</v>
      </c>
      <c r="B599" s="134" t="s">
        <v>1818</v>
      </c>
      <c r="C599" s="137" t="s">
        <v>2955</v>
      </c>
      <c r="D599" s="137" t="s">
        <v>2956</v>
      </c>
      <c r="E599" s="137" t="s">
        <v>12</v>
      </c>
      <c r="F599" s="137" t="s">
        <v>7</v>
      </c>
      <c r="G599" s="137" t="s">
        <v>8</v>
      </c>
      <c r="H599" s="138">
        <v>232</v>
      </c>
    </row>
    <row r="600" spans="1:8">
      <c r="A600" s="134">
        <v>600</v>
      </c>
      <c r="B600" s="134" t="s">
        <v>1818</v>
      </c>
      <c r="C600" s="146" t="s">
        <v>2957</v>
      </c>
      <c r="D600" s="146" t="s">
        <v>2958</v>
      </c>
      <c r="E600" s="134" t="s">
        <v>14</v>
      </c>
      <c r="F600" s="134" t="s">
        <v>7</v>
      </c>
      <c r="G600" s="146" t="s">
        <v>8</v>
      </c>
      <c r="H600" s="140">
        <v>260</v>
      </c>
    </row>
    <row r="601" spans="1:8">
      <c r="A601" s="134">
        <v>601</v>
      </c>
      <c r="B601" s="134" t="s">
        <v>1818</v>
      </c>
      <c r="C601" s="147" t="s">
        <v>2959</v>
      </c>
      <c r="D601" s="147" t="s">
        <v>2960</v>
      </c>
      <c r="E601" s="147" t="s">
        <v>6</v>
      </c>
      <c r="F601" s="147" t="s">
        <v>10</v>
      </c>
      <c r="G601" s="147" t="s">
        <v>25</v>
      </c>
      <c r="H601" s="148">
        <v>274</v>
      </c>
    </row>
    <row r="602" spans="1:8">
      <c r="A602" s="134">
        <v>602</v>
      </c>
      <c r="B602" s="134" t="s">
        <v>1818</v>
      </c>
      <c r="C602" s="137" t="s">
        <v>2961</v>
      </c>
      <c r="D602" s="137" t="s">
        <v>2962</v>
      </c>
      <c r="E602" s="137" t="s">
        <v>14</v>
      </c>
      <c r="F602" s="137" t="s">
        <v>7</v>
      </c>
      <c r="G602" s="137" t="s">
        <v>8</v>
      </c>
      <c r="H602" s="138">
        <v>180</v>
      </c>
    </row>
    <row r="603" spans="1:8">
      <c r="A603" s="134">
        <v>603</v>
      </c>
      <c r="B603" s="134" t="s">
        <v>1818</v>
      </c>
      <c r="C603" s="137" t="s">
        <v>2963</v>
      </c>
      <c r="D603" s="137" t="s">
        <v>2421</v>
      </c>
      <c r="E603" s="137" t="s">
        <v>12</v>
      </c>
      <c r="F603" s="137" t="s">
        <v>7</v>
      </c>
      <c r="G603" s="137" t="s">
        <v>8</v>
      </c>
      <c r="H603" s="138">
        <v>190</v>
      </c>
    </row>
    <row r="604" spans="1:8">
      <c r="A604" s="134">
        <v>604</v>
      </c>
      <c r="B604" s="134" t="s">
        <v>1818</v>
      </c>
      <c r="C604" s="146" t="s">
        <v>2964</v>
      </c>
      <c r="D604" s="146" t="s">
        <v>2965</v>
      </c>
      <c r="E604" s="134" t="s">
        <v>9</v>
      </c>
      <c r="F604" s="134" t="s">
        <v>10</v>
      </c>
      <c r="G604" s="146" t="s">
        <v>25</v>
      </c>
      <c r="H604" s="140">
        <v>215</v>
      </c>
    </row>
    <row r="605" spans="1:8">
      <c r="A605" s="134">
        <v>605</v>
      </c>
      <c r="B605" s="134" t="s">
        <v>1818</v>
      </c>
      <c r="C605" s="137" t="s">
        <v>2966</v>
      </c>
      <c r="D605" s="137" t="s">
        <v>1934</v>
      </c>
      <c r="E605" s="137" t="s">
        <v>14</v>
      </c>
      <c r="F605" s="137" t="s">
        <v>7</v>
      </c>
      <c r="G605" s="137" t="s">
        <v>8</v>
      </c>
      <c r="H605" s="138">
        <v>220</v>
      </c>
    </row>
    <row r="606" spans="1:8">
      <c r="A606" s="134">
        <v>606</v>
      </c>
      <c r="B606" s="134" t="s">
        <v>1818</v>
      </c>
      <c r="C606" s="137" t="s">
        <v>2967</v>
      </c>
      <c r="D606" s="137" t="s">
        <v>2968</v>
      </c>
      <c r="E606" s="137" t="s">
        <v>14</v>
      </c>
      <c r="F606" s="137" t="s">
        <v>7</v>
      </c>
      <c r="G606" s="137" t="s">
        <v>25</v>
      </c>
      <c r="H606" s="138">
        <v>190</v>
      </c>
    </row>
    <row r="607" spans="1:8">
      <c r="A607" s="134">
        <v>607</v>
      </c>
      <c r="B607" s="134" t="s">
        <v>1818</v>
      </c>
      <c r="C607" s="137" t="s">
        <v>2969</v>
      </c>
      <c r="D607" s="137" t="s">
        <v>2970</v>
      </c>
      <c r="E607" s="137" t="s">
        <v>15</v>
      </c>
      <c r="F607" s="137" t="s">
        <v>10</v>
      </c>
      <c r="G607" s="137" t="s">
        <v>13</v>
      </c>
      <c r="H607" s="138">
        <v>190</v>
      </c>
    </row>
    <row r="608" spans="1:8">
      <c r="A608" s="134">
        <v>608</v>
      </c>
      <c r="B608" s="134" t="s">
        <v>1818</v>
      </c>
      <c r="C608" s="137" t="s">
        <v>2971</v>
      </c>
      <c r="D608" s="137" t="s">
        <v>2972</v>
      </c>
      <c r="E608" s="137" t="s">
        <v>14</v>
      </c>
      <c r="F608" s="137" t="s">
        <v>7</v>
      </c>
      <c r="G608" s="137" t="s">
        <v>8</v>
      </c>
      <c r="H608" s="138">
        <v>180</v>
      </c>
    </row>
    <row r="609" spans="1:9">
      <c r="A609" s="134">
        <v>609</v>
      </c>
      <c r="B609" s="134" t="s">
        <v>1818</v>
      </c>
      <c r="C609" s="146" t="s">
        <v>2973</v>
      </c>
      <c r="D609" s="146" t="s">
        <v>2974</v>
      </c>
      <c r="E609" s="134" t="s">
        <v>18</v>
      </c>
      <c r="F609" s="134" t="s">
        <v>7</v>
      </c>
      <c r="G609" s="146" t="s">
        <v>8</v>
      </c>
      <c r="H609" s="140">
        <v>200</v>
      </c>
      <c r="I609" s="156"/>
    </row>
    <row r="610" spans="1:9">
      <c r="A610" s="134">
        <v>610</v>
      </c>
      <c r="B610" s="134" t="s">
        <v>1818</v>
      </c>
      <c r="C610" s="137" t="s">
        <v>2975</v>
      </c>
      <c r="D610" s="137" t="s">
        <v>2976</v>
      </c>
      <c r="E610" s="137" t="s">
        <v>16</v>
      </c>
      <c r="F610" s="137" t="s">
        <v>7</v>
      </c>
      <c r="G610" s="137" t="s">
        <v>8</v>
      </c>
      <c r="H610" s="138">
        <v>220</v>
      </c>
    </row>
    <row r="611" spans="1:9">
      <c r="A611" s="134">
        <v>611</v>
      </c>
      <c r="B611" s="134" t="s">
        <v>1818</v>
      </c>
      <c r="C611" s="146" t="s">
        <v>2977</v>
      </c>
      <c r="D611" s="146" t="s">
        <v>2978</v>
      </c>
      <c r="E611" s="134" t="s">
        <v>6</v>
      </c>
      <c r="F611" s="134" t="s">
        <v>7</v>
      </c>
      <c r="G611" s="146" t="s">
        <v>8</v>
      </c>
      <c r="H611" s="140">
        <v>260</v>
      </c>
    </row>
    <row r="612" spans="1:9">
      <c r="A612" s="134">
        <v>612</v>
      </c>
      <c r="B612" s="134" t="s">
        <v>1818</v>
      </c>
      <c r="C612" s="137" t="s">
        <v>2979</v>
      </c>
      <c r="D612" s="137" t="s">
        <v>2980</v>
      </c>
      <c r="E612" s="137" t="s">
        <v>14</v>
      </c>
      <c r="F612" s="137" t="s">
        <v>7</v>
      </c>
      <c r="G612" s="137" t="s">
        <v>8</v>
      </c>
      <c r="H612" s="138">
        <v>180</v>
      </c>
    </row>
    <row r="613" spans="1:9" ht="33">
      <c r="A613" s="134">
        <v>613</v>
      </c>
      <c r="B613" s="134" t="s">
        <v>1818</v>
      </c>
      <c r="C613" s="137" t="s">
        <v>2981</v>
      </c>
      <c r="D613" s="137" t="s">
        <v>2982</v>
      </c>
      <c r="E613" s="137" t="s">
        <v>14</v>
      </c>
      <c r="F613" s="137" t="s">
        <v>10</v>
      </c>
      <c r="G613" s="137" t="s">
        <v>11</v>
      </c>
      <c r="H613" s="138">
        <v>220</v>
      </c>
      <c r="I613" s="134" t="s">
        <v>41</v>
      </c>
    </row>
    <row r="614" spans="1:9">
      <c r="A614" s="134">
        <v>614</v>
      </c>
      <c r="B614" s="134" t="s">
        <v>1818</v>
      </c>
      <c r="C614" s="139" t="s">
        <v>2983</v>
      </c>
      <c r="D614" s="134" t="s">
        <v>2984</v>
      </c>
      <c r="E614" s="134" t="s">
        <v>9</v>
      </c>
      <c r="F614" s="134" t="s">
        <v>7</v>
      </c>
      <c r="G614" s="134" t="s">
        <v>8</v>
      </c>
      <c r="H614" s="141">
        <v>220</v>
      </c>
    </row>
    <row r="615" spans="1:9">
      <c r="A615" s="134">
        <v>615</v>
      </c>
      <c r="B615" s="134" t="s">
        <v>1818</v>
      </c>
      <c r="C615" s="137" t="s">
        <v>2985</v>
      </c>
      <c r="D615" s="137" t="s">
        <v>2986</v>
      </c>
      <c r="E615" s="137" t="s">
        <v>14</v>
      </c>
      <c r="F615" s="137" t="s">
        <v>7</v>
      </c>
      <c r="G615" s="137" t="s">
        <v>25</v>
      </c>
      <c r="H615" s="138">
        <v>190</v>
      </c>
    </row>
    <row r="616" spans="1:9">
      <c r="A616" s="134">
        <v>616</v>
      </c>
      <c r="B616" s="134" t="s">
        <v>1818</v>
      </c>
      <c r="C616" s="137" t="s">
        <v>2987</v>
      </c>
      <c r="D616" s="137" t="s">
        <v>2988</v>
      </c>
      <c r="E616" s="137" t="s">
        <v>6</v>
      </c>
      <c r="F616" s="137" t="s">
        <v>10</v>
      </c>
      <c r="G616" s="137" t="s">
        <v>11</v>
      </c>
      <c r="H616" s="138">
        <v>232</v>
      </c>
    </row>
    <row r="617" spans="1:9">
      <c r="A617" s="134">
        <v>617</v>
      </c>
      <c r="B617" s="134" t="s">
        <v>1818</v>
      </c>
      <c r="C617" s="137" t="s">
        <v>2989</v>
      </c>
      <c r="D617" s="137" t="s">
        <v>2990</v>
      </c>
      <c r="E617" s="137" t="s">
        <v>14</v>
      </c>
      <c r="F617" s="137" t="s">
        <v>7</v>
      </c>
      <c r="G617" s="137" t="s">
        <v>13</v>
      </c>
      <c r="H617" s="138">
        <v>190</v>
      </c>
    </row>
    <row r="618" spans="1:9">
      <c r="A618" s="134">
        <v>618</v>
      </c>
      <c r="B618" s="134" t="s">
        <v>1818</v>
      </c>
      <c r="C618" s="139" t="s">
        <v>2991</v>
      </c>
      <c r="D618" s="139" t="s">
        <v>2992</v>
      </c>
      <c r="E618" s="139" t="s">
        <v>9</v>
      </c>
      <c r="F618" s="137" t="s">
        <v>27</v>
      </c>
      <c r="G618" s="134" t="s">
        <v>11</v>
      </c>
      <c r="H618" s="160">
        <v>180</v>
      </c>
    </row>
    <row r="619" spans="1:9">
      <c r="A619" s="134">
        <v>619</v>
      </c>
      <c r="B619" s="134" t="s">
        <v>1818</v>
      </c>
      <c r="C619" s="137" t="s">
        <v>2993</v>
      </c>
      <c r="D619" s="137" t="s">
        <v>2994</v>
      </c>
      <c r="E619" s="137" t="s">
        <v>12</v>
      </c>
      <c r="F619" s="137" t="s">
        <v>10</v>
      </c>
      <c r="G619" s="137" t="s">
        <v>25</v>
      </c>
      <c r="H619" s="138">
        <v>274</v>
      </c>
    </row>
    <row r="620" spans="1:9">
      <c r="A620" s="134">
        <v>620</v>
      </c>
      <c r="B620" s="134" t="s">
        <v>1818</v>
      </c>
      <c r="C620" s="152" t="s">
        <v>2995</v>
      </c>
      <c r="D620" s="152" t="s">
        <v>2996</v>
      </c>
      <c r="E620" s="152" t="s">
        <v>14</v>
      </c>
      <c r="F620" s="152" t="s">
        <v>10</v>
      </c>
      <c r="G620" s="152" t="s">
        <v>13</v>
      </c>
      <c r="H620" s="157">
        <v>227</v>
      </c>
    </row>
    <row r="621" spans="1:9">
      <c r="A621" s="134">
        <v>621</v>
      </c>
      <c r="B621" s="134" t="s">
        <v>1818</v>
      </c>
      <c r="C621" s="137" t="s">
        <v>2997</v>
      </c>
      <c r="D621" s="137" t="s">
        <v>2998</v>
      </c>
      <c r="E621" s="137" t="s">
        <v>14</v>
      </c>
      <c r="F621" s="137" t="s">
        <v>7</v>
      </c>
      <c r="G621" s="137" t="s">
        <v>8</v>
      </c>
      <c r="H621" s="138">
        <v>180</v>
      </c>
    </row>
    <row r="622" spans="1:9">
      <c r="A622" s="134">
        <v>622</v>
      </c>
      <c r="B622" s="134" t="s">
        <v>1818</v>
      </c>
      <c r="C622" s="137" t="s">
        <v>2999</v>
      </c>
      <c r="D622" s="137" t="s">
        <v>1937</v>
      </c>
      <c r="E622" s="137" t="s">
        <v>6</v>
      </c>
      <c r="F622" s="137" t="s">
        <v>10</v>
      </c>
      <c r="G622" s="137" t="s">
        <v>13</v>
      </c>
      <c r="H622" s="138">
        <v>227</v>
      </c>
    </row>
    <row r="623" spans="1:9">
      <c r="A623" s="134">
        <v>623</v>
      </c>
      <c r="B623" s="134" t="s">
        <v>1818</v>
      </c>
      <c r="C623" s="137" t="s">
        <v>3000</v>
      </c>
      <c r="D623" s="137" t="s">
        <v>1901</v>
      </c>
      <c r="E623" s="137" t="s">
        <v>12</v>
      </c>
      <c r="F623" s="137" t="s">
        <v>10</v>
      </c>
      <c r="G623" s="137" t="s">
        <v>8</v>
      </c>
      <c r="H623" s="138">
        <v>496</v>
      </c>
    </row>
    <row r="624" spans="1:9">
      <c r="A624" s="134">
        <v>624</v>
      </c>
      <c r="B624" s="134" t="s">
        <v>1818</v>
      </c>
      <c r="C624" s="134" t="s">
        <v>3001</v>
      </c>
      <c r="D624" s="134" t="s">
        <v>3002</v>
      </c>
      <c r="E624" s="134" t="s">
        <v>12</v>
      </c>
      <c r="F624" s="137" t="s">
        <v>10</v>
      </c>
      <c r="G624" s="134" t="s">
        <v>20</v>
      </c>
      <c r="H624" s="140">
        <v>260</v>
      </c>
    </row>
    <row r="625" spans="1:8">
      <c r="A625" s="134">
        <v>625</v>
      </c>
      <c r="B625" s="134" t="s">
        <v>1818</v>
      </c>
      <c r="C625" s="144" t="s">
        <v>3003</v>
      </c>
      <c r="D625" s="144" t="s">
        <v>2094</v>
      </c>
      <c r="E625" s="144" t="s">
        <v>6</v>
      </c>
      <c r="F625" s="144" t="s">
        <v>10</v>
      </c>
      <c r="G625" s="144" t="s">
        <v>13</v>
      </c>
      <c r="H625" s="145">
        <v>227</v>
      </c>
    </row>
    <row r="626" spans="1:8">
      <c r="A626" s="134">
        <v>626</v>
      </c>
      <c r="B626" s="134" t="s">
        <v>1818</v>
      </c>
      <c r="C626" s="195" t="s">
        <v>3004</v>
      </c>
      <c r="D626" s="195" t="s">
        <v>3005</v>
      </c>
      <c r="E626" s="195" t="s">
        <v>18</v>
      </c>
      <c r="F626" s="195" t="s">
        <v>7</v>
      </c>
      <c r="G626" s="195" t="s">
        <v>8</v>
      </c>
      <c r="H626" s="196">
        <v>190</v>
      </c>
    </row>
    <row r="627" spans="1:8">
      <c r="A627" s="134">
        <v>627</v>
      </c>
      <c r="B627" s="134" t="s">
        <v>1818</v>
      </c>
      <c r="C627" s="134" t="s">
        <v>3006</v>
      </c>
      <c r="D627" s="134" t="s">
        <v>3007</v>
      </c>
      <c r="E627" s="134" t="s">
        <v>6</v>
      </c>
      <c r="F627" s="134" t="s">
        <v>7</v>
      </c>
      <c r="G627" s="134" t="s">
        <v>8</v>
      </c>
      <c r="H627" s="140">
        <v>180</v>
      </c>
    </row>
    <row r="628" spans="1:8">
      <c r="A628" s="134">
        <v>628</v>
      </c>
      <c r="B628" s="134" t="s">
        <v>1818</v>
      </c>
      <c r="C628" s="137" t="s">
        <v>3008</v>
      </c>
      <c r="D628" s="137" t="s">
        <v>3009</v>
      </c>
      <c r="E628" s="137" t="s">
        <v>18</v>
      </c>
      <c r="F628" s="137" t="s">
        <v>7</v>
      </c>
      <c r="G628" s="137" t="s">
        <v>8</v>
      </c>
      <c r="H628" s="138">
        <v>190</v>
      </c>
    </row>
    <row r="629" spans="1:8">
      <c r="A629" s="134">
        <v>629</v>
      </c>
      <c r="B629" s="134" t="s">
        <v>1818</v>
      </c>
      <c r="C629" s="137" t="s">
        <v>1873</v>
      </c>
      <c r="D629" s="137" t="s">
        <v>3010</v>
      </c>
      <c r="E629" s="137" t="s">
        <v>12</v>
      </c>
      <c r="F629" s="137" t="s">
        <v>7</v>
      </c>
      <c r="G629" s="137" t="s">
        <v>8</v>
      </c>
      <c r="H629" s="138">
        <v>180</v>
      </c>
    </row>
    <row r="630" spans="1:8">
      <c r="A630" s="134">
        <v>630</v>
      </c>
      <c r="B630" s="134" t="s">
        <v>1818</v>
      </c>
      <c r="C630" s="137" t="s">
        <v>3011</v>
      </c>
      <c r="D630" s="137" t="s">
        <v>1839</v>
      </c>
      <c r="E630" s="137" t="s">
        <v>14</v>
      </c>
      <c r="F630" s="137" t="s">
        <v>10</v>
      </c>
      <c r="G630" s="137" t="s">
        <v>20</v>
      </c>
      <c r="H630" s="138">
        <v>274</v>
      </c>
    </row>
    <row r="631" spans="1:8" ht="33">
      <c r="A631" s="134">
        <v>631</v>
      </c>
      <c r="B631" s="134" t="s">
        <v>1818</v>
      </c>
      <c r="C631" s="137" t="s">
        <v>3012</v>
      </c>
      <c r="D631" s="137" t="s">
        <v>2741</v>
      </c>
      <c r="E631" s="137" t="s">
        <v>16</v>
      </c>
      <c r="F631" s="137" t="s">
        <v>7</v>
      </c>
      <c r="G631" s="137" t="s">
        <v>8</v>
      </c>
      <c r="H631" s="138">
        <v>232</v>
      </c>
    </row>
    <row r="632" spans="1:8">
      <c r="A632" s="134">
        <v>632</v>
      </c>
      <c r="B632" s="134" t="s">
        <v>1818</v>
      </c>
      <c r="C632" s="147" t="s">
        <v>3013</v>
      </c>
      <c r="D632" s="147" t="s">
        <v>1887</v>
      </c>
      <c r="E632" s="147" t="s">
        <v>14</v>
      </c>
      <c r="F632" s="147" t="s">
        <v>7</v>
      </c>
      <c r="G632" s="147" t="s">
        <v>8</v>
      </c>
      <c r="H632" s="148">
        <v>227</v>
      </c>
    </row>
    <row r="633" spans="1:8" ht="33">
      <c r="A633" s="134">
        <v>633</v>
      </c>
      <c r="B633" s="134" t="s">
        <v>1818</v>
      </c>
      <c r="C633" s="134" t="s">
        <v>3014</v>
      </c>
      <c r="D633" s="134" t="s">
        <v>3015</v>
      </c>
      <c r="E633" s="134" t="s">
        <v>9</v>
      </c>
      <c r="F633" s="134" t="s">
        <v>7</v>
      </c>
      <c r="G633" s="134" t="s">
        <v>8</v>
      </c>
      <c r="H633" s="141">
        <v>220</v>
      </c>
    </row>
    <row r="634" spans="1:8">
      <c r="A634" s="134">
        <v>634</v>
      </c>
      <c r="B634" s="134" t="s">
        <v>1818</v>
      </c>
      <c r="C634" s="137" t="s">
        <v>3016</v>
      </c>
      <c r="D634" s="137" t="s">
        <v>3017</v>
      </c>
      <c r="E634" s="137" t="s">
        <v>14</v>
      </c>
      <c r="F634" s="137" t="s">
        <v>10</v>
      </c>
      <c r="G634" s="137" t="s">
        <v>13</v>
      </c>
      <c r="H634" s="138">
        <v>190</v>
      </c>
    </row>
    <row r="635" spans="1:8">
      <c r="A635" s="134">
        <v>635</v>
      </c>
      <c r="B635" s="134" t="s">
        <v>1818</v>
      </c>
      <c r="C635" s="137" t="s">
        <v>3018</v>
      </c>
      <c r="D635" s="137" t="s">
        <v>3019</v>
      </c>
      <c r="E635" s="137" t="s">
        <v>18</v>
      </c>
      <c r="F635" s="137" t="s">
        <v>7</v>
      </c>
      <c r="G635" s="137" t="s">
        <v>8</v>
      </c>
      <c r="H635" s="138">
        <v>169</v>
      </c>
    </row>
    <row r="636" spans="1:8">
      <c r="A636" s="134">
        <v>636</v>
      </c>
      <c r="B636" s="134" t="s">
        <v>1818</v>
      </c>
      <c r="C636" s="137" t="s">
        <v>3020</v>
      </c>
      <c r="D636" s="137" t="s">
        <v>3021</v>
      </c>
      <c r="E636" s="137" t="s">
        <v>12</v>
      </c>
      <c r="F636" s="137" t="s">
        <v>7</v>
      </c>
      <c r="G636" s="137" t="s">
        <v>8</v>
      </c>
      <c r="H636" s="138">
        <v>232</v>
      </c>
    </row>
    <row r="637" spans="1:8">
      <c r="A637" s="134">
        <v>637</v>
      </c>
      <c r="B637" s="134" t="s">
        <v>1818</v>
      </c>
      <c r="C637" s="137" t="s">
        <v>3022</v>
      </c>
      <c r="D637" s="137" t="s">
        <v>2186</v>
      </c>
      <c r="E637" s="137" t="s">
        <v>16</v>
      </c>
      <c r="F637" s="137" t="s">
        <v>7</v>
      </c>
      <c r="G637" s="137" t="s">
        <v>8</v>
      </c>
      <c r="H637" s="138">
        <v>220</v>
      </c>
    </row>
    <row r="638" spans="1:8">
      <c r="A638" s="134">
        <v>638</v>
      </c>
      <c r="B638" s="134" t="s">
        <v>1818</v>
      </c>
      <c r="C638" s="139" t="s">
        <v>3023</v>
      </c>
      <c r="D638" s="134" t="s">
        <v>3024</v>
      </c>
      <c r="E638" s="134" t="s">
        <v>6</v>
      </c>
      <c r="F638" s="134" t="s">
        <v>7</v>
      </c>
      <c r="G638" s="134" t="s">
        <v>8</v>
      </c>
      <c r="H638" s="141">
        <v>180</v>
      </c>
    </row>
    <row r="639" spans="1:8">
      <c r="A639" s="134">
        <v>639</v>
      </c>
      <c r="B639" s="134" t="s">
        <v>1818</v>
      </c>
      <c r="C639" s="137" t="s">
        <v>3025</v>
      </c>
      <c r="D639" s="137" t="s">
        <v>2805</v>
      </c>
      <c r="E639" s="137" t="s">
        <v>14</v>
      </c>
      <c r="F639" s="137" t="s">
        <v>10</v>
      </c>
      <c r="G639" s="137" t="s">
        <v>8</v>
      </c>
      <c r="H639" s="138">
        <v>220</v>
      </c>
    </row>
    <row r="640" spans="1:8">
      <c r="A640" s="134">
        <v>640</v>
      </c>
      <c r="B640" s="134" t="s">
        <v>1818</v>
      </c>
      <c r="C640" s="139" t="s">
        <v>3025</v>
      </c>
      <c r="D640" s="139" t="s">
        <v>2889</v>
      </c>
      <c r="E640" s="139" t="s">
        <v>9</v>
      </c>
      <c r="F640" s="134" t="s">
        <v>10</v>
      </c>
      <c r="G640" s="134" t="s">
        <v>11</v>
      </c>
      <c r="H640" s="160">
        <v>180</v>
      </c>
    </row>
    <row r="641" spans="1:8">
      <c r="A641" s="134">
        <v>641</v>
      </c>
      <c r="B641" s="134" t="s">
        <v>1818</v>
      </c>
      <c r="C641" s="137" t="s">
        <v>3025</v>
      </c>
      <c r="D641" s="137" t="s">
        <v>2988</v>
      </c>
      <c r="E641" s="137" t="s">
        <v>14</v>
      </c>
      <c r="F641" s="137" t="s">
        <v>10</v>
      </c>
      <c r="G641" s="137" t="s">
        <v>11</v>
      </c>
      <c r="H641" s="138">
        <v>227</v>
      </c>
    </row>
    <row r="642" spans="1:8">
      <c r="A642" s="134">
        <v>642</v>
      </c>
      <c r="B642" s="134" t="s">
        <v>1818</v>
      </c>
      <c r="C642" s="149" t="s">
        <v>3026</v>
      </c>
      <c r="D642" s="150" t="s">
        <v>3027</v>
      </c>
      <c r="F642" s="134" t="s">
        <v>10</v>
      </c>
      <c r="G642" s="147" t="s">
        <v>8</v>
      </c>
      <c r="H642" s="151">
        <v>220</v>
      </c>
    </row>
    <row r="643" spans="1:8">
      <c r="A643" s="134">
        <v>643</v>
      </c>
      <c r="B643" s="134" t="s">
        <v>1818</v>
      </c>
      <c r="C643" s="134" t="s">
        <v>3028</v>
      </c>
      <c r="D643" s="134" t="s">
        <v>3029</v>
      </c>
      <c r="E643" s="134" t="s">
        <v>14</v>
      </c>
      <c r="F643" s="134" t="s">
        <v>7</v>
      </c>
      <c r="G643" s="134" t="s">
        <v>8</v>
      </c>
      <c r="H643" s="140">
        <v>227</v>
      </c>
    </row>
    <row r="644" spans="1:8">
      <c r="A644" s="134">
        <v>644</v>
      </c>
      <c r="B644" s="134" t="s">
        <v>1818</v>
      </c>
      <c r="C644" s="146" t="s">
        <v>3030</v>
      </c>
      <c r="D644" s="146" t="s">
        <v>3031</v>
      </c>
      <c r="E644" s="134" t="s">
        <v>14</v>
      </c>
      <c r="F644" s="134" t="s">
        <v>10</v>
      </c>
      <c r="G644" s="146" t="s">
        <v>25</v>
      </c>
      <c r="H644" s="140">
        <v>227</v>
      </c>
    </row>
    <row r="645" spans="1:8">
      <c r="A645" s="134">
        <v>645</v>
      </c>
      <c r="B645" s="134" t="s">
        <v>1818</v>
      </c>
      <c r="C645" s="134" t="s">
        <v>3032</v>
      </c>
      <c r="D645" s="134" t="s">
        <v>3033</v>
      </c>
      <c r="E645" s="134" t="s">
        <v>12</v>
      </c>
      <c r="F645" s="134" t="s">
        <v>10</v>
      </c>
      <c r="G645" s="134" t="s">
        <v>8</v>
      </c>
      <c r="H645" s="140">
        <v>260</v>
      </c>
    </row>
    <row r="646" spans="1:8">
      <c r="A646" s="134">
        <v>646</v>
      </c>
      <c r="B646" s="134" t="s">
        <v>1818</v>
      </c>
      <c r="C646" s="137" t="s">
        <v>2518</v>
      </c>
      <c r="D646" s="137" t="s">
        <v>3034</v>
      </c>
      <c r="E646" s="137" t="s">
        <v>14</v>
      </c>
      <c r="F646" s="137" t="s">
        <v>10</v>
      </c>
      <c r="G646" s="137" t="s">
        <v>25</v>
      </c>
      <c r="H646" s="138">
        <v>274</v>
      </c>
    </row>
    <row r="647" spans="1:8">
      <c r="A647" s="134">
        <v>647</v>
      </c>
      <c r="B647" s="134" t="s">
        <v>1818</v>
      </c>
      <c r="C647" s="134" t="s">
        <v>3035</v>
      </c>
      <c r="D647" s="134" t="s">
        <v>3036</v>
      </c>
      <c r="E647" s="134" t="s">
        <v>12</v>
      </c>
      <c r="F647" s="137" t="s">
        <v>10</v>
      </c>
      <c r="G647" s="134" t="s">
        <v>20</v>
      </c>
      <c r="H647" s="140">
        <v>220</v>
      </c>
    </row>
    <row r="648" spans="1:8">
      <c r="A648" s="134">
        <v>648</v>
      </c>
      <c r="B648" s="134" t="s">
        <v>1818</v>
      </c>
      <c r="C648" s="137" t="s">
        <v>3037</v>
      </c>
      <c r="D648" s="137" t="s">
        <v>3038</v>
      </c>
      <c r="E648" s="137" t="s">
        <v>6</v>
      </c>
      <c r="F648" s="137" t="s">
        <v>7</v>
      </c>
      <c r="G648" s="137" t="s">
        <v>8</v>
      </c>
      <c r="H648" s="138">
        <v>220</v>
      </c>
    </row>
    <row r="649" spans="1:8">
      <c r="A649" s="134">
        <v>649</v>
      </c>
      <c r="B649" s="134" t="s">
        <v>1818</v>
      </c>
      <c r="C649" s="137" t="s">
        <v>3039</v>
      </c>
      <c r="D649" s="137" t="s">
        <v>3040</v>
      </c>
      <c r="E649" s="137" t="s">
        <v>14</v>
      </c>
      <c r="F649" s="137" t="s">
        <v>7</v>
      </c>
      <c r="G649" s="137" t="s">
        <v>13</v>
      </c>
      <c r="H649" s="138">
        <v>232</v>
      </c>
    </row>
    <row r="650" spans="1:8">
      <c r="A650" s="134">
        <v>650</v>
      </c>
      <c r="B650" s="134" t="s">
        <v>1818</v>
      </c>
      <c r="C650" s="137" t="s">
        <v>3041</v>
      </c>
      <c r="D650" s="137" t="s">
        <v>3042</v>
      </c>
      <c r="E650" s="137" t="s">
        <v>6</v>
      </c>
      <c r="F650" s="137" t="s">
        <v>7</v>
      </c>
      <c r="G650" s="137" t="s">
        <v>8</v>
      </c>
      <c r="H650" s="138">
        <v>190</v>
      </c>
    </row>
    <row r="651" spans="1:8">
      <c r="A651" s="134">
        <v>651</v>
      </c>
      <c r="B651" s="134" t="s">
        <v>1818</v>
      </c>
      <c r="C651" s="137" t="s">
        <v>3043</v>
      </c>
      <c r="D651" s="137" t="s">
        <v>3044</v>
      </c>
      <c r="E651" s="137" t="s">
        <v>14</v>
      </c>
      <c r="F651" s="137" t="s">
        <v>10</v>
      </c>
      <c r="G651" s="137" t="s">
        <v>8</v>
      </c>
      <c r="H651" s="138">
        <v>232</v>
      </c>
    </row>
    <row r="652" spans="1:8">
      <c r="A652" s="134">
        <v>652</v>
      </c>
      <c r="B652" s="134" t="s">
        <v>1818</v>
      </c>
      <c r="C652" s="137" t="s">
        <v>3045</v>
      </c>
      <c r="D652" s="137" t="s">
        <v>3046</v>
      </c>
      <c r="E652" s="137" t="s">
        <v>6</v>
      </c>
      <c r="F652" s="137" t="s">
        <v>10</v>
      </c>
      <c r="G652" s="137" t="s">
        <v>8</v>
      </c>
      <c r="H652" s="138">
        <v>220</v>
      </c>
    </row>
    <row r="653" spans="1:8">
      <c r="A653" s="134">
        <v>653</v>
      </c>
      <c r="B653" s="134" t="s">
        <v>1818</v>
      </c>
      <c r="C653" s="137" t="s">
        <v>3047</v>
      </c>
      <c r="D653" s="137" t="s">
        <v>3048</v>
      </c>
      <c r="E653" s="137" t="s">
        <v>18</v>
      </c>
      <c r="F653" s="137" t="s">
        <v>10</v>
      </c>
      <c r="G653" s="137" t="s">
        <v>13</v>
      </c>
      <c r="H653" s="138">
        <v>322</v>
      </c>
    </row>
    <row r="654" spans="1:8">
      <c r="A654" s="134">
        <v>654</v>
      </c>
      <c r="B654" s="134" t="s">
        <v>1818</v>
      </c>
      <c r="C654" s="137" t="s">
        <v>3049</v>
      </c>
      <c r="D654" s="137" t="s">
        <v>3050</v>
      </c>
      <c r="E654" s="137" t="s">
        <v>18</v>
      </c>
      <c r="F654" s="137" t="s">
        <v>7</v>
      </c>
      <c r="G654" s="137" t="s">
        <v>13</v>
      </c>
      <c r="H654" s="138">
        <v>190</v>
      </c>
    </row>
    <row r="655" spans="1:8">
      <c r="A655" s="134">
        <v>655</v>
      </c>
      <c r="B655" s="134" t="s">
        <v>1818</v>
      </c>
      <c r="C655" s="146" t="s">
        <v>3051</v>
      </c>
      <c r="D655" s="146" t="s">
        <v>3052</v>
      </c>
      <c r="E655" s="134" t="s">
        <v>18</v>
      </c>
      <c r="F655" s="134" t="s">
        <v>7</v>
      </c>
      <c r="G655" s="146" t="s">
        <v>8</v>
      </c>
      <c r="H655" s="140">
        <v>180</v>
      </c>
    </row>
    <row r="656" spans="1:8">
      <c r="A656" s="134">
        <v>656</v>
      </c>
      <c r="B656" s="134" t="s">
        <v>1818</v>
      </c>
      <c r="C656" s="137" t="s">
        <v>3053</v>
      </c>
      <c r="D656" s="137" t="s">
        <v>3054</v>
      </c>
      <c r="E656" s="137" t="s">
        <v>6</v>
      </c>
      <c r="F656" s="137" t="s">
        <v>7</v>
      </c>
      <c r="G656" s="137" t="s">
        <v>8</v>
      </c>
      <c r="H656" s="138">
        <v>190</v>
      </c>
    </row>
    <row r="657" spans="1:9">
      <c r="A657" s="134">
        <v>657</v>
      </c>
      <c r="B657" s="134" t="s">
        <v>1818</v>
      </c>
      <c r="C657" s="137" t="s">
        <v>3055</v>
      </c>
      <c r="D657" s="137" t="s">
        <v>2737</v>
      </c>
      <c r="E657" s="137" t="s">
        <v>12</v>
      </c>
      <c r="F657" s="137" t="s">
        <v>7</v>
      </c>
      <c r="G657" s="137" t="s">
        <v>8</v>
      </c>
      <c r="H657" s="138">
        <v>180</v>
      </c>
    </row>
    <row r="658" spans="1:9">
      <c r="A658" s="134">
        <v>658</v>
      </c>
      <c r="B658" s="134" t="s">
        <v>1818</v>
      </c>
      <c r="C658" s="146" t="s">
        <v>3056</v>
      </c>
      <c r="D658" s="146" t="s">
        <v>3057</v>
      </c>
      <c r="E658" s="134" t="s">
        <v>9</v>
      </c>
      <c r="F658" s="134" t="s">
        <v>7</v>
      </c>
      <c r="G658" s="146" t="s">
        <v>8</v>
      </c>
      <c r="H658" s="140">
        <v>190</v>
      </c>
    </row>
    <row r="659" spans="1:9">
      <c r="A659" s="134">
        <v>659</v>
      </c>
      <c r="B659" s="134" t="s">
        <v>1818</v>
      </c>
      <c r="C659" s="134" t="s">
        <v>3058</v>
      </c>
      <c r="D659" s="134" t="s">
        <v>3059</v>
      </c>
      <c r="E659" s="134" t="s">
        <v>6</v>
      </c>
      <c r="F659" s="134" t="s">
        <v>7</v>
      </c>
      <c r="G659" s="134" t="s">
        <v>8</v>
      </c>
      <c r="H659" s="140">
        <v>180</v>
      </c>
    </row>
    <row r="660" spans="1:9">
      <c r="A660" s="134">
        <v>660</v>
      </c>
      <c r="B660" s="134" t="s">
        <v>1818</v>
      </c>
      <c r="C660" s="149" t="s">
        <v>3060</v>
      </c>
      <c r="D660" s="134" t="s">
        <v>3061</v>
      </c>
      <c r="E660" s="134" t="s">
        <v>6</v>
      </c>
      <c r="F660" s="134" t="s">
        <v>7</v>
      </c>
      <c r="G660" s="147" t="s">
        <v>8</v>
      </c>
      <c r="H660" s="154">
        <v>220</v>
      </c>
    </row>
    <row r="661" spans="1:9">
      <c r="A661" s="134">
        <v>661</v>
      </c>
      <c r="B661" s="134" t="s">
        <v>1818</v>
      </c>
      <c r="C661" s="134" t="s">
        <v>3062</v>
      </c>
      <c r="D661" s="134" t="s">
        <v>3063</v>
      </c>
      <c r="E661" s="134" t="s">
        <v>6</v>
      </c>
      <c r="F661" s="134" t="s">
        <v>7</v>
      </c>
      <c r="G661" s="134" t="s">
        <v>8</v>
      </c>
      <c r="H661" s="140">
        <v>220</v>
      </c>
    </row>
    <row r="662" spans="1:9">
      <c r="A662" s="134">
        <v>662</v>
      </c>
      <c r="B662" s="134" t="s">
        <v>1818</v>
      </c>
      <c r="C662" s="134" t="s">
        <v>3064</v>
      </c>
      <c r="D662" s="134" t="s">
        <v>2735</v>
      </c>
      <c r="E662" s="134" t="s">
        <v>6</v>
      </c>
      <c r="F662" s="134" t="s">
        <v>7</v>
      </c>
      <c r="G662" s="134" t="s">
        <v>8</v>
      </c>
      <c r="H662" s="140">
        <v>180</v>
      </c>
    </row>
    <row r="663" spans="1:9" ht="15" customHeight="1">
      <c r="A663" s="134">
        <v>663</v>
      </c>
      <c r="B663" s="134" t="s">
        <v>1818</v>
      </c>
      <c r="C663" s="134" t="s">
        <v>3065</v>
      </c>
      <c r="D663" s="134" t="s">
        <v>3066</v>
      </c>
      <c r="E663" s="134" t="s">
        <v>6</v>
      </c>
      <c r="F663" s="134" t="s">
        <v>7</v>
      </c>
      <c r="G663" s="134" t="s">
        <v>8</v>
      </c>
      <c r="H663" s="140">
        <v>227</v>
      </c>
    </row>
    <row r="664" spans="1:9">
      <c r="A664" s="134">
        <v>664</v>
      </c>
      <c r="B664" s="134" t="s">
        <v>1818</v>
      </c>
      <c r="C664" s="134" t="s">
        <v>3067</v>
      </c>
      <c r="D664" s="134" t="s">
        <v>3068</v>
      </c>
      <c r="E664" s="134" t="s">
        <v>9</v>
      </c>
      <c r="F664" s="137" t="s">
        <v>7</v>
      </c>
      <c r="G664" s="134" t="s">
        <v>20</v>
      </c>
      <c r="H664" s="140">
        <v>260</v>
      </c>
    </row>
    <row r="665" spans="1:9" s="158" customFormat="1" ht="33">
      <c r="A665" s="158">
        <v>665</v>
      </c>
      <c r="B665" s="134" t="s">
        <v>1818</v>
      </c>
      <c r="C665" s="158" t="s">
        <v>3069</v>
      </c>
      <c r="D665" s="158" t="s">
        <v>3070</v>
      </c>
      <c r="F665" s="158" t="s">
        <v>10</v>
      </c>
      <c r="G665" s="158" t="s">
        <v>13</v>
      </c>
      <c r="H665" s="159"/>
      <c r="I665" s="158" t="s">
        <v>42</v>
      </c>
    </row>
    <row r="666" spans="1:9">
      <c r="A666" s="134">
        <v>666</v>
      </c>
      <c r="B666" s="134" t="s">
        <v>1818</v>
      </c>
      <c r="C666" s="137" t="s">
        <v>3071</v>
      </c>
      <c r="D666" s="137" t="s">
        <v>3072</v>
      </c>
      <c r="E666" s="137" t="s">
        <v>6</v>
      </c>
      <c r="F666" s="137" t="s">
        <v>7</v>
      </c>
      <c r="G666" s="137" t="s">
        <v>8</v>
      </c>
      <c r="H666" s="138">
        <v>190</v>
      </c>
    </row>
    <row r="667" spans="1:9">
      <c r="A667" s="134">
        <v>667</v>
      </c>
      <c r="B667" s="134" t="s">
        <v>1818</v>
      </c>
      <c r="C667" s="137" t="s">
        <v>3073</v>
      </c>
      <c r="D667" s="137" t="s">
        <v>3074</v>
      </c>
      <c r="E667" s="137" t="s">
        <v>18</v>
      </c>
      <c r="F667" s="137" t="s">
        <v>7</v>
      </c>
      <c r="G667" s="137" t="s">
        <v>8</v>
      </c>
      <c r="H667" s="138">
        <v>180</v>
      </c>
    </row>
    <row r="668" spans="1:9">
      <c r="A668" s="134">
        <v>668</v>
      </c>
      <c r="B668" s="134" t="s">
        <v>1818</v>
      </c>
      <c r="C668" s="137" t="s">
        <v>3075</v>
      </c>
      <c r="D668" s="137" t="s">
        <v>3076</v>
      </c>
      <c r="E668" s="137" t="s">
        <v>18</v>
      </c>
      <c r="F668" s="137" t="s">
        <v>7</v>
      </c>
      <c r="G668" s="137" t="s">
        <v>8</v>
      </c>
      <c r="H668" s="138">
        <v>232</v>
      </c>
    </row>
    <row r="669" spans="1:9">
      <c r="A669" s="134">
        <v>669</v>
      </c>
      <c r="B669" s="134" t="s">
        <v>1818</v>
      </c>
      <c r="C669" s="146" t="s">
        <v>3077</v>
      </c>
      <c r="D669" s="146" t="s">
        <v>3078</v>
      </c>
      <c r="G669" s="146" t="s">
        <v>8</v>
      </c>
      <c r="H669" s="140">
        <v>180</v>
      </c>
    </row>
    <row r="670" spans="1:9">
      <c r="A670" s="134">
        <v>670</v>
      </c>
      <c r="B670" s="134" t="s">
        <v>1818</v>
      </c>
      <c r="C670" s="137" t="s">
        <v>3079</v>
      </c>
      <c r="D670" s="137" t="s">
        <v>2722</v>
      </c>
      <c r="E670" s="137" t="s">
        <v>6</v>
      </c>
      <c r="F670" s="137" t="s">
        <v>7</v>
      </c>
      <c r="G670" s="137" t="s">
        <v>8</v>
      </c>
      <c r="H670" s="138">
        <v>180</v>
      </c>
    </row>
    <row r="671" spans="1:9">
      <c r="A671" s="134">
        <v>671</v>
      </c>
      <c r="B671" s="134" t="s">
        <v>1818</v>
      </c>
      <c r="C671" s="134" t="s">
        <v>3080</v>
      </c>
      <c r="D671" s="135" t="s">
        <v>3081</v>
      </c>
      <c r="E671" s="134" t="s">
        <v>16</v>
      </c>
      <c r="F671" s="134" t="s">
        <v>7</v>
      </c>
      <c r="G671" s="134" t="s">
        <v>8</v>
      </c>
      <c r="H671" s="136">
        <v>180</v>
      </c>
    </row>
    <row r="672" spans="1:9">
      <c r="A672" s="134">
        <v>672</v>
      </c>
      <c r="B672" s="134" t="s">
        <v>1818</v>
      </c>
      <c r="C672" s="137" t="s">
        <v>3082</v>
      </c>
      <c r="D672" s="137" t="s">
        <v>3083</v>
      </c>
      <c r="E672" s="137" t="s">
        <v>6</v>
      </c>
      <c r="F672" s="137" t="s">
        <v>7</v>
      </c>
      <c r="G672" s="137" t="s">
        <v>8</v>
      </c>
      <c r="H672" s="138">
        <v>190</v>
      </c>
    </row>
    <row r="673" spans="1:8">
      <c r="A673" s="134">
        <v>673</v>
      </c>
      <c r="B673" s="134" t="s">
        <v>1818</v>
      </c>
      <c r="C673" s="137" t="s">
        <v>3084</v>
      </c>
      <c r="D673" s="137" t="s">
        <v>3085</v>
      </c>
      <c r="E673" s="137" t="s">
        <v>6</v>
      </c>
      <c r="F673" s="137" t="s">
        <v>7</v>
      </c>
      <c r="G673" s="137" t="s">
        <v>8</v>
      </c>
      <c r="H673" s="138">
        <v>180</v>
      </c>
    </row>
    <row r="674" spans="1:8">
      <c r="A674" s="134">
        <v>674</v>
      </c>
      <c r="B674" s="134" t="s">
        <v>1818</v>
      </c>
      <c r="C674" s="134" t="s">
        <v>3086</v>
      </c>
      <c r="D674" s="134" t="s">
        <v>3087</v>
      </c>
      <c r="E674" s="134" t="s">
        <v>9</v>
      </c>
      <c r="F674" s="134" t="s">
        <v>7</v>
      </c>
      <c r="G674" s="134" t="s">
        <v>8</v>
      </c>
      <c r="H674" s="140">
        <v>180</v>
      </c>
    </row>
    <row r="675" spans="1:8">
      <c r="A675" s="134">
        <v>675</v>
      </c>
      <c r="B675" s="134" t="s">
        <v>1818</v>
      </c>
      <c r="C675" s="134" t="s">
        <v>3088</v>
      </c>
      <c r="D675" s="197" t="s">
        <v>3089</v>
      </c>
      <c r="H675" s="136">
        <v>180</v>
      </c>
    </row>
    <row r="676" spans="1:8">
      <c r="A676" s="134">
        <v>676</v>
      </c>
      <c r="B676" s="134" t="s">
        <v>1818</v>
      </c>
      <c r="C676" s="137" t="s">
        <v>3090</v>
      </c>
      <c r="D676" s="137" t="s">
        <v>2118</v>
      </c>
      <c r="E676" s="137" t="s">
        <v>15</v>
      </c>
      <c r="F676" s="137" t="s">
        <v>7</v>
      </c>
      <c r="G676" s="137" t="s">
        <v>8</v>
      </c>
      <c r="H676" s="138">
        <v>190</v>
      </c>
    </row>
    <row r="677" spans="1:8">
      <c r="A677" s="134">
        <v>677</v>
      </c>
      <c r="B677" s="134" t="s">
        <v>1818</v>
      </c>
      <c r="C677" s="134" t="s">
        <v>3091</v>
      </c>
      <c r="D677" s="134" t="s">
        <v>3092</v>
      </c>
      <c r="E677" s="134" t="s">
        <v>14</v>
      </c>
      <c r="F677" s="134" t="s">
        <v>10</v>
      </c>
      <c r="G677" s="134" t="s">
        <v>8</v>
      </c>
      <c r="H677" s="140">
        <v>220</v>
      </c>
    </row>
    <row r="678" spans="1:8">
      <c r="A678" s="134">
        <v>678</v>
      </c>
      <c r="B678" s="134" t="s">
        <v>1818</v>
      </c>
      <c r="C678" s="134" t="s">
        <v>3093</v>
      </c>
      <c r="D678" s="134" t="s">
        <v>3094</v>
      </c>
      <c r="E678" s="134" t="s">
        <v>14</v>
      </c>
      <c r="F678" s="134" t="s">
        <v>7</v>
      </c>
      <c r="G678" s="134" t="s">
        <v>8</v>
      </c>
      <c r="H678" s="140">
        <v>220</v>
      </c>
    </row>
    <row r="679" spans="1:8">
      <c r="A679" s="134">
        <v>679</v>
      </c>
      <c r="B679" s="134" t="s">
        <v>1818</v>
      </c>
      <c r="C679" s="134" t="s">
        <v>3095</v>
      </c>
      <c r="D679" s="134" t="s">
        <v>3096</v>
      </c>
      <c r="E679" s="134" t="s">
        <v>6</v>
      </c>
      <c r="F679" s="134" t="s">
        <v>10</v>
      </c>
      <c r="G679" s="134" t="s">
        <v>8</v>
      </c>
      <c r="H679" s="140">
        <v>220</v>
      </c>
    </row>
    <row r="680" spans="1:8">
      <c r="A680" s="134">
        <v>680</v>
      </c>
      <c r="B680" s="134" t="s">
        <v>1818</v>
      </c>
      <c r="C680" s="146" t="s">
        <v>3097</v>
      </c>
      <c r="D680" s="146" t="s">
        <v>3098</v>
      </c>
      <c r="G680" s="146" t="s">
        <v>8</v>
      </c>
      <c r="H680" s="140">
        <v>180</v>
      </c>
    </row>
    <row r="681" spans="1:8" ht="23.25" customHeight="1">
      <c r="A681" s="134">
        <v>681</v>
      </c>
      <c r="B681" s="134" t="s">
        <v>1818</v>
      </c>
      <c r="C681" s="146" t="s">
        <v>3099</v>
      </c>
      <c r="D681" s="146" t="s">
        <v>2186</v>
      </c>
      <c r="E681" s="134" t="s">
        <v>14</v>
      </c>
      <c r="F681" s="134" t="s">
        <v>7</v>
      </c>
      <c r="G681" s="146" t="s">
        <v>8</v>
      </c>
      <c r="H681" s="136">
        <v>232</v>
      </c>
    </row>
    <row r="682" spans="1:8">
      <c r="A682" s="134">
        <v>682</v>
      </c>
      <c r="B682" s="134" t="s">
        <v>1818</v>
      </c>
      <c r="C682" s="137" t="s">
        <v>3100</v>
      </c>
      <c r="D682" s="137" t="s">
        <v>2084</v>
      </c>
      <c r="E682" s="137" t="s">
        <v>18</v>
      </c>
      <c r="F682" s="137" t="s">
        <v>7</v>
      </c>
      <c r="G682" s="137" t="s">
        <v>8</v>
      </c>
      <c r="H682" s="138">
        <v>190</v>
      </c>
    </row>
    <row r="683" spans="1:8">
      <c r="A683" s="134">
        <v>683</v>
      </c>
      <c r="B683" s="134" t="s">
        <v>1818</v>
      </c>
      <c r="C683" s="137" t="s">
        <v>3101</v>
      </c>
      <c r="D683" s="137" t="s">
        <v>1953</v>
      </c>
      <c r="E683" s="137" t="s">
        <v>6</v>
      </c>
      <c r="F683" s="137" t="s">
        <v>7</v>
      </c>
      <c r="G683" s="137" t="s">
        <v>8</v>
      </c>
      <c r="H683" s="138">
        <v>190</v>
      </c>
    </row>
    <row r="684" spans="1:8">
      <c r="A684" s="134">
        <v>684</v>
      </c>
      <c r="B684" s="134" t="s">
        <v>1818</v>
      </c>
      <c r="C684" s="137" t="s">
        <v>3102</v>
      </c>
      <c r="D684" s="137" t="s">
        <v>3103</v>
      </c>
      <c r="E684" s="137" t="s">
        <v>6</v>
      </c>
      <c r="F684" s="137" t="s">
        <v>7</v>
      </c>
      <c r="G684" s="137" t="s">
        <v>8</v>
      </c>
      <c r="H684" s="138">
        <v>232</v>
      </c>
    </row>
    <row r="685" spans="1:8">
      <c r="A685" s="134">
        <v>685</v>
      </c>
      <c r="B685" s="134" t="s">
        <v>1818</v>
      </c>
      <c r="C685" s="139" t="s">
        <v>3104</v>
      </c>
      <c r="D685" s="134" t="s">
        <v>3105</v>
      </c>
      <c r="E685" s="134" t="s">
        <v>12</v>
      </c>
      <c r="F685" s="134" t="s">
        <v>7</v>
      </c>
      <c r="G685" s="134" t="s">
        <v>8</v>
      </c>
      <c r="H685" s="141">
        <v>180</v>
      </c>
    </row>
    <row r="686" spans="1:8">
      <c r="A686" s="134">
        <v>686</v>
      </c>
      <c r="B686" s="134" t="s">
        <v>1818</v>
      </c>
      <c r="C686" s="134" t="s">
        <v>3106</v>
      </c>
      <c r="D686" s="135" t="s">
        <v>3107</v>
      </c>
      <c r="F686" s="134" t="s">
        <v>10</v>
      </c>
      <c r="H686" s="136">
        <v>260</v>
      </c>
    </row>
    <row r="687" spans="1:8">
      <c r="A687" s="134">
        <v>687</v>
      </c>
      <c r="B687" s="134" t="s">
        <v>1818</v>
      </c>
      <c r="C687" s="137" t="s">
        <v>3108</v>
      </c>
      <c r="D687" s="137" t="s">
        <v>3109</v>
      </c>
      <c r="E687" s="137" t="s">
        <v>6</v>
      </c>
      <c r="F687" s="137" t="s">
        <v>7</v>
      </c>
      <c r="G687" s="137" t="s">
        <v>13</v>
      </c>
      <c r="H687" s="138">
        <v>190</v>
      </c>
    </row>
    <row r="688" spans="1:8">
      <c r="A688" s="134">
        <v>688</v>
      </c>
      <c r="B688" s="134" t="s">
        <v>1818</v>
      </c>
      <c r="C688" s="149" t="s">
        <v>3110</v>
      </c>
      <c r="D688" s="134" t="s">
        <v>3111</v>
      </c>
      <c r="G688" s="147" t="s">
        <v>8</v>
      </c>
      <c r="H688" s="154">
        <v>260</v>
      </c>
    </row>
    <row r="689" spans="1:8">
      <c r="A689" s="134">
        <v>689</v>
      </c>
      <c r="B689" s="134" t="s">
        <v>1818</v>
      </c>
      <c r="C689" s="134" t="s">
        <v>3112</v>
      </c>
      <c r="D689" s="134" t="s">
        <v>3113</v>
      </c>
      <c r="E689" s="134" t="s">
        <v>12</v>
      </c>
      <c r="F689" s="137" t="s">
        <v>10</v>
      </c>
      <c r="G689" s="134" t="s">
        <v>20</v>
      </c>
      <c r="H689" s="140">
        <v>220</v>
      </c>
    </row>
    <row r="690" spans="1:8">
      <c r="A690" s="134">
        <v>690</v>
      </c>
      <c r="B690" s="134" t="s">
        <v>1818</v>
      </c>
      <c r="C690" s="137" t="s">
        <v>3114</v>
      </c>
      <c r="D690" s="137" t="s">
        <v>3115</v>
      </c>
      <c r="E690" s="137" t="s">
        <v>18</v>
      </c>
      <c r="F690" s="137" t="s">
        <v>7</v>
      </c>
      <c r="G690" s="137" t="s">
        <v>8</v>
      </c>
      <c r="H690" s="138">
        <v>232</v>
      </c>
    </row>
    <row r="691" spans="1:8">
      <c r="A691" s="134">
        <v>691</v>
      </c>
      <c r="B691" s="134" t="s">
        <v>1818</v>
      </c>
      <c r="C691" s="134" t="s">
        <v>3116</v>
      </c>
      <c r="D691" s="135" t="s">
        <v>3117</v>
      </c>
      <c r="E691" s="134" t="s">
        <v>9</v>
      </c>
      <c r="F691" s="134" t="s">
        <v>7</v>
      </c>
      <c r="G691" s="134" t="s">
        <v>8</v>
      </c>
      <c r="H691" s="136">
        <v>180</v>
      </c>
    </row>
    <row r="692" spans="1:8">
      <c r="A692" s="134">
        <v>692</v>
      </c>
      <c r="B692" s="134" t="s">
        <v>1818</v>
      </c>
      <c r="C692" s="137" t="s">
        <v>3118</v>
      </c>
      <c r="D692" s="137" t="s">
        <v>3119</v>
      </c>
      <c r="E692" s="137" t="s">
        <v>18</v>
      </c>
      <c r="F692" s="137" t="s">
        <v>7</v>
      </c>
      <c r="G692" s="137" t="s">
        <v>8</v>
      </c>
      <c r="H692" s="138">
        <v>232</v>
      </c>
    </row>
    <row r="693" spans="1:8">
      <c r="A693" s="134">
        <v>693</v>
      </c>
      <c r="B693" s="134" t="s">
        <v>1818</v>
      </c>
      <c r="C693" s="134" t="s">
        <v>3120</v>
      </c>
      <c r="D693" s="134" t="s">
        <v>3121</v>
      </c>
      <c r="E693" s="134" t="s">
        <v>9</v>
      </c>
      <c r="F693" s="134" t="s">
        <v>7</v>
      </c>
      <c r="G693" s="134" t="s">
        <v>8</v>
      </c>
      <c r="H693" s="140">
        <v>190</v>
      </c>
    </row>
    <row r="694" spans="1:8">
      <c r="A694" s="134">
        <v>694</v>
      </c>
      <c r="B694" s="134" t="s">
        <v>1818</v>
      </c>
      <c r="C694" s="137" t="s">
        <v>3122</v>
      </c>
      <c r="D694" s="137"/>
      <c r="E694" s="137" t="s">
        <v>14</v>
      </c>
      <c r="F694" s="137" t="s">
        <v>7</v>
      </c>
      <c r="G694" s="137" t="s">
        <v>8</v>
      </c>
      <c r="H694" s="138">
        <v>232</v>
      </c>
    </row>
    <row r="695" spans="1:8">
      <c r="A695" s="134">
        <v>695</v>
      </c>
      <c r="B695" s="134" t="s">
        <v>1818</v>
      </c>
      <c r="C695" s="137" t="s">
        <v>3123</v>
      </c>
      <c r="D695" s="137" t="s">
        <v>3124</v>
      </c>
      <c r="E695" s="137" t="s">
        <v>6</v>
      </c>
      <c r="F695" s="137" t="s">
        <v>7</v>
      </c>
      <c r="G695" s="137" t="s">
        <v>8</v>
      </c>
      <c r="H695" s="138">
        <v>232</v>
      </c>
    </row>
    <row r="696" spans="1:8">
      <c r="A696" s="134">
        <v>696</v>
      </c>
      <c r="B696" s="134" t="s">
        <v>1818</v>
      </c>
      <c r="C696" s="139" t="s">
        <v>3125</v>
      </c>
      <c r="D696" s="134" t="s">
        <v>3126</v>
      </c>
      <c r="G696" s="134" t="s">
        <v>8</v>
      </c>
      <c r="H696" s="141">
        <v>260</v>
      </c>
    </row>
    <row r="697" spans="1:8">
      <c r="A697" s="134">
        <v>697</v>
      </c>
      <c r="B697" s="134" t="s">
        <v>1818</v>
      </c>
      <c r="C697" s="137" t="s">
        <v>3127</v>
      </c>
      <c r="D697" s="137" t="s">
        <v>3128</v>
      </c>
      <c r="E697" s="137" t="s">
        <v>6</v>
      </c>
      <c r="F697" s="137" t="s">
        <v>10</v>
      </c>
      <c r="G697" s="137" t="s">
        <v>8</v>
      </c>
      <c r="H697" s="138">
        <v>190</v>
      </c>
    </row>
    <row r="698" spans="1:8">
      <c r="A698" s="134">
        <v>698</v>
      </c>
      <c r="B698" s="134" t="s">
        <v>1818</v>
      </c>
      <c r="C698" s="146" t="s">
        <v>3129</v>
      </c>
      <c r="D698" s="146" t="s">
        <v>3130</v>
      </c>
      <c r="E698" s="134" t="s">
        <v>14</v>
      </c>
      <c r="F698" s="134" t="s">
        <v>7</v>
      </c>
      <c r="G698" s="146" t="s">
        <v>8</v>
      </c>
      <c r="H698" s="140">
        <v>180</v>
      </c>
    </row>
    <row r="699" spans="1:8">
      <c r="A699" s="134">
        <v>699</v>
      </c>
      <c r="B699" s="134" t="s">
        <v>1818</v>
      </c>
      <c r="C699" s="137" t="s">
        <v>3131</v>
      </c>
      <c r="D699" s="137" t="s">
        <v>3132</v>
      </c>
      <c r="E699" s="137" t="s">
        <v>6</v>
      </c>
      <c r="F699" s="137" t="s">
        <v>7</v>
      </c>
      <c r="G699" s="137" t="s">
        <v>8</v>
      </c>
      <c r="H699" s="138">
        <v>232</v>
      </c>
    </row>
    <row r="700" spans="1:8">
      <c r="A700" s="134">
        <v>700</v>
      </c>
      <c r="B700" s="134" t="s">
        <v>1818</v>
      </c>
      <c r="C700" s="134" t="s">
        <v>3133</v>
      </c>
      <c r="D700" s="134" t="s">
        <v>3134</v>
      </c>
      <c r="E700" s="134" t="s">
        <v>12</v>
      </c>
      <c r="F700" s="134" t="s">
        <v>7</v>
      </c>
      <c r="G700" s="134" t="s">
        <v>8</v>
      </c>
      <c r="H700" s="140">
        <v>200</v>
      </c>
    </row>
    <row r="701" spans="1:8">
      <c r="A701" s="134">
        <v>701</v>
      </c>
      <c r="B701" s="134" t="s">
        <v>1818</v>
      </c>
      <c r="C701" s="137" t="s">
        <v>3135</v>
      </c>
      <c r="D701" s="137" t="s">
        <v>3136</v>
      </c>
      <c r="E701" s="137" t="s">
        <v>6</v>
      </c>
      <c r="F701" s="137" t="s">
        <v>10</v>
      </c>
      <c r="G701" s="137" t="s">
        <v>8</v>
      </c>
      <c r="H701" s="138">
        <v>190</v>
      </c>
    </row>
    <row r="702" spans="1:8">
      <c r="A702" s="134">
        <v>702</v>
      </c>
      <c r="B702" s="134" t="s">
        <v>1818</v>
      </c>
      <c r="C702" s="147" t="s">
        <v>3137</v>
      </c>
      <c r="D702" s="147" t="s">
        <v>3138</v>
      </c>
      <c r="E702" s="147" t="s">
        <v>14</v>
      </c>
      <c r="F702" s="147" t="s">
        <v>7</v>
      </c>
      <c r="G702" s="147" t="s">
        <v>8</v>
      </c>
      <c r="H702" s="148">
        <v>227</v>
      </c>
    </row>
    <row r="703" spans="1:8">
      <c r="A703" s="134">
        <v>703</v>
      </c>
      <c r="B703" s="134" t="s">
        <v>1818</v>
      </c>
      <c r="C703" s="139" t="s">
        <v>3139</v>
      </c>
      <c r="D703" s="139" t="s">
        <v>3140</v>
      </c>
      <c r="F703" s="137" t="s">
        <v>10</v>
      </c>
      <c r="G703" s="134" t="s">
        <v>11</v>
      </c>
      <c r="H703" s="140">
        <v>260</v>
      </c>
    </row>
    <row r="704" spans="1:8">
      <c r="A704" s="134">
        <v>704</v>
      </c>
      <c r="B704" s="134" t="s">
        <v>1818</v>
      </c>
      <c r="C704" s="137" t="s">
        <v>3141</v>
      </c>
      <c r="D704" s="137" t="s">
        <v>3142</v>
      </c>
      <c r="E704" s="137" t="s">
        <v>6</v>
      </c>
      <c r="F704" s="137" t="s">
        <v>7</v>
      </c>
      <c r="G704" s="137" t="s">
        <v>8</v>
      </c>
      <c r="H704" s="138">
        <v>180</v>
      </c>
    </row>
    <row r="705" spans="1:8">
      <c r="A705" s="134">
        <v>705</v>
      </c>
      <c r="B705" s="134" t="s">
        <v>1818</v>
      </c>
      <c r="C705" s="149" t="s">
        <v>3143</v>
      </c>
      <c r="D705" s="134" t="s">
        <v>3144</v>
      </c>
      <c r="G705" s="147" t="s">
        <v>8</v>
      </c>
      <c r="H705" s="154">
        <v>215</v>
      </c>
    </row>
    <row r="706" spans="1:8" ht="33">
      <c r="A706" s="134">
        <v>706</v>
      </c>
      <c r="B706" s="134" t="s">
        <v>1818</v>
      </c>
      <c r="C706" s="134" t="s">
        <v>3145</v>
      </c>
      <c r="D706" s="135" t="s">
        <v>3146</v>
      </c>
      <c r="E706" s="134" t="s">
        <v>14</v>
      </c>
      <c r="F706" s="134" t="s">
        <v>7</v>
      </c>
      <c r="G706" s="134" t="s">
        <v>8</v>
      </c>
      <c r="H706" s="136">
        <v>220</v>
      </c>
    </row>
    <row r="707" spans="1:8">
      <c r="A707" s="134">
        <v>707</v>
      </c>
      <c r="B707" s="134" t="s">
        <v>1818</v>
      </c>
      <c r="C707" s="134" t="s">
        <v>3147</v>
      </c>
      <c r="D707" s="134" t="s">
        <v>3148</v>
      </c>
      <c r="E707" s="134" t="s">
        <v>14</v>
      </c>
      <c r="F707" s="134" t="s">
        <v>7</v>
      </c>
      <c r="G707" s="134" t="s">
        <v>8</v>
      </c>
      <c r="H707" s="140">
        <v>180</v>
      </c>
    </row>
    <row r="708" spans="1:8">
      <c r="A708" s="134">
        <v>708</v>
      </c>
      <c r="B708" s="134" t="s">
        <v>1818</v>
      </c>
      <c r="C708" s="137" t="s">
        <v>3149</v>
      </c>
      <c r="D708" s="137" t="s">
        <v>3150</v>
      </c>
      <c r="E708" s="137" t="s">
        <v>14</v>
      </c>
      <c r="F708" s="137" t="s">
        <v>7</v>
      </c>
      <c r="G708" s="137" t="s">
        <v>8</v>
      </c>
      <c r="H708" s="138">
        <v>232</v>
      </c>
    </row>
    <row r="709" spans="1:8">
      <c r="A709" s="134">
        <v>709</v>
      </c>
      <c r="B709" s="134" t="s">
        <v>1818</v>
      </c>
      <c r="C709" s="137" t="s">
        <v>3151</v>
      </c>
      <c r="D709" s="137" t="s">
        <v>3152</v>
      </c>
      <c r="E709" s="137" t="s">
        <v>6</v>
      </c>
      <c r="F709" s="137" t="s">
        <v>7</v>
      </c>
      <c r="G709" s="137" t="s">
        <v>8</v>
      </c>
      <c r="H709" s="138">
        <v>190</v>
      </c>
    </row>
    <row r="710" spans="1:8">
      <c r="A710" s="134">
        <v>710</v>
      </c>
      <c r="B710" s="134" t="s">
        <v>1818</v>
      </c>
      <c r="C710" s="137" t="s">
        <v>3153</v>
      </c>
      <c r="D710" s="137" t="s">
        <v>2697</v>
      </c>
      <c r="E710" s="137" t="s">
        <v>6</v>
      </c>
      <c r="F710" s="137" t="s">
        <v>7</v>
      </c>
      <c r="G710" s="137" t="s">
        <v>8</v>
      </c>
      <c r="H710" s="138">
        <v>190</v>
      </c>
    </row>
    <row r="711" spans="1:8" ht="33">
      <c r="A711" s="134">
        <v>711</v>
      </c>
      <c r="B711" s="134" t="s">
        <v>1818</v>
      </c>
      <c r="C711" s="137" t="s">
        <v>3154</v>
      </c>
      <c r="D711" s="137" t="s">
        <v>3155</v>
      </c>
      <c r="E711" s="137" t="s">
        <v>6</v>
      </c>
      <c r="F711" s="137" t="s">
        <v>7</v>
      </c>
      <c r="G711" s="137" t="s">
        <v>8</v>
      </c>
      <c r="H711" s="138">
        <v>180</v>
      </c>
    </row>
    <row r="712" spans="1:8">
      <c r="A712" s="134">
        <v>712</v>
      </c>
      <c r="B712" s="134" t="s">
        <v>1818</v>
      </c>
      <c r="C712" s="137" t="s">
        <v>3156</v>
      </c>
      <c r="D712" s="137" t="s">
        <v>3157</v>
      </c>
      <c r="E712" s="137" t="s">
        <v>18</v>
      </c>
      <c r="F712" s="137" t="s">
        <v>7</v>
      </c>
      <c r="G712" s="137" t="s">
        <v>8</v>
      </c>
      <c r="H712" s="138">
        <v>274</v>
      </c>
    </row>
    <row r="713" spans="1:8" ht="33">
      <c r="A713" s="134">
        <v>713</v>
      </c>
      <c r="B713" s="134" t="s">
        <v>1818</v>
      </c>
      <c r="C713" s="137" t="s">
        <v>3158</v>
      </c>
      <c r="D713" s="137" t="s">
        <v>3159</v>
      </c>
      <c r="E713" s="137" t="s">
        <v>6</v>
      </c>
      <c r="F713" s="137" t="s">
        <v>7</v>
      </c>
      <c r="G713" s="137" t="s">
        <v>8</v>
      </c>
      <c r="H713" s="138">
        <v>190</v>
      </c>
    </row>
    <row r="714" spans="1:8">
      <c r="A714" s="134">
        <v>714</v>
      </c>
      <c r="B714" s="134" t="s">
        <v>1818</v>
      </c>
      <c r="C714" s="137" t="s">
        <v>3160</v>
      </c>
      <c r="D714" s="137" t="s">
        <v>3161</v>
      </c>
      <c r="E714" s="137" t="s">
        <v>6</v>
      </c>
      <c r="F714" s="137" t="s">
        <v>7</v>
      </c>
      <c r="G714" s="137" t="s">
        <v>8</v>
      </c>
      <c r="H714" s="138">
        <v>180</v>
      </c>
    </row>
    <row r="715" spans="1:8">
      <c r="A715" s="134">
        <v>715</v>
      </c>
      <c r="B715" s="134" t="s">
        <v>1818</v>
      </c>
      <c r="C715" s="134" t="s">
        <v>3162</v>
      </c>
      <c r="D715" s="134" t="s">
        <v>2122</v>
      </c>
      <c r="F715" s="134" t="s">
        <v>10</v>
      </c>
      <c r="G715" s="134" t="s">
        <v>8</v>
      </c>
      <c r="H715" s="140">
        <v>260</v>
      </c>
    </row>
    <row r="716" spans="1:8">
      <c r="A716" s="134">
        <v>716</v>
      </c>
      <c r="B716" s="134" t="s">
        <v>1818</v>
      </c>
      <c r="C716" s="134" t="s">
        <v>3163</v>
      </c>
      <c r="D716" s="134" t="s">
        <v>3164</v>
      </c>
      <c r="E716" s="134" t="s">
        <v>16</v>
      </c>
      <c r="F716" s="134" t="s">
        <v>7</v>
      </c>
      <c r="G716" s="134" t="s">
        <v>8</v>
      </c>
      <c r="H716" s="140">
        <v>180</v>
      </c>
    </row>
    <row r="717" spans="1:8">
      <c r="A717" s="134">
        <v>717</v>
      </c>
      <c r="B717" s="134" t="s">
        <v>1818</v>
      </c>
      <c r="C717" s="134" t="s">
        <v>3165</v>
      </c>
      <c r="D717" s="134" t="s">
        <v>3166</v>
      </c>
      <c r="E717" s="134" t="s">
        <v>9</v>
      </c>
      <c r="F717" s="134" t="s">
        <v>7</v>
      </c>
      <c r="G717" s="134" t="s">
        <v>8</v>
      </c>
      <c r="H717" s="140">
        <v>227</v>
      </c>
    </row>
    <row r="718" spans="1:8">
      <c r="A718" s="134">
        <v>718</v>
      </c>
      <c r="B718" s="134" t="s">
        <v>1818</v>
      </c>
      <c r="C718" s="137" t="s">
        <v>3167</v>
      </c>
      <c r="D718" s="137" t="s">
        <v>3168</v>
      </c>
      <c r="E718" s="137" t="s">
        <v>6</v>
      </c>
      <c r="F718" s="137" t="s">
        <v>7</v>
      </c>
      <c r="G718" s="137" t="s">
        <v>8</v>
      </c>
      <c r="H718" s="138">
        <v>232</v>
      </c>
    </row>
    <row r="719" spans="1:8">
      <c r="A719" s="134">
        <v>719</v>
      </c>
      <c r="B719" s="134" t="s">
        <v>1818</v>
      </c>
      <c r="C719" s="137" t="s">
        <v>3169</v>
      </c>
      <c r="D719" s="137" t="s">
        <v>3170</v>
      </c>
      <c r="E719" s="137" t="s">
        <v>12</v>
      </c>
      <c r="F719" s="137" t="s">
        <v>10</v>
      </c>
      <c r="G719" s="137" t="s">
        <v>8</v>
      </c>
      <c r="H719" s="138">
        <v>180</v>
      </c>
    </row>
    <row r="720" spans="1:8" ht="33">
      <c r="A720" s="134">
        <v>720</v>
      </c>
      <c r="B720" s="134" t="s">
        <v>1818</v>
      </c>
      <c r="C720" s="137" t="s">
        <v>3171</v>
      </c>
      <c r="D720" s="137" t="s">
        <v>3172</v>
      </c>
      <c r="E720" s="137" t="s">
        <v>18</v>
      </c>
      <c r="F720" s="137" t="s">
        <v>7</v>
      </c>
      <c r="G720" s="137" t="s">
        <v>8</v>
      </c>
      <c r="H720" s="138">
        <v>220</v>
      </c>
    </row>
    <row r="721" spans="1:8">
      <c r="A721" s="134">
        <v>721</v>
      </c>
      <c r="B721" s="134" t="s">
        <v>1818</v>
      </c>
      <c r="C721" s="134" t="s">
        <v>3173</v>
      </c>
      <c r="D721" s="134" t="s">
        <v>3174</v>
      </c>
      <c r="E721" s="134" t="s">
        <v>26</v>
      </c>
      <c r="F721" s="134" t="s">
        <v>10</v>
      </c>
      <c r="G721" s="134" t="s">
        <v>11</v>
      </c>
      <c r="H721" s="140">
        <v>160</v>
      </c>
    </row>
    <row r="722" spans="1:8" ht="33">
      <c r="A722" s="134">
        <v>722</v>
      </c>
      <c r="B722" s="134" t="s">
        <v>1818</v>
      </c>
      <c r="C722" s="137" t="s">
        <v>3175</v>
      </c>
      <c r="D722" s="137" t="s">
        <v>3176</v>
      </c>
      <c r="E722" s="137" t="s">
        <v>12</v>
      </c>
      <c r="F722" s="137" t="s">
        <v>7</v>
      </c>
      <c r="G722" s="137" t="s">
        <v>8</v>
      </c>
      <c r="H722" s="138">
        <v>190</v>
      </c>
    </row>
    <row r="723" spans="1:8">
      <c r="A723" s="134">
        <v>723</v>
      </c>
      <c r="B723" s="134" t="s">
        <v>1818</v>
      </c>
      <c r="C723" s="147" t="s">
        <v>3177</v>
      </c>
      <c r="D723" s="147" t="s">
        <v>3178</v>
      </c>
      <c r="E723" s="147" t="s">
        <v>6</v>
      </c>
      <c r="F723" s="147" t="s">
        <v>7</v>
      </c>
      <c r="G723" s="147" t="s">
        <v>8</v>
      </c>
      <c r="H723" s="148">
        <v>274</v>
      </c>
    </row>
    <row r="724" spans="1:8">
      <c r="A724" s="134">
        <v>724</v>
      </c>
      <c r="B724" s="134" t="s">
        <v>1818</v>
      </c>
      <c r="C724" s="139" t="s">
        <v>3179</v>
      </c>
      <c r="D724" s="134" t="s">
        <v>3180</v>
      </c>
      <c r="E724" s="134" t="s">
        <v>6</v>
      </c>
      <c r="F724" s="134" t="s">
        <v>10</v>
      </c>
      <c r="G724" s="134" t="s">
        <v>8</v>
      </c>
      <c r="H724" s="141">
        <v>260</v>
      </c>
    </row>
    <row r="725" spans="1:8">
      <c r="A725" s="134">
        <v>725</v>
      </c>
      <c r="B725" s="134" t="s">
        <v>1818</v>
      </c>
      <c r="C725" s="134" t="s">
        <v>3181</v>
      </c>
      <c r="D725" s="134" t="s">
        <v>3174</v>
      </c>
      <c r="F725" s="134" t="s">
        <v>10</v>
      </c>
      <c r="G725" s="134" t="s">
        <v>11</v>
      </c>
      <c r="H725" s="140">
        <v>260</v>
      </c>
    </row>
    <row r="726" spans="1:8">
      <c r="A726" s="134">
        <v>726</v>
      </c>
      <c r="B726" s="134" t="s">
        <v>1818</v>
      </c>
      <c r="C726" s="137" t="s">
        <v>3182</v>
      </c>
      <c r="D726" s="137" t="s">
        <v>3183</v>
      </c>
      <c r="E726" s="137" t="s">
        <v>6</v>
      </c>
      <c r="F726" s="137" t="s">
        <v>7</v>
      </c>
      <c r="G726" s="137" t="s">
        <v>8</v>
      </c>
      <c r="H726" s="138">
        <v>190</v>
      </c>
    </row>
    <row r="727" spans="1:8">
      <c r="A727" s="134">
        <v>727</v>
      </c>
      <c r="B727" s="134" t="s">
        <v>1818</v>
      </c>
      <c r="C727" s="134" t="s">
        <v>3184</v>
      </c>
      <c r="D727" s="134" t="s">
        <v>3185</v>
      </c>
      <c r="E727" s="134" t="s">
        <v>14</v>
      </c>
      <c r="F727" s="134" t="s">
        <v>7</v>
      </c>
      <c r="G727" s="134" t="s">
        <v>8</v>
      </c>
      <c r="H727" s="140">
        <v>180</v>
      </c>
    </row>
    <row r="728" spans="1:8">
      <c r="A728" s="134">
        <v>728</v>
      </c>
      <c r="B728" s="134" t="s">
        <v>1818</v>
      </c>
      <c r="C728" s="134" t="s">
        <v>3186</v>
      </c>
      <c r="D728" s="135" t="s">
        <v>3187</v>
      </c>
      <c r="E728" s="134" t="s">
        <v>14</v>
      </c>
      <c r="F728" s="134" t="s">
        <v>7</v>
      </c>
      <c r="G728" s="134" t="s">
        <v>8</v>
      </c>
      <c r="H728" s="136">
        <v>220</v>
      </c>
    </row>
    <row r="729" spans="1:8">
      <c r="A729" s="134">
        <v>729</v>
      </c>
      <c r="B729" s="134" t="s">
        <v>1818</v>
      </c>
      <c r="C729" s="139" t="s">
        <v>3188</v>
      </c>
      <c r="D729" s="134" t="s">
        <v>3189</v>
      </c>
      <c r="E729" s="134" t="s">
        <v>6</v>
      </c>
      <c r="F729" s="134" t="s">
        <v>7</v>
      </c>
      <c r="G729" s="134" t="s">
        <v>8</v>
      </c>
      <c r="H729" s="141">
        <v>220</v>
      </c>
    </row>
    <row r="730" spans="1:8">
      <c r="A730" s="134">
        <v>730</v>
      </c>
      <c r="B730" s="134" t="s">
        <v>1818</v>
      </c>
      <c r="C730" s="137" t="s">
        <v>3190</v>
      </c>
      <c r="D730" s="137" t="s">
        <v>3191</v>
      </c>
      <c r="E730" s="137" t="s">
        <v>18</v>
      </c>
      <c r="F730" s="137" t="s">
        <v>7</v>
      </c>
      <c r="G730" s="137" t="s">
        <v>8</v>
      </c>
      <c r="H730" s="138">
        <v>232</v>
      </c>
    </row>
    <row r="731" spans="1:8">
      <c r="A731" s="134">
        <v>731</v>
      </c>
      <c r="B731" s="134" t="s">
        <v>1818</v>
      </c>
      <c r="C731" s="134" t="s">
        <v>3192</v>
      </c>
      <c r="D731" s="134" t="s">
        <v>3193</v>
      </c>
      <c r="E731" s="134" t="s">
        <v>18</v>
      </c>
      <c r="F731" s="134" t="s">
        <v>7</v>
      </c>
      <c r="G731" s="134" t="s">
        <v>8</v>
      </c>
      <c r="H731" s="140">
        <v>232</v>
      </c>
    </row>
    <row r="732" spans="1:8">
      <c r="A732" s="134">
        <v>732</v>
      </c>
      <c r="B732" s="134" t="s">
        <v>1818</v>
      </c>
      <c r="C732" s="149" t="s">
        <v>3194</v>
      </c>
      <c r="D732" s="150" t="s">
        <v>3195</v>
      </c>
      <c r="G732" s="147" t="s">
        <v>8</v>
      </c>
      <c r="H732" s="151">
        <v>220</v>
      </c>
    </row>
    <row r="733" spans="1:8">
      <c r="A733" s="134">
        <v>733</v>
      </c>
      <c r="B733" s="134" t="s">
        <v>1818</v>
      </c>
      <c r="C733" s="134" t="s">
        <v>3196</v>
      </c>
      <c r="D733" s="134" t="s">
        <v>3197</v>
      </c>
      <c r="E733" s="134" t="s">
        <v>18</v>
      </c>
      <c r="F733" s="134" t="s">
        <v>7</v>
      </c>
      <c r="G733" s="134" t="s">
        <v>8</v>
      </c>
      <c r="H733" s="140">
        <v>180</v>
      </c>
    </row>
    <row r="734" spans="1:8">
      <c r="A734" s="134">
        <v>734</v>
      </c>
      <c r="B734" s="134" t="s">
        <v>1818</v>
      </c>
      <c r="C734" s="137" t="s">
        <v>3198</v>
      </c>
      <c r="D734" s="137" t="s">
        <v>3199</v>
      </c>
      <c r="E734" s="137" t="s">
        <v>12</v>
      </c>
      <c r="F734" s="137" t="s">
        <v>7</v>
      </c>
      <c r="G734" s="137" t="s">
        <v>8</v>
      </c>
      <c r="H734" s="138">
        <v>220</v>
      </c>
    </row>
    <row r="735" spans="1:8" ht="33">
      <c r="A735" s="134">
        <v>735</v>
      </c>
      <c r="B735" s="134" t="s">
        <v>1818</v>
      </c>
      <c r="C735" s="137" t="s">
        <v>3200</v>
      </c>
      <c r="D735" s="137" t="s">
        <v>3201</v>
      </c>
      <c r="E735" s="137" t="s">
        <v>16</v>
      </c>
      <c r="F735" s="137" t="s">
        <v>7</v>
      </c>
      <c r="G735" s="137" t="s">
        <v>8</v>
      </c>
      <c r="H735" s="138">
        <v>232</v>
      </c>
    </row>
    <row r="736" spans="1:8">
      <c r="A736" s="134">
        <v>736</v>
      </c>
      <c r="B736" s="134" t="s">
        <v>1818</v>
      </c>
      <c r="C736" s="137" t="s">
        <v>3202</v>
      </c>
      <c r="D736" s="137" t="s">
        <v>3203</v>
      </c>
      <c r="E736" s="137" t="s">
        <v>18</v>
      </c>
      <c r="F736" s="137" t="s">
        <v>7</v>
      </c>
      <c r="G736" s="137" t="s">
        <v>8</v>
      </c>
      <c r="H736" s="138">
        <v>232</v>
      </c>
    </row>
    <row r="737" spans="1:8">
      <c r="A737" s="134">
        <v>737</v>
      </c>
      <c r="B737" s="134" t="s">
        <v>1818</v>
      </c>
      <c r="C737" s="139" t="s">
        <v>3204</v>
      </c>
      <c r="D737" s="134" t="s">
        <v>3205</v>
      </c>
      <c r="E737" s="134" t="s">
        <v>6</v>
      </c>
      <c r="F737" s="134" t="s">
        <v>7</v>
      </c>
      <c r="G737" s="134" t="s">
        <v>8</v>
      </c>
      <c r="H737" s="141">
        <v>220</v>
      </c>
    </row>
    <row r="738" spans="1:8">
      <c r="A738" s="134">
        <v>738</v>
      </c>
      <c r="B738" s="134" t="s">
        <v>1818</v>
      </c>
      <c r="C738" s="137" t="s">
        <v>3206</v>
      </c>
      <c r="D738" s="137" t="s">
        <v>3207</v>
      </c>
      <c r="E738" s="137" t="s">
        <v>14</v>
      </c>
      <c r="F738" s="137" t="s">
        <v>7</v>
      </c>
      <c r="G738" s="137" t="s">
        <v>8</v>
      </c>
      <c r="H738" s="138">
        <v>180</v>
      </c>
    </row>
    <row r="739" spans="1:8">
      <c r="A739" s="134">
        <v>739</v>
      </c>
      <c r="B739" s="134" t="s">
        <v>1818</v>
      </c>
      <c r="C739" s="134" t="s">
        <v>3208</v>
      </c>
      <c r="D739" s="134" t="s">
        <v>3209</v>
      </c>
      <c r="F739" s="134" t="s">
        <v>10</v>
      </c>
      <c r="G739" s="134" t="s">
        <v>8</v>
      </c>
      <c r="H739" s="140">
        <v>315</v>
      </c>
    </row>
    <row r="740" spans="1:8" ht="33">
      <c r="A740" s="134">
        <v>740</v>
      </c>
      <c r="B740" s="134" t="s">
        <v>1818</v>
      </c>
      <c r="C740" s="137" t="s">
        <v>3210</v>
      </c>
      <c r="D740" s="137" t="s">
        <v>3211</v>
      </c>
      <c r="E740" s="137" t="s">
        <v>14</v>
      </c>
      <c r="F740" s="137" t="s">
        <v>7</v>
      </c>
      <c r="G740" s="137" t="s">
        <v>8</v>
      </c>
      <c r="H740" s="138">
        <v>180</v>
      </c>
    </row>
    <row r="741" spans="1:8" ht="22.5" customHeight="1">
      <c r="A741" s="134">
        <v>741</v>
      </c>
      <c r="B741" s="134" t="s">
        <v>1818</v>
      </c>
      <c r="C741" s="134" t="s">
        <v>3212</v>
      </c>
      <c r="D741" s="134" t="s">
        <v>3213</v>
      </c>
      <c r="E741" s="134" t="s">
        <v>6</v>
      </c>
      <c r="F741" s="134" t="s">
        <v>7</v>
      </c>
      <c r="G741" s="134" t="s">
        <v>8</v>
      </c>
      <c r="H741" s="140">
        <v>220</v>
      </c>
    </row>
    <row r="742" spans="1:8" ht="27.75" customHeight="1">
      <c r="A742" s="134">
        <v>742</v>
      </c>
      <c r="B742" s="134" t="s">
        <v>1818</v>
      </c>
      <c r="C742" s="137" t="s">
        <v>3214</v>
      </c>
      <c r="D742" s="137" t="s">
        <v>3215</v>
      </c>
      <c r="E742" s="137" t="s">
        <v>15</v>
      </c>
      <c r="F742" s="137" t="s">
        <v>7</v>
      </c>
      <c r="G742" s="137" t="s">
        <v>8</v>
      </c>
      <c r="H742" s="138">
        <v>232</v>
      </c>
    </row>
    <row r="743" spans="1:8">
      <c r="A743" s="134">
        <v>743</v>
      </c>
      <c r="B743" s="134" t="s">
        <v>1818</v>
      </c>
      <c r="C743" s="137" t="s">
        <v>3216</v>
      </c>
      <c r="D743" s="137" t="s">
        <v>2706</v>
      </c>
      <c r="E743" s="137" t="s">
        <v>6</v>
      </c>
      <c r="F743" s="137" t="s">
        <v>7</v>
      </c>
      <c r="G743" s="137" t="s">
        <v>8</v>
      </c>
      <c r="H743" s="138">
        <v>220</v>
      </c>
    </row>
    <row r="744" spans="1:8" ht="21" customHeight="1">
      <c r="A744" s="134">
        <v>744</v>
      </c>
      <c r="B744" s="134" t="s">
        <v>1818</v>
      </c>
      <c r="C744" s="137" t="s">
        <v>3217</v>
      </c>
      <c r="D744" s="137" t="s">
        <v>3218</v>
      </c>
      <c r="E744" s="137" t="s">
        <v>6</v>
      </c>
      <c r="F744" s="137" t="s">
        <v>7</v>
      </c>
      <c r="G744" s="137" t="s">
        <v>8</v>
      </c>
      <c r="H744" s="138">
        <v>190</v>
      </c>
    </row>
    <row r="745" spans="1:8">
      <c r="A745" s="134">
        <v>745</v>
      </c>
      <c r="B745" s="134" t="s">
        <v>1818</v>
      </c>
      <c r="C745" s="134" t="s">
        <v>3219</v>
      </c>
      <c r="D745" s="198" t="s">
        <v>3220</v>
      </c>
      <c r="E745" s="134" t="s">
        <v>12</v>
      </c>
      <c r="F745" s="134" t="s">
        <v>7</v>
      </c>
      <c r="G745" s="134" t="s">
        <v>8</v>
      </c>
      <c r="H745" s="199">
        <v>180</v>
      </c>
    </row>
    <row r="746" spans="1:8">
      <c r="A746" s="134">
        <v>746</v>
      </c>
      <c r="B746" s="134" t="s">
        <v>1818</v>
      </c>
      <c r="C746" s="137" t="s">
        <v>3221</v>
      </c>
      <c r="D746" s="137" t="s">
        <v>3222</v>
      </c>
      <c r="E746" s="137" t="s">
        <v>6</v>
      </c>
      <c r="F746" s="137" t="s">
        <v>7</v>
      </c>
      <c r="G746" s="137" t="s">
        <v>8</v>
      </c>
      <c r="H746" s="138">
        <v>227</v>
      </c>
    </row>
    <row r="747" spans="1:8" ht="25.5" customHeight="1">
      <c r="A747" s="134">
        <v>747</v>
      </c>
      <c r="B747" s="134" t="s">
        <v>1818</v>
      </c>
      <c r="C747" s="137" t="s">
        <v>3223</v>
      </c>
      <c r="D747" s="137" t="s">
        <v>3140</v>
      </c>
      <c r="E747" s="137" t="s">
        <v>15</v>
      </c>
      <c r="F747" s="137" t="s">
        <v>10</v>
      </c>
      <c r="G747" s="137" t="s">
        <v>13</v>
      </c>
      <c r="H747" s="138">
        <v>190</v>
      </c>
    </row>
    <row r="748" spans="1:8">
      <c r="A748" s="134">
        <v>748</v>
      </c>
      <c r="B748" s="134" t="s">
        <v>1818</v>
      </c>
      <c r="C748" s="137" t="s">
        <v>3224</v>
      </c>
      <c r="D748" s="137" t="s">
        <v>3225</v>
      </c>
      <c r="E748" s="137" t="s">
        <v>18</v>
      </c>
      <c r="F748" s="137" t="s">
        <v>7</v>
      </c>
      <c r="G748" s="137" t="s">
        <v>8</v>
      </c>
      <c r="H748" s="138">
        <v>232</v>
      </c>
    </row>
    <row r="749" spans="1:8">
      <c r="A749" s="134">
        <v>749</v>
      </c>
      <c r="B749" s="134" t="s">
        <v>1818</v>
      </c>
      <c r="C749" s="134" t="s">
        <v>3226</v>
      </c>
      <c r="D749" s="134" t="s">
        <v>2325</v>
      </c>
      <c r="E749" s="134" t="s">
        <v>43</v>
      </c>
      <c r="F749" s="134" t="s">
        <v>10</v>
      </c>
      <c r="G749" s="134" t="s">
        <v>8</v>
      </c>
      <c r="H749" s="140">
        <v>125</v>
      </c>
    </row>
    <row r="750" spans="1:8" ht="33">
      <c r="A750" s="134">
        <v>750</v>
      </c>
      <c r="B750" s="134" t="s">
        <v>1818</v>
      </c>
      <c r="C750" s="137" t="s">
        <v>3227</v>
      </c>
      <c r="D750" s="137" t="s">
        <v>3228</v>
      </c>
      <c r="E750" s="137" t="s">
        <v>6</v>
      </c>
      <c r="F750" s="137" t="s">
        <v>10</v>
      </c>
      <c r="G750" s="137" t="s">
        <v>8</v>
      </c>
      <c r="H750" s="138">
        <v>364</v>
      </c>
    </row>
    <row r="751" spans="1:8" ht="33">
      <c r="A751" s="134">
        <v>751</v>
      </c>
      <c r="B751" s="134" t="s">
        <v>1818</v>
      </c>
      <c r="C751" s="134" t="s">
        <v>3229</v>
      </c>
      <c r="D751" s="135" t="s">
        <v>3230</v>
      </c>
      <c r="E751" s="134" t="s">
        <v>6</v>
      </c>
      <c r="F751" s="134" t="s">
        <v>7</v>
      </c>
      <c r="G751" s="134" t="s">
        <v>8</v>
      </c>
      <c r="H751" s="136">
        <v>180</v>
      </c>
    </row>
    <row r="752" spans="1:8">
      <c r="A752" s="134">
        <v>752</v>
      </c>
      <c r="B752" s="134" t="s">
        <v>1818</v>
      </c>
      <c r="C752" s="134" t="s">
        <v>3231</v>
      </c>
      <c r="D752" s="134" t="s">
        <v>3232</v>
      </c>
      <c r="E752" s="134" t="s">
        <v>6</v>
      </c>
      <c r="F752" s="134" t="s">
        <v>10</v>
      </c>
      <c r="G752" s="134" t="s">
        <v>8</v>
      </c>
      <c r="H752" s="140">
        <v>220</v>
      </c>
    </row>
    <row r="753" spans="1:8">
      <c r="A753" s="134">
        <v>753</v>
      </c>
      <c r="B753" s="134" t="s">
        <v>1818</v>
      </c>
      <c r="C753" s="137" t="s">
        <v>3233</v>
      </c>
      <c r="D753" s="137" t="s">
        <v>2706</v>
      </c>
      <c r="E753" s="137" t="s">
        <v>18</v>
      </c>
      <c r="F753" s="137" t="s">
        <v>7</v>
      </c>
      <c r="G753" s="137" t="s">
        <v>8</v>
      </c>
      <c r="H753" s="138">
        <v>232</v>
      </c>
    </row>
    <row r="754" spans="1:8">
      <c r="A754" s="134">
        <v>754</v>
      </c>
      <c r="B754" s="134" t="s">
        <v>1818</v>
      </c>
      <c r="C754" s="146" t="s">
        <v>3234</v>
      </c>
      <c r="D754" s="146" t="s">
        <v>3235</v>
      </c>
      <c r="E754" s="134" t="s">
        <v>14</v>
      </c>
      <c r="F754" s="134" t="s">
        <v>7</v>
      </c>
      <c r="G754" s="146" t="s">
        <v>8</v>
      </c>
      <c r="H754" s="140">
        <v>180</v>
      </c>
    </row>
    <row r="755" spans="1:8">
      <c r="A755" s="134">
        <v>755</v>
      </c>
      <c r="B755" s="134" t="s">
        <v>1818</v>
      </c>
      <c r="C755" s="137" t="s">
        <v>3236</v>
      </c>
      <c r="D755" s="137" t="s">
        <v>3237</v>
      </c>
      <c r="E755" s="137" t="s">
        <v>6</v>
      </c>
      <c r="F755" s="137" t="s">
        <v>7</v>
      </c>
      <c r="G755" s="137" t="s">
        <v>8</v>
      </c>
      <c r="H755" s="138">
        <v>180</v>
      </c>
    </row>
    <row r="756" spans="1:8">
      <c r="A756" s="134">
        <v>756</v>
      </c>
      <c r="B756" s="134" t="s">
        <v>1818</v>
      </c>
      <c r="C756" s="137" t="s">
        <v>3238</v>
      </c>
      <c r="D756" s="137" t="s">
        <v>3239</v>
      </c>
      <c r="E756" s="137" t="s">
        <v>6</v>
      </c>
      <c r="F756" s="137" t="s">
        <v>7</v>
      </c>
      <c r="G756" s="137" t="s">
        <v>8</v>
      </c>
      <c r="H756" s="138">
        <v>232</v>
      </c>
    </row>
    <row r="757" spans="1:8" ht="24" customHeight="1">
      <c r="A757" s="134">
        <v>757</v>
      </c>
      <c r="B757" s="134" t="s">
        <v>1818</v>
      </c>
      <c r="C757" s="137" t="s">
        <v>3240</v>
      </c>
      <c r="D757" s="137" t="s">
        <v>3241</v>
      </c>
      <c r="E757" s="137" t="s">
        <v>18</v>
      </c>
      <c r="F757" s="137" t="s">
        <v>7</v>
      </c>
      <c r="G757" s="137" t="s">
        <v>8</v>
      </c>
      <c r="H757" s="138">
        <v>190</v>
      </c>
    </row>
    <row r="758" spans="1:8">
      <c r="A758" s="134">
        <v>758</v>
      </c>
      <c r="B758" s="134" t="s">
        <v>1818</v>
      </c>
      <c r="C758" s="137" t="s">
        <v>3242</v>
      </c>
      <c r="D758" s="137" t="s">
        <v>3243</v>
      </c>
      <c r="E758" s="137" t="s">
        <v>18</v>
      </c>
      <c r="F758" s="137" t="s">
        <v>7</v>
      </c>
      <c r="G758" s="137" t="s">
        <v>8</v>
      </c>
      <c r="H758" s="138">
        <v>180</v>
      </c>
    </row>
    <row r="759" spans="1:8">
      <c r="A759" s="134">
        <v>759</v>
      </c>
      <c r="B759" s="134" t="s">
        <v>1818</v>
      </c>
      <c r="C759" s="134" t="s">
        <v>3244</v>
      </c>
      <c r="D759" s="134" t="s">
        <v>3245</v>
      </c>
      <c r="E759" s="134" t="s">
        <v>18</v>
      </c>
      <c r="F759" s="134" t="s">
        <v>7</v>
      </c>
      <c r="G759" s="134" t="s">
        <v>8</v>
      </c>
      <c r="H759" s="140">
        <v>220</v>
      </c>
    </row>
    <row r="760" spans="1:8">
      <c r="A760" s="134">
        <v>760</v>
      </c>
      <c r="B760" s="134" t="s">
        <v>1818</v>
      </c>
      <c r="C760" s="137" t="s">
        <v>3246</v>
      </c>
      <c r="D760" s="137" t="s">
        <v>3247</v>
      </c>
      <c r="E760" s="137" t="s">
        <v>6</v>
      </c>
      <c r="F760" s="137" t="s">
        <v>10</v>
      </c>
      <c r="G760" s="137" t="s">
        <v>13</v>
      </c>
      <c r="H760" s="138">
        <v>232</v>
      </c>
    </row>
    <row r="761" spans="1:8">
      <c r="A761" s="134">
        <v>761</v>
      </c>
      <c r="B761" s="134" t="s">
        <v>1818</v>
      </c>
      <c r="C761" s="146" t="s">
        <v>3248</v>
      </c>
      <c r="D761" s="146" t="s">
        <v>3249</v>
      </c>
      <c r="G761" s="146" t="s">
        <v>8</v>
      </c>
      <c r="H761" s="140">
        <v>220</v>
      </c>
    </row>
    <row r="762" spans="1:8" ht="29.25" customHeight="1">
      <c r="A762" s="134">
        <v>762</v>
      </c>
      <c r="B762" s="134" t="s">
        <v>1818</v>
      </c>
      <c r="C762" s="139" t="s">
        <v>3250</v>
      </c>
      <c r="D762" s="134" t="s">
        <v>3251</v>
      </c>
      <c r="G762" s="134" t="s">
        <v>8</v>
      </c>
      <c r="H762" s="141">
        <v>215</v>
      </c>
    </row>
    <row r="763" spans="1:8">
      <c r="A763" s="134">
        <v>763</v>
      </c>
      <c r="B763" s="134" t="s">
        <v>1818</v>
      </c>
      <c r="C763" s="137" t="s">
        <v>3252</v>
      </c>
      <c r="D763" s="137" t="s">
        <v>3253</v>
      </c>
      <c r="E763" s="137" t="s">
        <v>14</v>
      </c>
      <c r="F763" s="137" t="s">
        <v>7</v>
      </c>
      <c r="G763" s="137" t="s">
        <v>17</v>
      </c>
      <c r="H763" s="138">
        <v>232</v>
      </c>
    </row>
    <row r="764" spans="1:8">
      <c r="A764" s="134">
        <v>764</v>
      </c>
      <c r="B764" s="134" t="s">
        <v>1818</v>
      </c>
      <c r="C764" s="137" t="s">
        <v>3254</v>
      </c>
      <c r="D764" s="137" t="s">
        <v>3255</v>
      </c>
      <c r="E764" s="137" t="s">
        <v>12</v>
      </c>
      <c r="F764" s="137" t="s">
        <v>7</v>
      </c>
      <c r="G764" s="137" t="s">
        <v>8</v>
      </c>
      <c r="H764" s="138">
        <v>220</v>
      </c>
    </row>
    <row r="765" spans="1:8" ht="33">
      <c r="A765" s="134">
        <v>765</v>
      </c>
      <c r="B765" s="134" t="s">
        <v>1818</v>
      </c>
      <c r="C765" s="137" t="s">
        <v>3256</v>
      </c>
      <c r="D765" s="137" t="s">
        <v>3257</v>
      </c>
      <c r="E765" s="137" t="s">
        <v>12</v>
      </c>
      <c r="F765" s="137" t="s">
        <v>7</v>
      </c>
      <c r="G765" s="137" t="s">
        <v>8</v>
      </c>
      <c r="H765" s="138">
        <v>232</v>
      </c>
    </row>
    <row r="766" spans="1:8">
      <c r="A766" s="134">
        <v>766</v>
      </c>
      <c r="B766" s="134" t="s">
        <v>1818</v>
      </c>
      <c r="C766" s="134" t="s">
        <v>3258</v>
      </c>
      <c r="D766" s="134" t="s">
        <v>3259</v>
      </c>
      <c r="E766" s="134" t="s">
        <v>12</v>
      </c>
      <c r="F766" s="134" t="s">
        <v>10</v>
      </c>
      <c r="G766" s="134" t="s">
        <v>8</v>
      </c>
      <c r="H766" s="140">
        <v>190</v>
      </c>
    </row>
    <row r="767" spans="1:8">
      <c r="A767" s="134">
        <v>767</v>
      </c>
      <c r="B767" s="134" t="s">
        <v>1818</v>
      </c>
      <c r="C767" s="137" t="s">
        <v>3260</v>
      </c>
      <c r="D767" s="137" t="s">
        <v>3261</v>
      </c>
      <c r="E767" s="137" t="s">
        <v>6</v>
      </c>
      <c r="F767" s="137" t="s">
        <v>7</v>
      </c>
      <c r="G767" s="137" t="s">
        <v>8</v>
      </c>
      <c r="H767" s="138">
        <v>190</v>
      </c>
    </row>
    <row r="768" spans="1:8">
      <c r="A768" s="134">
        <v>768</v>
      </c>
      <c r="B768" s="134" t="s">
        <v>1818</v>
      </c>
      <c r="C768" s="137" t="s">
        <v>3262</v>
      </c>
      <c r="D768" s="137" t="s">
        <v>3263</v>
      </c>
      <c r="E768" s="137" t="s">
        <v>12</v>
      </c>
      <c r="F768" s="137" t="s">
        <v>7</v>
      </c>
      <c r="G768" s="137" t="s">
        <v>8</v>
      </c>
      <c r="H768" s="138">
        <v>232</v>
      </c>
    </row>
    <row r="769" spans="1:9">
      <c r="A769" s="134">
        <v>769</v>
      </c>
      <c r="B769" s="134" t="s">
        <v>1818</v>
      </c>
      <c r="C769" s="146" t="s">
        <v>3264</v>
      </c>
      <c r="D769" s="146" t="s">
        <v>3265</v>
      </c>
      <c r="E769" s="134" t="s">
        <v>14</v>
      </c>
      <c r="F769" s="134" t="s">
        <v>7</v>
      </c>
      <c r="G769" s="146" t="s">
        <v>8</v>
      </c>
      <c r="H769" s="140">
        <v>260</v>
      </c>
    </row>
    <row r="770" spans="1:9">
      <c r="A770" s="134">
        <v>770</v>
      </c>
      <c r="B770" s="134" t="s">
        <v>1818</v>
      </c>
      <c r="C770" s="134" t="s">
        <v>3266</v>
      </c>
      <c r="D770" s="134" t="s">
        <v>3267</v>
      </c>
      <c r="E770" s="134" t="s">
        <v>6</v>
      </c>
      <c r="F770" s="134" t="s">
        <v>10</v>
      </c>
      <c r="G770" s="134" t="s">
        <v>8</v>
      </c>
      <c r="H770" s="140">
        <v>180</v>
      </c>
    </row>
    <row r="771" spans="1:9">
      <c r="A771" s="134">
        <v>771</v>
      </c>
      <c r="B771" s="134" t="s">
        <v>1818</v>
      </c>
      <c r="C771" s="134" t="s">
        <v>3268</v>
      </c>
      <c r="D771" s="134" t="s">
        <v>3269</v>
      </c>
      <c r="E771" s="134" t="s">
        <v>9</v>
      </c>
      <c r="F771" s="134" t="s">
        <v>7</v>
      </c>
      <c r="G771" s="134" t="s">
        <v>8</v>
      </c>
      <c r="H771" s="140">
        <v>180</v>
      </c>
    </row>
    <row r="772" spans="1:9" ht="28.5" customHeight="1">
      <c r="A772" s="134">
        <v>772</v>
      </c>
      <c r="B772" s="134" t="s">
        <v>1818</v>
      </c>
      <c r="C772" s="134" t="s">
        <v>3270</v>
      </c>
      <c r="D772" s="134" t="s">
        <v>3271</v>
      </c>
      <c r="E772" s="134" t="s">
        <v>12</v>
      </c>
      <c r="F772" s="134" t="s">
        <v>10</v>
      </c>
      <c r="G772" s="134" t="s">
        <v>8</v>
      </c>
      <c r="H772" s="140">
        <v>232</v>
      </c>
    </row>
    <row r="773" spans="1:9">
      <c r="A773" s="134">
        <v>773</v>
      </c>
      <c r="B773" s="134" t="s">
        <v>1818</v>
      </c>
      <c r="C773" s="134" t="s">
        <v>3272</v>
      </c>
      <c r="D773" s="135" t="s">
        <v>3273</v>
      </c>
      <c r="E773" s="134" t="s">
        <v>9</v>
      </c>
      <c r="F773" s="134" t="s">
        <v>7</v>
      </c>
      <c r="G773" s="134" t="s">
        <v>8</v>
      </c>
      <c r="H773" s="136">
        <v>180</v>
      </c>
    </row>
    <row r="774" spans="1:9">
      <c r="A774" s="134">
        <v>774</v>
      </c>
      <c r="B774" s="134" t="s">
        <v>1818</v>
      </c>
      <c r="C774" s="139" t="s">
        <v>3274</v>
      </c>
      <c r="D774" s="134" t="s">
        <v>3275</v>
      </c>
      <c r="E774" s="134" t="s">
        <v>6</v>
      </c>
      <c r="F774" s="134" t="s">
        <v>7</v>
      </c>
      <c r="G774" s="134" t="s">
        <v>8</v>
      </c>
      <c r="H774" s="141">
        <v>220</v>
      </c>
    </row>
    <row r="775" spans="1:9">
      <c r="A775" s="134">
        <v>775</v>
      </c>
      <c r="B775" s="134" t="s">
        <v>1818</v>
      </c>
      <c r="C775" s="139" t="s">
        <v>3276</v>
      </c>
      <c r="D775" s="134" t="s">
        <v>3277</v>
      </c>
      <c r="E775" s="134" t="s">
        <v>9</v>
      </c>
      <c r="F775" s="134" t="s">
        <v>7</v>
      </c>
      <c r="G775" s="134" t="s">
        <v>8</v>
      </c>
      <c r="H775" s="141">
        <v>260</v>
      </c>
    </row>
    <row r="776" spans="1:9">
      <c r="A776" s="134">
        <v>776</v>
      </c>
      <c r="B776" s="134" t="s">
        <v>1818</v>
      </c>
      <c r="C776" s="146" t="s">
        <v>3278</v>
      </c>
      <c r="D776" s="146" t="s">
        <v>3279</v>
      </c>
      <c r="E776" s="134" t="s">
        <v>18</v>
      </c>
      <c r="G776" s="146" t="s">
        <v>8</v>
      </c>
      <c r="H776" s="140">
        <v>232</v>
      </c>
      <c r="I776" s="156"/>
    </row>
    <row r="777" spans="1:9">
      <c r="A777" s="134">
        <v>777</v>
      </c>
      <c r="B777" s="134" t="s">
        <v>1818</v>
      </c>
      <c r="C777" s="134" t="s">
        <v>3280</v>
      </c>
      <c r="D777" s="135" t="s">
        <v>3281</v>
      </c>
      <c r="G777" s="134" t="s">
        <v>8</v>
      </c>
      <c r="H777" s="136">
        <v>220</v>
      </c>
    </row>
    <row r="778" spans="1:9">
      <c r="A778" s="134">
        <v>778</v>
      </c>
      <c r="B778" s="134" t="s">
        <v>1818</v>
      </c>
      <c r="C778" s="137" t="s">
        <v>3282</v>
      </c>
      <c r="D778" s="137" t="s">
        <v>3283</v>
      </c>
      <c r="E778" s="137" t="s">
        <v>18</v>
      </c>
      <c r="F778" s="137" t="s">
        <v>7</v>
      </c>
      <c r="G778" s="137" t="s">
        <v>8</v>
      </c>
      <c r="H778" s="138">
        <v>232</v>
      </c>
    </row>
    <row r="779" spans="1:9">
      <c r="A779" s="134">
        <v>779</v>
      </c>
      <c r="B779" s="134" t="s">
        <v>1818</v>
      </c>
      <c r="C779" s="139" t="s">
        <v>3284</v>
      </c>
      <c r="D779" s="134" t="s">
        <v>3285</v>
      </c>
      <c r="E779" s="134" t="s">
        <v>6</v>
      </c>
      <c r="F779" s="134" t="s">
        <v>7</v>
      </c>
      <c r="G779" s="134" t="s">
        <v>8</v>
      </c>
      <c r="H779" s="141">
        <v>215</v>
      </c>
    </row>
    <row r="780" spans="1:9">
      <c r="A780" s="134">
        <v>780</v>
      </c>
      <c r="B780" s="134" t="s">
        <v>1818</v>
      </c>
      <c r="C780" s="146" t="s">
        <v>3286</v>
      </c>
      <c r="D780" s="146" t="s">
        <v>3287</v>
      </c>
      <c r="E780" s="134" t="s">
        <v>9</v>
      </c>
      <c r="F780" s="134" t="s">
        <v>7</v>
      </c>
      <c r="G780" s="146" t="s">
        <v>8</v>
      </c>
      <c r="H780" s="140">
        <v>220</v>
      </c>
    </row>
    <row r="781" spans="1:9">
      <c r="A781" s="134">
        <v>781</v>
      </c>
      <c r="B781" s="134" t="s">
        <v>1818</v>
      </c>
      <c r="C781" s="146" t="s">
        <v>3288</v>
      </c>
      <c r="D781" s="146" t="s">
        <v>3289</v>
      </c>
      <c r="G781" s="146" t="s">
        <v>8</v>
      </c>
      <c r="H781" s="140">
        <v>220</v>
      </c>
    </row>
    <row r="782" spans="1:9">
      <c r="A782" s="134">
        <v>782</v>
      </c>
      <c r="B782" s="134" t="s">
        <v>1818</v>
      </c>
      <c r="C782" s="137" t="s">
        <v>3290</v>
      </c>
      <c r="D782" s="137" t="s">
        <v>3291</v>
      </c>
      <c r="E782" s="137" t="s">
        <v>16</v>
      </c>
      <c r="F782" s="137" t="s">
        <v>7</v>
      </c>
      <c r="G782" s="137" t="s">
        <v>8</v>
      </c>
      <c r="H782" s="138">
        <v>180</v>
      </c>
    </row>
    <row r="783" spans="1:9">
      <c r="A783" s="134">
        <v>783</v>
      </c>
      <c r="B783" s="134" t="s">
        <v>1818</v>
      </c>
      <c r="C783" s="134" t="s">
        <v>3292</v>
      </c>
      <c r="D783" s="134" t="s">
        <v>3293</v>
      </c>
      <c r="E783" s="134" t="s">
        <v>16</v>
      </c>
      <c r="F783" s="134" t="s">
        <v>7</v>
      </c>
      <c r="G783" s="134" t="s">
        <v>11</v>
      </c>
      <c r="H783" s="140">
        <v>190</v>
      </c>
    </row>
    <row r="784" spans="1:9">
      <c r="A784" s="134">
        <v>784</v>
      </c>
      <c r="B784" s="134" t="s">
        <v>1818</v>
      </c>
      <c r="C784" s="137" t="s">
        <v>3294</v>
      </c>
      <c r="D784" s="137" t="s">
        <v>1934</v>
      </c>
      <c r="E784" s="137" t="s">
        <v>15</v>
      </c>
      <c r="F784" s="137" t="s">
        <v>10</v>
      </c>
      <c r="G784" s="137" t="s">
        <v>8</v>
      </c>
      <c r="H784" s="138">
        <v>232</v>
      </c>
    </row>
    <row r="785" spans="1:9">
      <c r="A785" s="134">
        <v>785</v>
      </c>
      <c r="B785" s="134" t="s">
        <v>1818</v>
      </c>
      <c r="C785" s="146" t="s">
        <v>3295</v>
      </c>
      <c r="D785" s="146" t="s">
        <v>3296</v>
      </c>
      <c r="E785" s="134" t="s">
        <v>6</v>
      </c>
      <c r="F785" s="134" t="s">
        <v>7</v>
      </c>
      <c r="G785" s="146" t="s">
        <v>8</v>
      </c>
      <c r="H785" s="140">
        <v>190</v>
      </c>
    </row>
    <row r="786" spans="1:9">
      <c r="A786" s="134">
        <v>786</v>
      </c>
      <c r="B786" s="134" t="s">
        <v>1818</v>
      </c>
      <c r="C786" s="137" t="s">
        <v>3297</v>
      </c>
      <c r="D786" s="137" t="s">
        <v>3298</v>
      </c>
      <c r="E786" s="137" t="s">
        <v>18</v>
      </c>
      <c r="F786" s="137" t="s">
        <v>7</v>
      </c>
      <c r="G786" s="137" t="s">
        <v>8</v>
      </c>
      <c r="H786" s="138">
        <v>220</v>
      </c>
    </row>
    <row r="787" spans="1:9">
      <c r="A787" s="134">
        <v>787</v>
      </c>
      <c r="B787" s="134" t="s">
        <v>1818</v>
      </c>
      <c r="C787" s="137" t="s">
        <v>3299</v>
      </c>
      <c r="D787" s="137" t="s">
        <v>3300</v>
      </c>
      <c r="E787" s="137" t="s">
        <v>14</v>
      </c>
      <c r="F787" s="137" t="s">
        <v>7</v>
      </c>
      <c r="G787" s="137" t="s">
        <v>8</v>
      </c>
      <c r="H787" s="138">
        <v>190</v>
      </c>
      <c r="I787" s="191"/>
    </row>
    <row r="788" spans="1:9">
      <c r="A788" s="134">
        <v>788</v>
      </c>
      <c r="B788" s="134" t="s">
        <v>1818</v>
      </c>
      <c r="C788" s="134" t="s">
        <v>3301</v>
      </c>
      <c r="D788" s="134" t="s">
        <v>3302</v>
      </c>
      <c r="E788" s="134" t="s">
        <v>18</v>
      </c>
      <c r="F788" s="134" t="s">
        <v>7</v>
      </c>
      <c r="G788" s="134" t="s">
        <v>8</v>
      </c>
      <c r="H788" s="140">
        <v>180</v>
      </c>
      <c r="I788" s="191"/>
    </row>
    <row r="789" spans="1:9">
      <c r="A789" s="134">
        <v>789</v>
      </c>
      <c r="B789" s="134" t="s">
        <v>1818</v>
      </c>
      <c r="C789" s="134" t="s">
        <v>3303</v>
      </c>
      <c r="D789" s="134" t="s">
        <v>3304</v>
      </c>
      <c r="E789" s="134" t="s">
        <v>6</v>
      </c>
      <c r="F789" s="134" t="s">
        <v>7</v>
      </c>
      <c r="G789" s="134" t="s">
        <v>8</v>
      </c>
      <c r="H789" s="140">
        <v>220</v>
      </c>
      <c r="I789" s="191"/>
    </row>
    <row r="790" spans="1:9">
      <c r="A790" s="134">
        <v>790</v>
      </c>
      <c r="B790" s="134" t="s">
        <v>1818</v>
      </c>
      <c r="C790" s="152" t="s">
        <v>3305</v>
      </c>
      <c r="D790" s="152" t="s">
        <v>3306</v>
      </c>
      <c r="E790" s="152" t="s">
        <v>14</v>
      </c>
      <c r="F790" s="152" t="s">
        <v>7</v>
      </c>
      <c r="G790" s="152" t="s">
        <v>13</v>
      </c>
      <c r="H790" s="157">
        <v>227</v>
      </c>
      <c r="I790" s="191"/>
    </row>
    <row r="791" spans="1:9">
      <c r="A791" s="134">
        <v>791</v>
      </c>
      <c r="B791" s="134" t="s">
        <v>1818</v>
      </c>
      <c r="C791" s="152" t="s">
        <v>3307</v>
      </c>
      <c r="D791" s="200" t="s">
        <v>3308</v>
      </c>
      <c r="E791" s="152" t="s">
        <v>14</v>
      </c>
      <c r="F791" s="152" t="s">
        <v>7</v>
      </c>
      <c r="G791" s="152" t="s">
        <v>13</v>
      </c>
      <c r="H791" s="157">
        <v>227</v>
      </c>
      <c r="I791" s="191"/>
    </row>
    <row r="792" spans="1:9" ht="51.75" customHeight="1">
      <c r="A792" s="134">
        <v>792</v>
      </c>
      <c r="B792" s="134" t="s">
        <v>1818</v>
      </c>
      <c r="C792" s="137" t="s">
        <v>3309</v>
      </c>
      <c r="D792" s="137" t="s">
        <v>1937</v>
      </c>
      <c r="E792" s="137" t="s">
        <v>18</v>
      </c>
      <c r="F792" s="137" t="s">
        <v>7</v>
      </c>
      <c r="G792" s="137" t="s">
        <v>13</v>
      </c>
      <c r="H792" s="138">
        <v>190</v>
      </c>
      <c r="I792" s="191"/>
    </row>
    <row r="793" spans="1:9">
      <c r="A793" s="134">
        <v>793</v>
      </c>
      <c r="B793" s="134" t="s">
        <v>1818</v>
      </c>
      <c r="C793" s="152" t="s">
        <v>3309</v>
      </c>
      <c r="D793" s="152" t="s">
        <v>3310</v>
      </c>
      <c r="E793" s="152" t="s">
        <v>14</v>
      </c>
      <c r="F793" s="152" t="s">
        <v>7</v>
      </c>
      <c r="G793" s="152" t="s">
        <v>13</v>
      </c>
      <c r="H793" s="157">
        <v>227</v>
      </c>
      <c r="I793" s="191"/>
    </row>
    <row r="794" spans="1:9">
      <c r="A794" s="134">
        <v>794</v>
      </c>
      <c r="B794" s="134" t="s">
        <v>1818</v>
      </c>
      <c r="C794" s="146" t="s">
        <v>3311</v>
      </c>
      <c r="D794" s="146" t="s">
        <v>3312</v>
      </c>
      <c r="E794" s="137" t="s">
        <v>18</v>
      </c>
      <c r="F794" s="137" t="s">
        <v>7</v>
      </c>
      <c r="G794" s="146" t="s">
        <v>8</v>
      </c>
      <c r="H794" s="138">
        <v>220</v>
      </c>
      <c r="I794" s="191"/>
    </row>
    <row r="795" spans="1:9">
      <c r="A795" s="134">
        <v>795</v>
      </c>
      <c r="B795" s="134" t="s">
        <v>1818</v>
      </c>
      <c r="C795" s="137" t="s">
        <v>3313</v>
      </c>
      <c r="D795" s="137" t="s">
        <v>3314</v>
      </c>
      <c r="E795" s="137" t="s">
        <v>12</v>
      </c>
      <c r="F795" s="137" t="s">
        <v>7</v>
      </c>
      <c r="G795" s="137" t="s">
        <v>13</v>
      </c>
      <c r="H795" s="138">
        <v>190</v>
      </c>
      <c r="I795" s="191"/>
    </row>
    <row r="796" spans="1:9">
      <c r="A796" s="134">
        <v>796</v>
      </c>
      <c r="B796" s="134" t="s">
        <v>1818</v>
      </c>
      <c r="C796" s="134" t="s">
        <v>3315</v>
      </c>
      <c r="D796" s="135" t="s">
        <v>3316</v>
      </c>
      <c r="H796" s="136">
        <v>260</v>
      </c>
      <c r="I796" s="191"/>
    </row>
    <row r="797" spans="1:9" s="158" customFormat="1">
      <c r="A797" s="158">
        <v>797</v>
      </c>
      <c r="B797" s="134" t="s">
        <v>1818</v>
      </c>
      <c r="C797" s="158" t="s">
        <v>3317</v>
      </c>
      <c r="D797" s="158" t="s">
        <v>3318</v>
      </c>
      <c r="E797" s="158" t="s">
        <v>33</v>
      </c>
      <c r="F797" s="158" t="s">
        <v>10</v>
      </c>
      <c r="G797" s="158" t="s">
        <v>20</v>
      </c>
      <c r="H797" s="159"/>
      <c r="I797" s="201" t="s">
        <v>44</v>
      </c>
    </row>
    <row r="798" spans="1:9">
      <c r="A798" s="134">
        <v>798</v>
      </c>
      <c r="B798" s="134" t="s">
        <v>1818</v>
      </c>
      <c r="C798" s="137" t="s">
        <v>3319</v>
      </c>
      <c r="D798" s="137" t="s">
        <v>1991</v>
      </c>
      <c r="E798" s="137" t="s">
        <v>14</v>
      </c>
      <c r="F798" s="137" t="s">
        <v>10</v>
      </c>
      <c r="G798" s="137" t="s">
        <v>13</v>
      </c>
      <c r="H798" s="138">
        <v>190</v>
      </c>
      <c r="I798" s="191"/>
    </row>
    <row r="799" spans="1:9">
      <c r="A799" s="134">
        <v>799</v>
      </c>
      <c r="B799" s="134" t="s">
        <v>1818</v>
      </c>
      <c r="C799" s="134" t="s">
        <v>3320</v>
      </c>
      <c r="D799" s="134" t="s">
        <v>3321</v>
      </c>
      <c r="E799" s="134" t="s">
        <v>18</v>
      </c>
      <c r="F799" s="134" t="s">
        <v>7</v>
      </c>
      <c r="G799" s="134" t="s">
        <v>8</v>
      </c>
      <c r="H799" s="140">
        <v>232</v>
      </c>
      <c r="I799" s="191"/>
    </row>
    <row r="800" spans="1:9">
      <c r="A800" s="134">
        <v>800</v>
      </c>
      <c r="B800" s="134" t="s">
        <v>1818</v>
      </c>
      <c r="C800" s="146" t="s">
        <v>3322</v>
      </c>
      <c r="D800" s="146" t="s">
        <v>3323</v>
      </c>
      <c r="E800" s="134" t="s">
        <v>14</v>
      </c>
      <c r="F800" s="134" t="s">
        <v>7</v>
      </c>
      <c r="G800" s="146" t="s">
        <v>8</v>
      </c>
      <c r="H800" s="140">
        <v>180</v>
      </c>
      <c r="I800" s="191"/>
    </row>
    <row r="801" spans="1:12">
      <c r="A801" s="134">
        <v>801</v>
      </c>
      <c r="B801" s="134" t="s">
        <v>1818</v>
      </c>
      <c r="C801" s="134" t="s">
        <v>3324</v>
      </c>
      <c r="D801" s="134" t="s">
        <v>2094</v>
      </c>
      <c r="E801" s="134" t="s">
        <v>26</v>
      </c>
      <c r="F801" s="134" t="s">
        <v>10</v>
      </c>
      <c r="G801" s="134" t="s">
        <v>13</v>
      </c>
      <c r="H801" s="140">
        <v>125</v>
      </c>
      <c r="I801" s="191"/>
    </row>
    <row r="802" spans="1:12">
      <c r="A802" s="134">
        <v>802</v>
      </c>
      <c r="B802" s="134" t="s">
        <v>1818</v>
      </c>
      <c r="C802" s="139" t="s">
        <v>3325</v>
      </c>
      <c r="D802" s="134" t="s">
        <v>3326</v>
      </c>
      <c r="E802" s="134" t="s">
        <v>16</v>
      </c>
      <c r="F802" s="134" t="s">
        <v>7</v>
      </c>
      <c r="G802" s="134" t="s">
        <v>8</v>
      </c>
      <c r="H802" s="141">
        <v>180</v>
      </c>
      <c r="I802" s="191"/>
    </row>
    <row r="803" spans="1:12">
      <c r="A803" s="134">
        <v>803</v>
      </c>
      <c r="B803" s="134" t="s">
        <v>1818</v>
      </c>
      <c r="C803" s="134" t="s">
        <v>3327</v>
      </c>
      <c r="D803" s="134" t="s">
        <v>3328</v>
      </c>
      <c r="E803" s="134" t="s">
        <v>12</v>
      </c>
      <c r="F803" s="134" t="s">
        <v>10</v>
      </c>
      <c r="G803" s="134" t="s">
        <v>8</v>
      </c>
      <c r="H803" s="140">
        <v>180</v>
      </c>
      <c r="I803" s="191"/>
    </row>
    <row r="804" spans="1:12" ht="44.25" customHeight="1">
      <c r="A804" s="134">
        <v>804</v>
      </c>
      <c r="B804" s="134" t="s">
        <v>1818</v>
      </c>
      <c r="C804" s="166" t="s">
        <v>3329</v>
      </c>
      <c r="D804" s="134" t="s">
        <v>3330</v>
      </c>
      <c r="E804" s="134" t="s">
        <v>16</v>
      </c>
      <c r="F804" s="134" t="s">
        <v>7</v>
      </c>
      <c r="G804" s="147" t="s">
        <v>8</v>
      </c>
      <c r="H804" s="167">
        <v>180</v>
      </c>
      <c r="I804" s="191"/>
    </row>
    <row r="805" spans="1:12">
      <c r="A805" s="134">
        <v>805</v>
      </c>
      <c r="B805" s="134" t="s">
        <v>1818</v>
      </c>
      <c r="C805" s="139" t="s">
        <v>3331</v>
      </c>
      <c r="D805" s="139" t="s">
        <v>3332</v>
      </c>
      <c r="E805" s="139" t="s">
        <v>9</v>
      </c>
      <c r="F805" s="137" t="s">
        <v>10</v>
      </c>
      <c r="G805" s="134" t="s">
        <v>11</v>
      </c>
      <c r="H805" s="160">
        <v>180</v>
      </c>
      <c r="I805" s="191"/>
    </row>
    <row r="806" spans="1:12" ht="66" customHeight="1">
      <c r="A806" s="134">
        <v>806</v>
      </c>
      <c r="B806" s="134" t="s">
        <v>1818</v>
      </c>
      <c r="C806" s="134" t="s">
        <v>3333</v>
      </c>
      <c r="D806" s="134" t="s">
        <v>3334</v>
      </c>
      <c r="E806" s="134" t="s">
        <v>15</v>
      </c>
      <c r="F806" s="134" t="s">
        <v>7</v>
      </c>
      <c r="G806" s="134" t="s">
        <v>13</v>
      </c>
      <c r="H806" s="140">
        <v>190</v>
      </c>
      <c r="I806" s="191"/>
    </row>
    <row r="807" spans="1:12" ht="17.25" customHeight="1">
      <c r="A807" s="134">
        <v>807</v>
      </c>
      <c r="B807" s="134" t="s">
        <v>1818</v>
      </c>
      <c r="C807" s="134" t="s">
        <v>3335</v>
      </c>
      <c r="D807" s="134" t="s">
        <v>3334</v>
      </c>
      <c r="E807" s="134" t="s">
        <v>15</v>
      </c>
      <c r="F807" s="134" t="s">
        <v>7</v>
      </c>
      <c r="G807" s="134" t="s">
        <v>8</v>
      </c>
      <c r="H807" s="140">
        <v>190</v>
      </c>
      <c r="I807" s="1"/>
      <c r="J807" s="202"/>
      <c r="K807" s="202"/>
      <c r="L807" s="203"/>
    </row>
    <row r="808" spans="1:12">
      <c r="A808" s="134">
        <v>808</v>
      </c>
      <c r="B808" s="134" t="s">
        <v>1818</v>
      </c>
      <c r="C808" s="134" t="s">
        <v>3336</v>
      </c>
      <c r="D808" s="134" t="s">
        <v>3337</v>
      </c>
      <c r="E808" s="134" t="s">
        <v>12</v>
      </c>
      <c r="F808" s="137" t="s">
        <v>10</v>
      </c>
      <c r="G808" s="134" t="s">
        <v>20</v>
      </c>
      <c r="H808" s="140">
        <v>220</v>
      </c>
    </row>
    <row r="809" spans="1:12">
      <c r="A809" s="134">
        <v>809</v>
      </c>
      <c r="B809" s="134" t="s">
        <v>1818</v>
      </c>
      <c r="C809" s="134" t="s">
        <v>3338</v>
      </c>
      <c r="D809" s="134" t="s">
        <v>3339</v>
      </c>
      <c r="E809" s="134" t="s">
        <v>14</v>
      </c>
      <c r="F809" s="137" t="s">
        <v>10</v>
      </c>
      <c r="G809" s="134" t="s">
        <v>20</v>
      </c>
      <c r="H809" s="140">
        <v>220</v>
      </c>
    </row>
    <row r="810" spans="1:12">
      <c r="A810" s="134">
        <v>810</v>
      </c>
      <c r="B810" s="134" t="s">
        <v>1818</v>
      </c>
      <c r="C810" s="137" t="s">
        <v>3340</v>
      </c>
      <c r="D810" s="137" t="s">
        <v>3341</v>
      </c>
      <c r="E810" s="137" t="s">
        <v>18</v>
      </c>
      <c r="F810" s="137" t="s">
        <v>7</v>
      </c>
      <c r="G810" s="137" t="s">
        <v>13</v>
      </c>
      <c r="H810" s="138">
        <v>190</v>
      </c>
    </row>
    <row r="811" spans="1:12">
      <c r="A811" s="134">
        <v>811</v>
      </c>
      <c r="B811" s="134" t="s">
        <v>1818</v>
      </c>
      <c r="C811" s="137" t="s">
        <v>3342</v>
      </c>
      <c r="D811" s="137" t="s">
        <v>3343</v>
      </c>
      <c r="E811" s="137" t="s">
        <v>6</v>
      </c>
      <c r="F811" s="137" t="s">
        <v>7</v>
      </c>
      <c r="G811" s="137" t="s">
        <v>8</v>
      </c>
      <c r="H811" s="138">
        <v>190</v>
      </c>
    </row>
    <row r="812" spans="1:12">
      <c r="A812" s="134">
        <v>812</v>
      </c>
      <c r="B812" s="134" t="s">
        <v>1818</v>
      </c>
      <c r="C812" s="134" t="s">
        <v>3344</v>
      </c>
      <c r="D812" s="134" t="s">
        <v>3345</v>
      </c>
      <c r="E812" s="134" t="s">
        <v>9</v>
      </c>
      <c r="F812" s="134" t="s">
        <v>7</v>
      </c>
      <c r="G812" s="134" t="s">
        <v>8</v>
      </c>
      <c r="H812" s="140">
        <v>180</v>
      </c>
    </row>
    <row r="813" spans="1:12">
      <c r="A813" s="134">
        <v>813</v>
      </c>
      <c r="B813" s="134" t="s">
        <v>1818</v>
      </c>
      <c r="C813" s="137" t="s">
        <v>3346</v>
      </c>
      <c r="D813" s="137" t="s">
        <v>3347</v>
      </c>
      <c r="E813" s="137" t="s">
        <v>18</v>
      </c>
      <c r="F813" s="137" t="s">
        <v>7</v>
      </c>
      <c r="G813" s="137" t="s">
        <v>8</v>
      </c>
      <c r="H813" s="138">
        <v>232</v>
      </c>
    </row>
    <row r="814" spans="1:12">
      <c r="A814" s="134">
        <v>814</v>
      </c>
      <c r="B814" s="134" t="s">
        <v>1818</v>
      </c>
      <c r="C814" s="152" t="s">
        <v>3348</v>
      </c>
      <c r="D814" s="152" t="s">
        <v>2832</v>
      </c>
      <c r="E814" s="152" t="s">
        <v>12</v>
      </c>
      <c r="F814" s="152" t="s">
        <v>7</v>
      </c>
      <c r="G814" s="152" t="s">
        <v>13</v>
      </c>
      <c r="H814" s="152">
        <v>227</v>
      </c>
    </row>
    <row r="815" spans="1:12" ht="35.25" customHeight="1">
      <c r="A815" s="134">
        <v>815</v>
      </c>
      <c r="B815" s="134" t="s">
        <v>1818</v>
      </c>
      <c r="C815" s="137" t="s">
        <v>3349</v>
      </c>
      <c r="D815" s="137" t="s">
        <v>3350</v>
      </c>
      <c r="E815" s="137" t="s">
        <v>14</v>
      </c>
      <c r="F815" s="137" t="s">
        <v>7</v>
      </c>
      <c r="G815" s="137" t="s">
        <v>13</v>
      </c>
      <c r="H815" s="138">
        <v>190</v>
      </c>
    </row>
    <row r="816" spans="1:12">
      <c r="A816" s="134">
        <v>816</v>
      </c>
      <c r="B816" s="134" t="s">
        <v>1818</v>
      </c>
      <c r="C816" s="146" t="s">
        <v>3351</v>
      </c>
      <c r="D816" s="146" t="s">
        <v>3352</v>
      </c>
      <c r="F816" s="134" t="s">
        <v>7</v>
      </c>
      <c r="G816" s="146" t="s">
        <v>13</v>
      </c>
      <c r="H816" s="140">
        <v>190</v>
      </c>
      <c r="I816" s="156"/>
    </row>
    <row r="817" spans="1:9">
      <c r="A817" s="134">
        <v>817</v>
      </c>
      <c r="B817" s="134" t="s">
        <v>1818</v>
      </c>
      <c r="C817" s="146" t="s">
        <v>3353</v>
      </c>
      <c r="D817" s="146" t="s">
        <v>1834</v>
      </c>
      <c r="E817" s="134" t="s">
        <v>9</v>
      </c>
      <c r="F817" s="134" t="s">
        <v>7</v>
      </c>
      <c r="G817" s="146" t="s">
        <v>8</v>
      </c>
      <c r="H817" s="140">
        <v>180</v>
      </c>
    </row>
    <row r="818" spans="1:9">
      <c r="A818" s="134">
        <v>818</v>
      </c>
      <c r="B818" s="134" t="s">
        <v>1818</v>
      </c>
      <c r="C818" s="134" t="s">
        <v>3354</v>
      </c>
      <c r="D818" s="134" t="s">
        <v>3355</v>
      </c>
      <c r="E818" s="134" t="s">
        <v>16</v>
      </c>
      <c r="F818" s="134" t="s">
        <v>7</v>
      </c>
      <c r="G818" s="134" t="s">
        <v>8</v>
      </c>
      <c r="H818" s="140">
        <v>180</v>
      </c>
    </row>
    <row r="819" spans="1:9">
      <c r="A819" s="134">
        <v>819</v>
      </c>
      <c r="B819" s="134" t="s">
        <v>1818</v>
      </c>
      <c r="C819" s="137" t="s">
        <v>3356</v>
      </c>
      <c r="D819" s="137" t="s">
        <v>3357</v>
      </c>
      <c r="E819" s="137" t="s">
        <v>14</v>
      </c>
      <c r="F819" s="137" t="s">
        <v>7</v>
      </c>
      <c r="G819" s="137" t="s">
        <v>8</v>
      </c>
      <c r="H819" s="138">
        <v>227</v>
      </c>
    </row>
    <row r="820" spans="1:9">
      <c r="A820" s="134">
        <v>820</v>
      </c>
      <c r="B820" s="134" t="s">
        <v>1818</v>
      </c>
      <c r="C820" s="137" t="s">
        <v>3358</v>
      </c>
      <c r="D820" s="137" t="s">
        <v>1937</v>
      </c>
      <c r="E820" s="137" t="s">
        <v>15</v>
      </c>
      <c r="F820" s="137" t="s">
        <v>10</v>
      </c>
      <c r="G820" s="137" t="s">
        <v>13</v>
      </c>
      <c r="H820" s="138">
        <v>190</v>
      </c>
    </row>
    <row r="821" spans="1:9" s="158" customFormat="1" ht="33">
      <c r="A821" s="158">
        <v>821</v>
      </c>
      <c r="B821" s="134" t="s">
        <v>1818</v>
      </c>
      <c r="C821" s="158" t="s">
        <v>3359</v>
      </c>
      <c r="D821" s="158" t="s">
        <v>3360</v>
      </c>
      <c r="E821" s="158" t="s">
        <v>14</v>
      </c>
      <c r="F821" s="158" t="s">
        <v>10</v>
      </c>
      <c r="G821" s="158" t="s">
        <v>11</v>
      </c>
      <c r="H821" s="159"/>
      <c r="I821" s="158" t="s">
        <v>45</v>
      </c>
    </row>
    <row r="822" spans="1:9">
      <c r="A822" s="134">
        <v>822</v>
      </c>
      <c r="B822" s="134" t="s">
        <v>1818</v>
      </c>
      <c r="C822" s="137" t="s">
        <v>3361</v>
      </c>
      <c r="D822" s="137" t="s">
        <v>3362</v>
      </c>
      <c r="E822" s="137" t="s">
        <v>6</v>
      </c>
      <c r="F822" s="137" t="s">
        <v>7</v>
      </c>
      <c r="G822" s="137" t="s">
        <v>8</v>
      </c>
      <c r="H822" s="138">
        <v>220</v>
      </c>
    </row>
    <row r="823" spans="1:9">
      <c r="A823" s="134">
        <v>823</v>
      </c>
      <c r="B823" s="134" t="s">
        <v>1818</v>
      </c>
      <c r="C823" s="134" t="s">
        <v>3363</v>
      </c>
      <c r="D823" s="134" t="s">
        <v>3364</v>
      </c>
      <c r="E823" s="134" t="s">
        <v>9</v>
      </c>
      <c r="F823" s="137" t="s">
        <v>10</v>
      </c>
      <c r="G823" s="134" t="s">
        <v>20</v>
      </c>
      <c r="H823" s="140">
        <v>220</v>
      </c>
    </row>
    <row r="824" spans="1:9">
      <c r="A824" s="134">
        <v>824</v>
      </c>
      <c r="B824" s="134" t="s">
        <v>1818</v>
      </c>
      <c r="C824" s="137" t="s">
        <v>3365</v>
      </c>
      <c r="D824" s="137" t="s">
        <v>3366</v>
      </c>
      <c r="E824" s="137" t="s">
        <v>14</v>
      </c>
      <c r="F824" s="137" t="s">
        <v>10</v>
      </c>
      <c r="G824" s="137" t="s">
        <v>8</v>
      </c>
      <c r="H824" s="138">
        <v>232</v>
      </c>
    </row>
    <row r="825" spans="1:9">
      <c r="A825" s="134">
        <v>825</v>
      </c>
      <c r="B825" s="134" t="s">
        <v>1818</v>
      </c>
      <c r="C825" s="137" t="s">
        <v>3367</v>
      </c>
      <c r="D825" s="137" t="s">
        <v>3368</v>
      </c>
      <c r="E825" s="137" t="s">
        <v>14</v>
      </c>
      <c r="F825" s="137" t="s">
        <v>10</v>
      </c>
      <c r="G825" s="137" t="s">
        <v>13</v>
      </c>
      <c r="H825" s="138">
        <v>322</v>
      </c>
    </row>
    <row r="826" spans="1:9">
      <c r="A826" s="134">
        <v>826</v>
      </c>
      <c r="B826" s="134" t="s">
        <v>1818</v>
      </c>
      <c r="C826" s="152" t="s">
        <v>3369</v>
      </c>
      <c r="D826" s="152" t="s">
        <v>3370</v>
      </c>
      <c r="E826" s="152" t="s">
        <v>18</v>
      </c>
      <c r="F826" s="152" t="s">
        <v>10</v>
      </c>
      <c r="G826" s="152" t="s">
        <v>8</v>
      </c>
      <c r="H826" s="157">
        <v>169</v>
      </c>
    </row>
    <row r="827" spans="1:9">
      <c r="A827" s="134">
        <v>827</v>
      </c>
      <c r="B827" s="134" t="s">
        <v>1818</v>
      </c>
      <c r="C827" s="137" t="s">
        <v>3371</v>
      </c>
      <c r="D827" s="137" t="s">
        <v>2970</v>
      </c>
      <c r="E827" s="137" t="s">
        <v>16</v>
      </c>
      <c r="F827" s="137" t="s">
        <v>10</v>
      </c>
      <c r="G827" s="137" t="s">
        <v>13</v>
      </c>
      <c r="H827" s="138">
        <v>232</v>
      </c>
    </row>
    <row r="828" spans="1:9">
      <c r="A828" s="134">
        <v>828</v>
      </c>
      <c r="B828" s="134" t="s">
        <v>1818</v>
      </c>
      <c r="C828" s="137" t="s">
        <v>3371</v>
      </c>
      <c r="D828" s="137" t="s">
        <v>3372</v>
      </c>
      <c r="E828" s="137" t="s">
        <v>15</v>
      </c>
      <c r="F828" s="137" t="s">
        <v>10</v>
      </c>
      <c r="G828" s="137" t="s">
        <v>13</v>
      </c>
      <c r="H828" s="138">
        <v>232</v>
      </c>
    </row>
    <row r="829" spans="1:9">
      <c r="A829" s="134">
        <v>829</v>
      </c>
      <c r="B829" s="134" t="s">
        <v>1818</v>
      </c>
      <c r="C829" s="137" t="s">
        <v>3373</v>
      </c>
      <c r="D829" s="137" t="s">
        <v>3374</v>
      </c>
      <c r="E829" s="137" t="s">
        <v>12</v>
      </c>
      <c r="F829" s="137" t="s">
        <v>7</v>
      </c>
      <c r="G829" s="137" t="s">
        <v>13</v>
      </c>
      <c r="H829" s="138">
        <v>190</v>
      </c>
    </row>
    <row r="830" spans="1:9">
      <c r="A830" s="134">
        <v>830</v>
      </c>
      <c r="B830" s="134" t="s">
        <v>1818</v>
      </c>
      <c r="C830" s="147" t="s">
        <v>3375</v>
      </c>
      <c r="D830" s="147" t="s">
        <v>3015</v>
      </c>
      <c r="E830" s="147" t="s">
        <v>12</v>
      </c>
      <c r="F830" s="147" t="s">
        <v>7</v>
      </c>
      <c r="G830" s="147" t="s">
        <v>8</v>
      </c>
      <c r="H830" s="148">
        <v>227</v>
      </c>
    </row>
    <row r="831" spans="1:9">
      <c r="A831" s="134">
        <v>831</v>
      </c>
      <c r="B831" s="134" t="s">
        <v>1818</v>
      </c>
      <c r="C831" s="134" t="s">
        <v>3376</v>
      </c>
      <c r="D831" s="134" t="s">
        <v>2084</v>
      </c>
      <c r="E831" s="134" t="s">
        <v>12</v>
      </c>
      <c r="F831" s="134" t="s">
        <v>7</v>
      </c>
      <c r="G831" s="134" t="s">
        <v>8</v>
      </c>
      <c r="H831" s="140">
        <v>180</v>
      </c>
    </row>
    <row r="832" spans="1:9">
      <c r="A832" s="134">
        <v>832</v>
      </c>
      <c r="B832" s="134" t="s">
        <v>1818</v>
      </c>
      <c r="C832" s="137" t="s">
        <v>3377</v>
      </c>
      <c r="D832" s="137" t="s">
        <v>3378</v>
      </c>
      <c r="E832" s="137" t="s">
        <v>15</v>
      </c>
      <c r="F832" s="137" t="s">
        <v>7</v>
      </c>
      <c r="G832" s="137" t="s">
        <v>8</v>
      </c>
      <c r="H832" s="138">
        <v>190</v>
      </c>
    </row>
    <row r="833" spans="1:9">
      <c r="A833" s="134">
        <v>833</v>
      </c>
      <c r="B833" s="134" t="s">
        <v>1818</v>
      </c>
      <c r="C833" s="137" t="s">
        <v>3379</v>
      </c>
      <c r="D833" s="137" t="s">
        <v>3380</v>
      </c>
      <c r="E833" s="137" t="s">
        <v>12</v>
      </c>
      <c r="F833" s="137" t="s">
        <v>7</v>
      </c>
      <c r="G833" s="137" t="s">
        <v>8</v>
      </c>
      <c r="H833" s="138">
        <v>232</v>
      </c>
    </row>
    <row r="834" spans="1:9">
      <c r="A834" s="134">
        <v>834</v>
      </c>
      <c r="B834" s="134" t="s">
        <v>1818</v>
      </c>
      <c r="C834" s="134" t="s">
        <v>3381</v>
      </c>
      <c r="D834" s="134" t="s">
        <v>3382</v>
      </c>
      <c r="E834" s="134" t="s">
        <v>14</v>
      </c>
      <c r="F834" s="134" t="s">
        <v>10</v>
      </c>
      <c r="G834" s="134" t="s">
        <v>13</v>
      </c>
      <c r="H834" s="140">
        <v>364</v>
      </c>
    </row>
    <row r="835" spans="1:9">
      <c r="A835" s="134">
        <v>835</v>
      </c>
      <c r="B835" s="134" t="s">
        <v>1818</v>
      </c>
      <c r="C835" s="137" t="s">
        <v>3383</v>
      </c>
      <c r="D835" s="137" t="s">
        <v>3384</v>
      </c>
      <c r="E835" s="137" t="s">
        <v>15</v>
      </c>
      <c r="F835" s="137" t="s">
        <v>10</v>
      </c>
      <c r="G835" s="137" t="s">
        <v>13</v>
      </c>
      <c r="H835" s="138">
        <v>190</v>
      </c>
    </row>
    <row r="836" spans="1:9">
      <c r="A836" s="134">
        <v>836</v>
      </c>
      <c r="B836" s="134" t="s">
        <v>1818</v>
      </c>
      <c r="C836" s="134" t="s">
        <v>3385</v>
      </c>
      <c r="D836" s="134" t="s">
        <v>3386</v>
      </c>
      <c r="E836" s="137" t="s">
        <v>12</v>
      </c>
      <c r="F836" s="134" t="s">
        <v>7</v>
      </c>
      <c r="G836" s="134" t="s">
        <v>13</v>
      </c>
      <c r="H836" s="140">
        <v>180</v>
      </c>
    </row>
    <row r="837" spans="1:9">
      <c r="A837" s="134">
        <v>837</v>
      </c>
      <c r="B837" s="134" t="s">
        <v>1818</v>
      </c>
      <c r="C837" s="134" t="s">
        <v>3387</v>
      </c>
      <c r="D837" s="134" t="s">
        <v>3388</v>
      </c>
      <c r="E837" s="134" t="s">
        <v>14</v>
      </c>
      <c r="F837" s="134" t="s">
        <v>7</v>
      </c>
      <c r="G837" s="134" t="s">
        <v>8</v>
      </c>
      <c r="H837" s="140">
        <v>180</v>
      </c>
    </row>
    <row r="838" spans="1:9">
      <c r="A838" s="134">
        <v>838</v>
      </c>
      <c r="B838" s="134" t="s">
        <v>1818</v>
      </c>
      <c r="C838" s="137" t="s">
        <v>3389</v>
      </c>
      <c r="D838" s="137" t="s">
        <v>3390</v>
      </c>
      <c r="E838" s="137" t="s">
        <v>14</v>
      </c>
      <c r="F838" s="137" t="s">
        <v>7</v>
      </c>
      <c r="G838" s="137" t="s">
        <v>8</v>
      </c>
      <c r="H838" s="138">
        <v>232</v>
      </c>
    </row>
    <row r="839" spans="1:9">
      <c r="A839" s="134">
        <v>839</v>
      </c>
      <c r="B839" s="134" t="s">
        <v>1818</v>
      </c>
      <c r="C839" s="137" t="s">
        <v>3391</v>
      </c>
      <c r="D839" s="137" t="s">
        <v>3392</v>
      </c>
      <c r="E839" s="137" t="s">
        <v>18</v>
      </c>
      <c r="F839" s="137" t="s">
        <v>10</v>
      </c>
      <c r="G839" s="137" t="s">
        <v>25</v>
      </c>
      <c r="H839" s="138">
        <v>274</v>
      </c>
    </row>
    <row r="840" spans="1:9" ht="66">
      <c r="A840" s="134">
        <v>840</v>
      </c>
      <c r="B840" s="134" t="s">
        <v>1818</v>
      </c>
      <c r="C840" s="170" t="s">
        <v>3393</v>
      </c>
      <c r="D840" s="170" t="s">
        <v>3394</v>
      </c>
      <c r="E840" s="170" t="s">
        <v>12</v>
      </c>
      <c r="F840" s="170" t="s">
        <v>10</v>
      </c>
      <c r="G840" s="170" t="s">
        <v>20</v>
      </c>
      <c r="H840" s="204">
        <v>234</v>
      </c>
      <c r="I840" s="170" t="s">
        <v>46</v>
      </c>
    </row>
    <row r="841" spans="1:9">
      <c r="A841" s="134">
        <v>841</v>
      </c>
      <c r="B841" s="134" t="s">
        <v>1818</v>
      </c>
      <c r="C841" s="137" t="s">
        <v>3395</v>
      </c>
      <c r="D841" s="137" t="s">
        <v>3396</v>
      </c>
      <c r="E841" s="137" t="s">
        <v>18</v>
      </c>
      <c r="F841" s="137" t="s">
        <v>7</v>
      </c>
      <c r="G841" s="137" t="s">
        <v>8</v>
      </c>
      <c r="H841" s="138">
        <v>232</v>
      </c>
    </row>
    <row r="842" spans="1:9">
      <c r="A842" s="134">
        <v>842</v>
      </c>
      <c r="B842" s="134" t="s">
        <v>1818</v>
      </c>
      <c r="C842" s="134" t="s">
        <v>3397</v>
      </c>
      <c r="D842" s="134" t="s">
        <v>3398</v>
      </c>
      <c r="E842" s="134" t="s">
        <v>9</v>
      </c>
      <c r="F842" s="137" t="s">
        <v>10</v>
      </c>
      <c r="G842" s="134" t="s">
        <v>20</v>
      </c>
      <c r="H842" s="140">
        <v>220</v>
      </c>
    </row>
    <row r="843" spans="1:9">
      <c r="A843" s="134">
        <v>843</v>
      </c>
      <c r="B843" s="134" t="s">
        <v>1818</v>
      </c>
      <c r="C843" s="137" t="s">
        <v>3399</v>
      </c>
      <c r="D843" s="137" t="s">
        <v>3400</v>
      </c>
      <c r="E843" s="137" t="s">
        <v>6</v>
      </c>
      <c r="F843" s="137" t="s">
        <v>7</v>
      </c>
      <c r="G843" s="137" t="s">
        <v>8</v>
      </c>
      <c r="H843" s="138">
        <v>232</v>
      </c>
    </row>
    <row r="844" spans="1:9">
      <c r="A844" s="134">
        <v>844</v>
      </c>
      <c r="B844" s="134" t="s">
        <v>1818</v>
      </c>
      <c r="C844" s="137" t="s">
        <v>3401</v>
      </c>
      <c r="D844" s="137" t="s">
        <v>3402</v>
      </c>
      <c r="E844" s="137" t="s">
        <v>14</v>
      </c>
      <c r="F844" s="137" t="s">
        <v>7</v>
      </c>
      <c r="G844" s="137" t="s">
        <v>8</v>
      </c>
      <c r="H844" s="138">
        <v>232</v>
      </c>
    </row>
    <row r="845" spans="1:9">
      <c r="A845" s="134">
        <v>845</v>
      </c>
      <c r="B845" s="134" t="s">
        <v>1818</v>
      </c>
      <c r="C845" s="137" t="s">
        <v>3403</v>
      </c>
      <c r="D845" s="137" t="s">
        <v>3404</v>
      </c>
      <c r="E845" s="137" t="s">
        <v>6</v>
      </c>
      <c r="F845" s="137" t="s">
        <v>7</v>
      </c>
      <c r="G845" s="137" t="s">
        <v>8</v>
      </c>
      <c r="H845" s="138">
        <v>190</v>
      </c>
    </row>
    <row r="846" spans="1:9">
      <c r="A846" s="134">
        <v>846</v>
      </c>
      <c r="B846" s="134" t="s">
        <v>1818</v>
      </c>
      <c r="C846" s="137" t="s">
        <v>3403</v>
      </c>
      <c r="D846" s="137" t="s">
        <v>3405</v>
      </c>
      <c r="E846" s="137" t="s">
        <v>14</v>
      </c>
      <c r="F846" s="137" t="s">
        <v>7</v>
      </c>
      <c r="G846" s="137" t="s">
        <v>8</v>
      </c>
      <c r="H846" s="138">
        <v>190</v>
      </c>
    </row>
    <row r="847" spans="1:9">
      <c r="A847" s="134">
        <v>847</v>
      </c>
      <c r="B847" s="134" t="s">
        <v>1818</v>
      </c>
      <c r="C847" s="137" t="s">
        <v>3406</v>
      </c>
      <c r="D847" s="137" t="s">
        <v>3407</v>
      </c>
      <c r="E847" s="137" t="s">
        <v>6</v>
      </c>
      <c r="F847" s="137" t="s">
        <v>10</v>
      </c>
      <c r="G847" s="137" t="s">
        <v>13</v>
      </c>
      <c r="H847" s="138">
        <v>232</v>
      </c>
    </row>
    <row r="848" spans="1:9">
      <c r="A848" s="134">
        <v>848</v>
      </c>
      <c r="B848" s="134" t="s">
        <v>1818</v>
      </c>
      <c r="C848" s="137" t="s">
        <v>3408</v>
      </c>
      <c r="D848" s="137" t="s">
        <v>3409</v>
      </c>
      <c r="E848" s="137" t="s">
        <v>6</v>
      </c>
      <c r="F848" s="137" t="s">
        <v>7</v>
      </c>
      <c r="G848" s="137" t="s">
        <v>8</v>
      </c>
      <c r="H848" s="138">
        <v>180</v>
      </c>
    </row>
    <row r="849" spans="1:9">
      <c r="A849" s="134">
        <v>849</v>
      </c>
      <c r="B849" s="134" t="s">
        <v>1818</v>
      </c>
      <c r="C849" s="134" t="s">
        <v>3410</v>
      </c>
      <c r="D849" s="134" t="s">
        <v>3411</v>
      </c>
      <c r="E849" s="134" t="s">
        <v>6</v>
      </c>
      <c r="F849" s="134" t="s">
        <v>7</v>
      </c>
      <c r="G849" s="134" t="s">
        <v>8</v>
      </c>
      <c r="H849" s="140">
        <v>180</v>
      </c>
      <c r="I849" s="156"/>
    </row>
    <row r="850" spans="1:9" ht="26.25" customHeight="1">
      <c r="A850" s="134">
        <v>850</v>
      </c>
      <c r="B850" s="134" t="s">
        <v>1818</v>
      </c>
      <c r="C850" s="134" t="s">
        <v>2554</v>
      </c>
      <c r="D850" s="134" t="s">
        <v>3412</v>
      </c>
      <c r="E850" s="134" t="s">
        <v>6</v>
      </c>
      <c r="F850" s="134" t="s">
        <v>10</v>
      </c>
      <c r="G850" s="134" t="s">
        <v>25</v>
      </c>
      <c r="H850" s="140">
        <v>274</v>
      </c>
    </row>
    <row r="851" spans="1:9">
      <c r="A851" s="134">
        <v>851</v>
      </c>
      <c r="B851" s="134" t="s">
        <v>1818</v>
      </c>
      <c r="C851" s="137" t="s">
        <v>3413</v>
      </c>
      <c r="D851" s="137" t="s">
        <v>3414</v>
      </c>
      <c r="E851" s="137" t="s">
        <v>18</v>
      </c>
      <c r="F851" s="137" t="s">
        <v>7</v>
      </c>
      <c r="G851" s="137" t="s">
        <v>25</v>
      </c>
      <c r="H851" s="138">
        <v>190</v>
      </c>
    </row>
    <row r="852" spans="1:9">
      <c r="A852" s="134">
        <v>852</v>
      </c>
      <c r="B852" s="134" t="s">
        <v>1818</v>
      </c>
      <c r="C852" s="137" t="s">
        <v>3415</v>
      </c>
      <c r="D852" s="137" t="s">
        <v>3416</v>
      </c>
      <c r="E852" s="137" t="s">
        <v>12</v>
      </c>
      <c r="F852" s="137" t="s">
        <v>7</v>
      </c>
      <c r="G852" s="137" t="s">
        <v>8</v>
      </c>
      <c r="H852" s="138">
        <v>190</v>
      </c>
    </row>
    <row r="853" spans="1:9">
      <c r="A853" s="134">
        <v>853</v>
      </c>
      <c r="B853" s="134" t="s">
        <v>1818</v>
      </c>
      <c r="C853" s="137" t="s">
        <v>3417</v>
      </c>
      <c r="D853" s="137" t="s">
        <v>1846</v>
      </c>
      <c r="E853" s="137" t="s">
        <v>18</v>
      </c>
      <c r="F853" s="137" t="s">
        <v>7</v>
      </c>
      <c r="G853" s="137" t="s">
        <v>8</v>
      </c>
      <c r="H853" s="138">
        <v>220</v>
      </c>
    </row>
    <row r="854" spans="1:9">
      <c r="A854" s="134">
        <v>854</v>
      </c>
      <c r="B854" s="134" t="s">
        <v>1818</v>
      </c>
      <c r="C854" s="137" t="s">
        <v>3418</v>
      </c>
      <c r="D854" s="137" t="s">
        <v>2647</v>
      </c>
      <c r="E854" s="137" t="s">
        <v>18</v>
      </c>
      <c r="F854" s="137" t="s">
        <v>10</v>
      </c>
      <c r="G854" s="137" t="s">
        <v>8</v>
      </c>
      <c r="H854" s="138">
        <v>180</v>
      </c>
    </row>
    <row r="855" spans="1:9">
      <c r="A855" s="134">
        <v>855</v>
      </c>
      <c r="B855" s="134" t="s">
        <v>1818</v>
      </c>
      <c r="C855" s="137" t="s">
        <v>3419</v>
      </c>
      <c r="D855" s="137" t="s">
        <v>3420</v>
      </c>
      <c r="E855" s="137" t="s">
        <v>14</v>
      </c>
      <c r="F855" s="137" t="s">
        <v>7</v>
      </c>
      <c r="G855" s="137" t="s">
        <v>8</v>
      </c>
      <c r="H855" s="138">
        <v>232</v>
      </c>
    </row>
    <row r="856" spans="1:9">
      <c r="A856" s="134">
        <v>856</v>
      </c>
      <c r="B856" s="134" t="s">
        <v>1818</v>
      </c>
      <c r="C856" s="137" t="s">
        <v>3421</v>
      </c>
      <c r="D856" s="137" t="s">
        <v>1873</v>
      </c>
      <c r="E856" s="137" t="s">
        <v>12</v>
      </c>
      <c r="F856" s="137" t="s">
        <v>7</v>
      </c>
      <c r="G856" s="137" t="s">
        <v>8</v>
      </c>
      <c r="H856" s="138">
        <v>190</v>
      </c>
    </row>
    <row r="857" spans="1:9">
      <c r="A857" s="134">
        <v>857</v>
      </c>
      <c r="B857" s="134" t="s">
        <v>1818</v>
      </c>
      <c r="C857" s="137" t="s">
        <v>3422</v>
      </c>
      <c r="D857" s="137" t="s">
        <v>3423</v>
      </c>
      <c r="E857" s="137" t="s">
        <v>6</v>
      </c>
      <c r="F857" s="137" t="s">
        <v>7</v>
      </c>
      <c r="G857" s="137" t="s">
        <v>13</v>
      </c>
      <c r="H857" s="138">
        <v>227</v>
      </c>
    </row>
    <row r="858" spans="1:9">
      <c r="A858" s="134">
        <v>858</v>
      </c>
      <c r="B858" s="134" t="s">
        <v>1818</v>
      </c>
      <c r="C858" s="137" t="s">
        <v>3424</v>
      </c>
      <c r="D858" s="137" t="s">
        <v>3425</v>
      </c>
      <c r="E858" s="137" t="s">
        <v>14</v>
      </c>
      <c r="F858" s="137" t="s">
        <v>7</v>
      </c>
      <c r="G858" s="137" t="s">
        <v>13</v>
      </c>
      <c r="H858" s="138">
        <v>190</v>
      </c>
    </row>
    <row r="859" spans="1:9">
      <c r="A859" s="134">
        <v>859</v>
      </c>
      <c r="B859" s="134" t="s">
        <v>1818</v>
      </c>
      <c r="C859" s="134" t="s">
        <v>3426</v>
      </c>
      <c r="D859" s="134" t="s">
        <v>3427</v>
      </c>
      <c r="F859" s="134" t="s">
        <v>7</v>
      </c>
      <c r="G859" s="134" t="s">
        <v>8</v>
      </c>
      <c r="H859" s="140">
        <v>260</v>
      </c>
    </row>
    <row r="860" spans="1:9">
      <c r="A860" s="134">
        <v>860</v>
      </c>
      <c r="B860" s="134" t="s">
        <v>1818</v>
      </c>
      <c r="C860" s="137" t="s">
        <v>3428</v>
      </c>
      <c r="D860" s="137" t="s">
        <v>3429</v>
      </c>
      <c r="E860" s="137" t="s">
        <v>15</v>
      </c>
      <c r="F860" s="137" t="s">
        <v>10</v>
      </c>
      <c r="G860" s="137" t="s">
        <v>13</v>
      </c>
      <c r="H860" s="138">
        <v>232</v>
      </c>
    </row>
    <row r="861" spans="1:9">
      <c r="A861" s="134">
        <v>861</v>
      </c>
      <c r="B861" s="134" t="s">
        <v>1818</v>
      </c>
      <c r="C861" s="137" t="s">
        <v>3430</v>
      </c>
      <c r="D861" s="137" t="s">
        <v>3431</v>
      </c>
      <c r="E861" s="137" t="s">
        <v>18</v>
      </c>
      <c r="F861" s="137" t="s">
        <v>7</v>
      </c>
      <c r="G861" s="137" t="s">
        <v>8</v>
      </c>
      <c r="H861" s="138">
        <v>180</v>
      </c>
    </row>
    <row r="862" spans="1:9">
      <c r="A862" s="134">
        <v>862</v>
      </c>
      <c r="B862" s="134" t="s">
        <v>1818</v>
      </c>
      <c r="C862" s="137" t="s">
        <v>3432</v>
      </c>
      <c r="D862" s="137" t="s">
        <v>3433</v>
      </c>
      <c r="E862" s="137" t="s">
        <v>14</v>
      </c>
      <c r="F862" s="137" t="s">
        <v>7</v>
      </c>
      <c r="G862" s="137" t="s">
        <v>8</v>
      </c>
      <c r="H862" s="138">
        <v>190</v>
      </c>
    </row>
    <row r="863" spans="1:9">
      <c r="A863" s="134">
        <v>863</v>
      </c>
      <c r="B863" s="134" t="s">
        <v>1818</v>
      </c>
      <c r="C863" s="134" t="s">
        <v>3434</v>
      </c>
      <c r="D863" s="134" t="s">
        <v>3435</v>
      </c>
      <c r="E863" s="134" t="s">
        <v>12</v>
      </c>
      <c r="F863" s="134" t="s">
        <v>7</v>
      </c>
      <c r="G863" s="134" t="s">
        <v>13</v>
      </c>
      <c r="H863" s="140">
        <v>190</v>
      </c>
    </row>
    <row r="864" spans="1:9">
      <c r="A864" s="134">
        <v>864</v>
      </c>
      <c r="B864" s="134" t="s">
        <v>1818</v>
      </c>
      <c r="C864" s="166" t="s">
        <v>3436</v>
      </c>
      <c r="D864" s="134" t="s">
        <v>3437</v>
      </c>
      <c r="E864" s="134" t="s">
        <v>12</v>
      </c>
      <c r="F864" s="134" t="s">
        <v>7</v>
      </c>
      <c r="G864" s="147" t="s">
        <v>8</v>
      </c>
      <c r="H864" s="167">
        <v>220</v>
      </c>
    </row>
    <row r="865" spans="1:9">
      <c r="A865" s="134">
        <v>865</v>
      </c>
      <c r="B865" s="134" t="s">
        <v>1818</v>
      </c>
      <c r="C865" s="134" t="s">
        <v>3438</v>
      </c>
      <c r="D865" s="134" t="s">
        <v>3439</v>
      </c>
      <c r="E865" s="134" t="s">
        <v>9</v>
      </c>
      <c r="F865" s="134" t="s">
        <v>7</v>
      </c>
      <c r="G865" s="134" t="s">
        <v>8</v>
      </c>
      <c r="H865" s="140">
        <v>180</v>
      </c>
    </row>
    <row r="866" spans="1:9">
      <c r="A866" s="134">
        <v>866</v>
      </c>
      <c r="B866" s="134" t="s">
        <v>1818</v>
      </c>
      <c r="C866" s="137" t="s">
        <v>3440</v>
      </c>
      <c r="D866" s="137" t="s">
        <v>3441</v>
      </c>
      <c r="E866" s="137" t="s">
        <v>12</v>
      </c>
      <c r="F866" s="137" t="s">
        <v>7</v>
      </c>
      <c r="G866" s="137" t="s">
        <v>8</v>
      </c>
      <c r="H866" s="138">
        <v>180</v>
      </c>
    </row>
    <row r="867" spans="1:9">
      <c r="A867" s="134">
        <v>867</v>
      </c>
      <c r="B867" s="134" t="s">
        <v>1818</v>
      </c>
      <c r="C867" s="149" t="s">
        <v>3442</v>
      </c>
      <c r="D867" s="134" t="s">
        <v>3443</v>
      </c>
      <c r="G867" s="147" t="s">
        <v>8</v>
      </c>
      <c r="H867" s="154">
        <v>160</v>
      </c>
    </row>
    <row r="868" spans="1:9">
      <c r="A868" s="134">
        <v>868</v>
      </c>
      <c r="B868" s="134" t="s">
        <v>1818</v>
      </c>
      <c r="C868" s="137" t="s">
        <v>3444</v>
      </c>
      <c r="D868" s="137" t="s">
        <v>3445</v>
      </c>
      <c r="E868" s="137" t="s">
        <v>12</v>
      </c>
      <c r="F868" s="137" t="s">
        <v>10</v>
      </c>
      <c r="G868" s="137" t="s">
        <v>25</v>
      </c>
      <c r="H868" s="138">
        <v>274</v>
      </c>
    </row>
    <row r="869" spans="1:9">
      <c r="A869" s="134">
        <v>869</v>
      </c>
      <c r="B869" s="134" t="s">
        <v>1818</v>
      </c>
      <c r="C869" s="137" t="s">
        <v>3446</v>
      </c>
      <c r="D869" s="137" t="s">
        <v>3447</v>
      </c>
      <c r="E869" s="137" t="s">
        <v>12</v>
      </c>
      <c r="F869" s="137" t="s">
        <v>7</v>
      </c>
      <c r="G869" s="137" t="s">
        <v>8</v>
      </c>
      <c r="H869" s="138">
        <v>220</v>
      </c>
    </row>
    <row r="870" spans="1:9">
      <c r="A870" s="134">
        <v>871</v>
      </c>
      <c r="B870" s="134" t="s">
        <v>1818</v>
      </c>
      <c r="C870" s="152" t="s">
        <v>3448</v>
      </c>
      <c r="D870" s="152" t="s">
        <v>3449</v>
      </c>
      <c r="E870" s="152" t="s">
        <v>14</v>
      </c>
      <c r="F870" s="152" t="s">
        <v>7</v>
      </c>
      <c r="G870" s="152" t="s">
        <v>13</v>
      </c>
      <c r="H870" s="157">
        <v>227</v>
      </c>
    </row>
    <row r="871" spans="1:9" ht="33">
      <c r="A871" s="134">
        <v>872</v>
      </c>
      <c r="B871" s="134" t="s">
        <v>1818</v>
      </c>
      <c r="C871" s="205" t="s">
        <v>3450</v>
      </c>
      <c r="D871" s="205" t="s">
        <v>3451</v>
      </c>
      <c r="E871" s="205"/>
      <c r="F871" s="205"/>
      <c r="G871" s="205"/>
      <c r="H871" s="206">
        <v>4600</v>
      </c>
      <c r="I871" s="205" t="s">
        <v>47</v>
      </c>
    </row>
    <row r="872" spans="1:9">
      <c r="A872" s="134">
        <v>873</v>
      </c>
      <c r="B872" s="134" t="s">
        <v>1818</v>
      </c>
      <c r="C872" s="137" t="s">
        <v>3452</v>
      </c>
      <c r="D872" s="137" t="s">
        <v>3453</v>
      </c>
      <c r="E872" s="137" t="s">
        <v>6</v>
      </c>
      <c r="F872" s="137" t="s">
        <v>7</v>
      </c>
      <c r="G872" s="137" t="s">
        <v>8</v>
      </c>
      <c r="H872" s="138">
        <v>180</v>
      </c>
    </row>
    <row r="873" spans="1:9" ht="33">
      <c r="A873" s="134">
        <v>874</v>
      </c>
      <c r="B873" s="134" t="s">
        <v>1818</v>
      </c>
      <c r="C873" s="149" t="s">
        <v>3454</v>
      </c>
      <c r="D873" s="134" t="s">
        <v>3455</v>
      </c>
      <c r="E873" s="134" t="s">
        <v>15</v>
      </c>
      <c r="F873" s="134" t="s">
        <v>7</v>
      </c>
      <c r="G873" s="147" t="s">
        <v>8</v>
      </c>
      <c r="H873" s="154">
        <v>220</v>
      </c>
    </row>
    <row r="874" spans="1:9" ht="17.25" thickBot="1">
      <c r="A874" s="134">
        <v>875</v>
      </c>
      <c r="B874" s="134" t="s">
        <v>1818</v>
      </c>
      <c r="C874" s="149" t="s">
        <v>3456</v>
      </c>
      <c r="D874" s="207" t="s">
        <v>2741</v>
      </c>
      <c r="G874" s="147" t="s">
        <v>8</v>
      </c>
      <c r="H874" s="208">
        <v>220</v>
      </c>
    </row>
    <row r="875" spans="1:9">
      <c r="A875" s="134">
        <v>876</v>
      </c>
      <c r="B875" s="134" t="s">
        <v>1818</v>
      </c>
      <c r="C875" s="186" t="s">
        <v>3457</v>
      </c>
      <c r="D875" s="186" t="s">
        <v>3458</v>
      </c>
      <c r="E875" s="186" t="s">
        <v>14</v>
      </c>
      <c r="F875" s="186" t="s">
        <v>7</v>
      </c>
      <c r="G875" s="186" t="s">
        <v>13</v>
      </c>
      <c r="H875" s="209">
        <v>190</v>
      </c>
    </row>
    <row r="876" spans="1:9">
      <c r="A876" s="134">
        <v>877</v>
      </c>
      <c r="B876" s="134" t="s">
        <v>1818</v>
      </c>
      <c r="C876" s="186" t="s">
        <v>3459</v>
      </c>
      <c r="D876" s="186" t="s">
        <v>3460</v>
      </c>
      <c r="E876" s="186" t="s">
        <v>18</v>
      </c>
      <c r="F876" s="186" t="s">
        <v>7</v>
      </c>
      <c r="G876" s="186" t="s">
        <v>13</v>
      </c>
      <c r="H876" s="209">
        <v>227</v>
      </c>
    </row>
    <row r="877" spans="1:9">
      <c r="A877" s="134">
        <v>878</v>
      </c>
      <c r="B877" s="134" t="s">
        <v>1818</v>
      </c>
      <c r="C877" s="186" t="s">
        <v>3461</v>
      </c>
      <c r="D877" s="186" t="s">
        <v>3462</v>
      </c>
      <c r="E877" s="186" t="s">
        <v>6</v>
      </c>
      <c r="F877" s="186" t="s">
        <v>7</v>
      </c>
      <c r="G877" s="186" t="s">
        <v>8</v>
      </c>
      <c r="H877" s="209">
        <v>232</v>
      </c>
    </row>
    <row r="878" spans="1:9">
      <c r="A878" s="134">
        <v>879</v>
      </c>
      <c r="B878" s="134" t="s">
        <v>1818</v>
      </c>
      <c r="C878" s="210" t="s">
        <v>3463</v>
      </c>
      <c r="D878" s="210" t="s">
        <v>3464</v>
      </c>
      <c r="E878" s="210" t="s">
        <v>9</v>
      </c>
      <c r="F878" s="186" t="s">
        <v>10</v>
      </c>
      <c r="G878" s="211" t="s">
        <v>11</v>
      </c>
      <c r="H878" s="212">
        <v>180</v>
      </c>
    </row>
    <row r="879" spans="1:9">
      <c r="A879" s="134">
        <v>880</v>
      </c>
      <c r="B879" s="134" t="s">
        <v>1818</v>
      </c>
      <c r="C879" s="186" t="s">
        <v>3465</v>
      </c>
      <c r="D879" s="186" t="s">
        <v>3466</v>
      </c>
      <c r="E879" s="186" t="s">
        <v>14</v>
      </c>
      <c r="F879" s="186" t="s">
        <v>10</v>
      </c>
      <c r="G879" s="186" t="s">
        <v>11</v>
      </c>
      <c r="H879" s="209">
        <v>227</v>
      </c>
    </row>
    <row r="880" spans="1:9">
      <c r="A880" s="134">
        <v>881</v>
      </c>
      <c r="B880" s="134" t="s">
        <v>1818</v>
      </c>
      <c r="C880" s="186" t="s">
        <v>3467</v>
      </c>
      <c r="D880" s="186" t="s">
        <v>3468</v>
      </c>
      <c r="E880" s="186" t="s">
        <v>15</v>
      </c>
      <c r="F880" s="186" t="s">
        <v>7</v>
      </c>
      <c r="G880" s="186" t="s">
        <v>13</v>
      </c>
      <c r="H880" s="209">
        <v>232</v>
      </c>
    </row>
    <row r="881" spans="1:9">
      <c r="A881" s="134">
        <v>882</v>
      </c>
      <c r="B881" s="134" t="s">
        <v>1818</v>
      </c>
      <c r="C881" s="186" t="s">
        <v>3469</v>
      </c>
      <c r="D881" s="186" t="s">
        <v>3470</v>
      </c>
      <c r="E881" s="186" t="s">
        <v>18</v>
      </c>
      <c r="F881" s="186" t="s">
        <v>7</v>
      </c>
      <c r="G881" s="186" t="s">
        <v>8</v>
      </c>
      <c r="H881" s="209">
        <v>232</v>
      </c>
    </row>
    <row r="882" spans="1:9">
      <c r="A882" s="134">
        <v>883</v>
      </c>
      <c r="B882" s="134" t="s">
        <v>1818</v>
      </c>
      <c r="C882" s="137" t="s">
        <v>3471</v>
      </c>
      <c r="D882" s="137" t="s">
        <v>3472</v>
      </c>
      <c r="E882" s="137" t="s">
        <v>15</v>
      </c>
      <c r="F882" s="137" t="s">
        <v>7</v>
      </c>
      <c r="G882" s="137" t="s">
        <v>8</v>
      </c>
      <c r="H882" s="138">
        <v>227</v>
      </c>
    </row>
    <row r="883" spans="1:9">
      <c r="A883" s="134">
        <v>884</v>
      </c>
      <c r="B883" s="134" t="s">
        <v>1818</v>
      </c>
      <c r="C883" s="137" t="s">
        <v>3473</v>
      </c>
      <c r="D883" s="137" t="s">
        <v>3474</v>
      </c>
      <c r="E883" s="137" t="s">
        <v>15</v>
      </c>
      <c r="F883" s="137" t="s">
        <v>7</v>
      </c>
      <c r="G883" s="137" t="s">
        <v>17</v>
      </c>
      <c r="H883" s="138">
        <v>232</v>
      </c>
    </row>
    <row r="884" spans="1:9">
      <c r="A884" s="134">
        <v>885</v>
      </c>
      <c r="B884" s="134" t="s">
        <v>1818</v>
      </c>
      <c r="C884" s="137" t="s">
        <v>3475</v>
      </c>
      <c r="D884" s="137" t="s">
        <v>3476</v>
      </c>
      <c r="E884" s="137" t="s">
        <v>6</v>
      </c>
      <c r="F884" s="137" t="s">
        <v>7</v>
      </c>
      <c r="G884" s="137" t="s">
        <v>8</v>
      </c>
      <c r="H884" s="138">
        <v>180</v>
      </c>
    </row>
    <row r="885" spans="1:9">
      <c r="A885" s="134">
        <v>886</v>
      </c>
      <c r="B885" s="134" t="s">
        <v>1818</v>
      </c>
      <c r="C885" s="137" t="s">
        <v>2497</v>
      </c>
      <c r="D885" s="137" t="s">
        <v>3477</v>
      </c>
      <c r="E885" s="137" t="s">
        <v>18</v>
      </c>
      <c r="F885" s="137" t="s">
        <v>7</v>
      </c>
      <c r="G885" s="137" t="s">
        <v>8</v>
      </c>
      <c r="H885" s="138">
        <v>190</v>
      </c>
    </row>
    <row r="886" spans="1:9">
      <c r="A886" s="134">
        <v>887</v>
      </c>
      <c r="B886" s="134" t="s">
        <v>1818</v>
      </c>
      <c r="C886" s="137" t="s">
        <v>3478</v>
      </c>
      <c r="D886" s="137" t="s">
        <v>3479</v>
      </c>
      <c r="E886" s="137" t="s">
        <v>12</v>
      </c>
      <c r="F886" s="137" t="s">
        <v>7</v>
      </c>
      <c r="G886" s="137" t="s">
        <v>8</v>
      </c>
      <c r="H886" s="138">
        <v>190</v>
      </c>
    </row>
    <row r="887" spans="1:9">
      <c r="A887" s="134">
        <v>888</v>
      </c>
      <c r="B887" s="134" t="s">
        <v>1818</v>
      </c>
      <c r="C887" s="134" t="s">
        <v>3480</v>
      </c>
      <c r="D887" s="134" t="s">
        <v>3464</v>
      </c>
      <c r="E887" s="134" t="s">
        <v>33</v>
      </c>
      <c r="F887" s="134" t="s">
        <v>10</v>
      </c>
      <c r="G887" s="134" t="s">
        <v>11</v>
      </c>
      <c r="H887" s="140">
        <v>125</v>
      </c>
      <c r="I887" s="134" t="s">
        <v>3481</v>
      </c>
    </row>
    <row r="888" spans="1:9">
      <c r="A888" s="134">
        <v>889</v>
      </c>
      <c r="B888" s="134" t="s">
        <v>1818</v>
      </c>
      <c r="C888" s="137" t="s">
        <v>3482</v>
      </c>
      <c r="D888" s="137" t="s">
        <v>3483</v>
      </c>
      <c r="E888" s="137" t="s">
        <v>14</v>
      </c>
      <c r="F888" s="137" t="s">
        <v>10</v>
      </c>
      <c r="G888" s="137" t="s">
        <v>13</v>
      </c>
      <c r="H888" s="138">
        <v>190</v>
      </c>
    </row>
    <row r="889" spans="1:9" ht="33">
      <c r="A889" s="134">
        <v>890</v>
      </c>
      <c r="B889" s="134" t="s">
        <v>1818</v>
      </c>
      <c r="C889" s="149" t="s">
        <v>3484</v>
      </c>
      <c r="D889" s="134" t="s">
        <v>3485</v>
      </c>
      <c r="E889" s="134" t="s">
        <v>14</v>
      </c>
      <c r="F889" s="134" t="s">
        <v>7</v>
      </c>
      <c r="G889" s="147" t="s">
        <v>8</v>
      </c>
      <c r="H889" s="154">
        <v>220</v>
      </c>
    </row>
    <row r="890" spans="1:9">
      <c r="A890" s="134">
        <v>891</v>
      </c>
      <c r="B890" s="134" t="s">
        <v>1818</v>
      </c>
      <c r="C890" s="137" t="s">
        <v>3486</v>
      </c>
      <c r="D890" s="137" t="s">
        <v>3487</v>
      </c>
      <c r="E890" s="137" t="s">
        <v>18</v>
      </c>
      <c r="F890" s="137" t="s">
        <v>7</v>
      </c>
      <c r="G890" s="137" t="s">
        <v>8</v>
      </c>
      <c r="H890" s="138">
        <v>232</v>
      </c>
    </row>
    <row r="891" spans="1:9">
      <c r="A891" s="134">
        <v>892</v>
      </c>
      <c r="B891" s="134" t="s">
        <v>1818</v>
      </c>
      <c r="C891" s="137" t="s">
        <v>3488</v>
      </c>
      <c r="D891" s="137" t="s">
        <v>3489</v>
      </c>
      <c r="E891" s="137" t="s">
        <v>18</v>
      </c>
      <c r="F891" s="137" t="s">
        <v>10</v>
      </c>
      <c r="G891" s="137" t="s">
        <v>8</v>
      </c>
      <c r="H891" s="138">
        <v>232</v>
      </c>
    </row>
    <row r="892" spans="1:9">
      <c r="A892" s="134">
        <v>893</v>
      </c>
      <c r="B892" s="134" t="s">
        <v>1818</v>
      </c>
      <c r="C892" s="134" t="s">
        <v>3490</v>
      </c>
      <c r="D892" s="134" t="s">
        <v>2028</v>
      </c>
      <c r="F892" s="134" t="s">
        <v>10</v>
      </c>
      <c r="G892" s="134" t="s">
        <v>25</v>
      </c>
      <c r="H892" s="140">
        <v>274</v>
      </c>
    </row>
    <row r="893" spans="1:9">
      <c r="A893" s="134">
        <v>894</v>
      </c>
      <c r="B893" s="134" t="s">
        <v>1818</v>
      </c>
      <c r="C893" s="137" t="s">
        <v>3491</v>
      </c>
      <c r="D893" s="137" t="s">
        <v>3492</v>
      </c>
      <c r="E893" s="137" t="s">
        <v>18</v>
      </c>
      <c r="F893" s="137" t="s">
        <v>10</v>
      </c>
      <c r="G893" s="137" t="s">
        <v>8</v>
      </c>
      <c r="H893" s="138">
        <v>190</v>
      </c>
    </row>
    <row r="894" spans="1:9">
      <c r="A894" s="134">
        <v>895</v>
      </c>
      <c r="B894" s="134" t="s">
        <v>1818</v>
      </c>
      <c r="C894" s="137" t="s">
        <v>3493</v>
      </c>
      <c r="D894" s="137" t="s">
        <v>3494</v>
      </c>
      <c r="E894" s="137" t="s">
        <v>18</v>
      </c>
      <c r="F894" s="137" t="s">
        <v>7</v>
      </c>
      <c r="G894" s="137" t="s">
        <v>8</v>
      </c>
      <c r="H894" s="138">
        <v>232</v>
      </c>
    </row>
    <row r="895" spans="1:9">
      <c r="A895" s="134">
        <v>896</v>
      </c>
      <c r="B895" s="134" t="s">
        <v>1818</v>
      </c>
      <c r="C895" s="137" t="s">
        <v>3495</v>
      </c>
      <c r="D895" s="137" t="s">
        <v>3496</v>
      </c>
      <c r="E895" s="137" t="s">
        <v>6</v>
      </c>
      <c r="F895" s="137" t="s">
        <v>10</v>
      </c>
      <c r="G895" s="137" t="s">
        <v>13</v>
      </c>
      <c r="H895" s="138">
        <v>274</v>
      </c>
    </row>
    <row r="896" spans="1:9">
      <c r="A896" s="134">
        <v>897</v>
      </c>
      <c r="B896" s="134" t="s">
        <v>1818</v>
      </c>
      <c r="C896" s="146" t="s">
        <v>3497</v>
      </c>
      <c r="D896" s="146" t="s">
        <v>3498</v>
      </c>
      <c r="E896" s="134" t="s">
        <v>6</v>
      </c>
      <c r="F896" s="134" t="s">
        <v>7</v>
      </c>
      <c r="G896" s="146" t="s">
        <v>8</v>
      </c>
      <c r="H896" s="140">
        <v>180</v>
      </c>
    </row>
    <row r="897" spans="1:9">
      <c r="A897" s="134">
        <v>898</v>
      </c>
      <c r="B897" s="134" t="s">
        <v>1818</v>
      </c>
      <c r="C897" s="146" t="s">
        <v>3499</v>
      </c>
      <c r="D897" s="146" t="s">
        <v>3500</v>
      </c>
      <c r="E897" s="134" t="s">
        <v>9</v>
      </c>
      <c r="F897" s="134" t="s">
        <v>7</v>
      </c>
      <c r="G897" s="146" t="s">
        <v>25</v>
      </c>
      <c r="H897" s="140">
        <v>180</v>
      </c>
    </row>
    <row r="898" spans="1:9">
      <c r="A898" s="134">
        <v>899</v>
      </c>
      <c r="B898" s="134" t="s">
        <v>1818</v>
      </c>
      <c r="C898" s="137" t="s">
        <v>3501</v>
      </c>
      <c r="D898" s="137" t="s">
        <v>3502</v>
      </c>
      <c r="E898" s="137" t="s">
        <v>6</v>
      </c>
      <c r="F898" s="137" t="s">
        <v>7</v>
      </c>
      <c r="G898" s="137" t="s">
        <v>8</v>
      </c>
      <c r="H898" s="138">
        <v>190</v>
      </c>
    </row>
    <row r="899" spans="1:9">
      <c r="A899" s="134">
        <v>900</v>
      </c>
      <c r="B899" s="134" t="s">
        <v>1818</v>
      </c>
      <c r="C899" s="146" t="s">
        <v>3503</v>
      </c>
      <c r="D899" s="146" t="s">
        <v>3504</v>
      </c>
      <c r="E899" s="134" t="s">
        <v>14</v>
      </c>
      <c r="F899" s="134" t="s">
        <v>27</v>
      </c>
      <c r="G899" s="146" t="s">
        <v>8</v>
      </c>
      <c r="H899" s="140">
        <v>190</v>
      </c>
      <c r="I899" s="156"/>
    </row>
    <row r="900" spans="1:9">
      <c r="A900" s="134">
        <v>901</v>
      </c>
      <c r="B900" s="134" t="s">
        <v>1818</v>
      </c>
      <c r="C900" s="137" t="s">
        <v>3505</v>
      </c>
      <c r="D900" s="137" t="s">
        <v>3506</v>
      </c>
      <c r="E900" s="137" t="s">
        <v>6</v>
      </c>
      <c r="F900" s="137" t="s">
        <v>10</v>
      </c>
      <c r="G900" s="137" t="s">
        <v>8</v>
      </c>
      <c r="H900" s="138">
        <v>220</v>
      </c>
    </row>
    <row r="901" spans="1:9">
      <c r="A901" s="134">
        <v>902</v>
      </c>
      <c r="B901" s="134" t="s">
        <v>1818</v>
      </c>
      <c r="C901" s="137" t="s">
        <v>3507</v>
      </c>
      <c r="D901" s="137" t="s">
        <v>3508</v>
      </c>
      <c r="E901" s="137" t="s">
        <v>14</v>
      </c>
      <c r="F901" s="137" t="s">
        <v>10</v>
      </c>
      <c r="G901" s="137" t="s">
        <v>8</v>
      </c>
      <c r="H901" s="138">
        <v>232</v>
      </c>
    </row>
    <row r="902" spans="1:9">
      <c r="A902" s="134">
        <v>903</v>
      </c>
      <c r="B902" s="134" t="s">
        <v>1818</v>
      </c>
      <c r="C902" s="146" t="s">
        <v>3509</v>
      </c>
      <c r="D902" s="146" t="s">
        <v>3510</v>
      </c>
      <c r="E902" s="134" t="s">
        <v>6</v>
      </c>
      <c r="F902" s="134" t="s">
        <v>7</v>
      </c>
      <c r="G902" s="146" t="s">
        <v>8</v>
      </c>
      <c r="H902" s="140">
        <v>180</v>
      </c>
    </row>
    <row r="903" spans="1:9">
      <c r="A903" s="134">
        <v>904</v>
      </c>
      <c r="B903" s="134" t="s">
        <v>1818</v>
      </c>
      <c r="C903" s="137" t="s">
        <v>3511</v>
      </c>
      <c r="D903" s="137" t="s">
        <v>3512</v>
      </c>
      <c r="E903" s="137" t="s">
        <v>12</v>
      </c>
      <c r="F903" s="137" t="s">
        <v>7</v>
      </c>
      <c r="G903" s="137" t="s">
        <v>8</v>
      </c>
      <c r="H903" s="138">
        <v>232</v>
      </c>
    </row>
    <row r="904" spans="1:9">
      <c r="A904" s="134">
        <v>905</v>
      </c>
      <c r="B904" s="134" t="s">
        <v>1818</v>
      </c>
      <c r="C904" s="166" t="s">
        <v>3513</v>
      </c>
      <c r="D904" s="166" t="s">
        <v>2921</v>
      </c>
      <c r="E904" s="166" t="s">
        <v>33</v>
      </c>
      <c r="F904" s="139" t="s">
        <v>10</v>
      </c>
      <c r="G904" s="147" t="s">
        <v>25</v>
      </c>
      <c r="H904" s="155">
        <v>169</v>
      </c>
    </row>
    <row r="905" spans="1:9">
      <c r="A905" s="134">
        <v>906</v>
      </c>
      <c r="B905" s="134" t="s">
        <v>1818</v>
      </c>
      <c r="C905" s="137" t="s">
        <v>3514</v>
      </c>
      <c r="D905" s="137" t="s">
        <v>3515</v>
      </c>
      <c r="E905" s="137" t="s">
        <v>6</v>
      </c>
      <c r="F905" s="137" t="s">
        <v>7</v>
      </c>
      <c r="G905" s="137" t="s">
        <v>8</v>
      </c>
      <c r="H905" s="138">
        <v>190</v>
      </c>
    </row>
    <row r="906" spans="1:9">
      <c r="A906" s="134">
        <v>907</v>
      </c>
      <c r="B906" s="134" t="s">
        <v>1818</v>
      </c>
      <c r="C906" s="137" t="s">
        <v>3516</v>
      </c>
      <c r="D906" s="137" t="s">
        <v>3517</v>
      </c>
      <c r="E906" s="137" t="s">
        <v>6</v>
      </c>
      <c r="F906" s="137" t="s">
        <v>7</v>
      </c>
      <c r="G906" s="137" t="s">
        <v>8</v>
      </c>
      <c r="H906" s="138">
        <v>180</v>
      </c>
    </row>
    <row r="907" spans="1:9">
      <c r="A907" s="134">
        <v>908</v>
      </c>
      <c r="B907" s="134" t="s">
        <v>1818</v>
      </c>
      <c r="C907" s="137" t="s">
        <v>3518</v>
      </c>
      <c r="D907" s="137" t="s">
        <v>3519</v>
      </c>
      <c r="E907" s="137" t="s">
        <v>18</v>
      </c>
      <c r="F907" s="137" t="s">
        <v>7</v>
      </c>
      <c r="G907" s="137" t="s">
        <v>8</v>
      </c>
      <c r="H907" s="138">
        <v>232</v>
      </c>
    </row>
    <row r="908" spans="1:9">
      <c r="A908" s="134">
        <v>909</v>
      </c>
      <c r="B908" s="134" t="s">
        <v>1818</v>
      </c>
      <c r="C908" s="137" t="s">
        <v>3520</v>
      </c>
      <c r="D908" s="137" t="s">
        <v>3521</v>
      </c>
      <c r="E908" s="137" t="s">
        <v>14</v>
      </c>
      <c r="F908" s="137" t="s">
        <v>7</v>
      </c>
      <c r="G908" s="137" t="s">
        <v>8</v>
      </c>
      <c r="H908" s="138">
        <v>232</v>
      </c>
    </row>
    <row r="909" spans="1:9">
      <c r="A909" s="134">
        <v>910</v>
      </c>
      <c r="B909" s="134" t="s">
        <v>1818</v>
      </c>
      <c r="C909" s="149" t="s">
        <v>3522</v>
      </c>
      <c r="D909" s="150" t="s">
        <v>3523</v>
      </c>
      <c r="E909" s="134" t="s">
        <v>15</v>
      </c>
      <c r="F909" s="134" t="s">
        <v>7</v>
      </c>
      <c r="G909" s="147" t="s">
        <v>8</v>
      </c>
      <c r="H909" s="151">
        <v>260</v>
      </c>
    </row>
    <row r="910" spans="1:9">
      <c r="A910" s="134">
        <v>911</v>
      </c>
      <c r="B910" s="134" t="s">
        <v>1818</v>
      </c>
      <c r="C910" s="146" t="s">
        <v>3524</v>
      </c>
      <c r="D910" s="146" t="s">
        <v>3463</v>
      </c>
      <c r="E910" s="134" t="s">
        <v>15</v>
      </c>
      <c r="F910" s="134" t="s">
        <v>10</v>
      </c>
      <c r="G910" s="146" t="s">
        <v>8</v>
      </c>
      <c r="H910" s="140">
        <v>260</v>
      </c>
    </row>
    <row r="911" spans="1:9" ht="26.25" customHeight="1">
      <c r="A911" s="134">
        <v>912</v>
      </c>
      <c r="B911" s="134" t="s">
        <v>1818</v>
      </c>
      <c r="C911" s="137" t="s">
        <v>3525</v>
      </c>
      <c r="D911" s="137" t="s">
        <v>3526</v>
      </c>
      <c r="E911" s="137" t="s">
        <v>6</v>
      </c>
      <c r="F911" s="137" t="s">
        <v>10</v>
      </c>
      <c r="G911" s="137" t="s">
        <v>8</v>
      </c>
      <c r="H911" s="138">
        <v>232</v>
      </c>
    </row>
    <row r="912" spans="1:9">
      <c r="A912" s="134">
        <v>913</v>
      </c>
      <c r="B912" s="134" t="s">
        <v>1818</v>
      </c>
      <c r="C912" s="134" t="s">
        <v>3527</v>
      </c>
      <c r="D912" s="134" t="s">
        <v>2748</v>
      </c>
      <c r="E912" s="134" t="s">
        <v>26</v>
      </c>
      <c r="F912" s="134" t="s">
        <v>10</v>
      </c>
      <c r="G912" s="134" t="s">
        <v>20</v>
      </c>
      <c r="H912" s="140">
        <v>161</v>
      </c>
    </row>
    <row r="913" spans="1:9">
      <c r="A913" s="134">
        <v>914</v>
      </c>
      <c r="B913" s="134" t="s">
        <v>1818</v>
      </c>
      <c r="C913" s="137" t="s">
        <v>3528</v>
      </c>
      <c r="D913" s="137" t="s">
        <v>3529</v>
      </c>
      <c r="E913" s="137" t="s">
        <v>6</v>
      </c>
      <c r="F913" s="137" t="s">
        <v>7</v>
      </c>
      <c r="G913" s="137" t="s">
        <v>8</v>
      </c>
      <c r="H913" s="138">
        <v>190</v>
      </c>
    </row>
    <row r="914" spans="1:9">
      <c r="A914" s="134">
        <v>915</v>
      </c>
      <c r="B914" s="134" t="s">
        <v>1818</v>
      </c>
      <c r="C914" s="137" t="s">
        <v>3530</v>
      </c>
      <c r="D914" s="137" t="s">
        <v>3531</v>
      </c>
      <c r="E914" s="137" t="s">
        <v>18</v>
      </c>
      <c r="F914" s="137" t="s">
        <v>7</v>
      </c>
      <c r="G914" s="137" t="s">
        <v>8</v>
      </c>
      <c r="H914" s="138">
        <v>232</v>
      </c>
    </row>
    <row r="915" spans="1:9">
      <c r="A915" s="134">
        <v>916</v>
      </c>
      <c r="B915" s="134" t="s">
        <v>1818</v>
      </c>
      <c r="C915" s="195" t="s">
        <v>3532</v>
      </c>
      <c r="D915" s="195" t="s">
        <v>3533</v>
      </c>
      <c r="E915" s="195" t="s">
        <v>6</v>
      </c>
      <c r="F915" s="195" t="s">
        <v>7</v>
      </c>
      <c r="G915" s="195" t="s">
        <v>8</v>
      </c>
      <c r="H915" s="196">
        <v>227</v>
      </c>
    </row>
    <row r="916" spans="1:9">
      <c r="A916" s="134">
        <v>917</v>
      </c>
      <c r="B916" s="134" t="s">
        <v>1818</v>
      </c>
      <c r="C916" s="186" t="s">
        <v>3534</v>
      </c>
      <c r="D916" s="186" t="s">
        <v>3535</v>
      </c>
      <c r="E916" s="186" t="s">
        <v>15</v>
      </c>
      <c r="F916" s="186" t="s">
        <v>10</v>
      </c>
      <c r="G916" s="186" t="s">
        <v>8</v>
      </c>
      <c r="H916" s="209">
        <v>190</v>
      </c>
      <c r="I916" s="191"/>
    </row>
    <row r="917" spans="1:9">
      <c r="A917" s="134">
        <v>918</v>
      </c>
      <c r="B917" s="134" t="s">
        <v>1818</v>
      </c>
      <c r="C917" s="211" t="s">
        <v>3536</v>
      </c>
      <c r="D917" s="211" t="s">
        <v>2072</v>
      </c>
      <c r="E917" s="211" t="s">
        <v>14</v>
      </c>
      <c r="F917" s="211" t="s">
        <v>7</v>
      </c>
      <c r="G917" s="211" t="s">
        <v>8</v>
      </c>
      <c r="H917" s="190">
        <v>180</v>
      </c>
      <c r="I917" s="191"/>
    </row>
    <row r="918" spans="1:9">
      <c r="A918" s="134">
        <v>919</v>
      </c>
      <c r="B918" s="134" t="s">
        <v>1818</v>
      </c>
      <c r="C918" s="211" t="s">
        <v>3537</v>
      </c>
      <c r="D918" s="211" t="s">
        <v>3538</v>
      </c>
      <c r="E918" s="211" t="s">
        <v>14</v>
      </c>
      <c r="F918" s="211" t="s">
        <v>7</v>
      </c>
      <c r="G918" s="211" t="s">
        <v>8</v>
      </c>
      <c r="H918" s="190">
        <v>180</v>
      </c>
      <c r="I918" s="191"/>
    </row>
    <row r="919" spans="1:9">
      <c r="A919" s="134">
        <v>920</v>
      </c>
      <c r="B919" s="134" t="s">
        <v>1818</v>
      </c>
      <c r="C919" s="211" t="s">
        <v>3539</v>
      </c>
      <c r="D919" s="211" t="s">
        <v>3540</v>
      </c>
      <c r="E919" s="211" t="s">
        <v>18</v>
      </c>
      <c r="F919" s="211" t="s">
        <v>7</v>
      </c>
      <c r="G919" s="211" t="s">
        <v>8</v>
      </c>
      <c r="H919" s="190">
        <v>190</v>
      </c>
      <c r="I919" s="191"/>
    </row>
    <row r="920" spans="1:9">
      <c r="A920" s="134">
        <v>921</v>
      </c>
      <c r="B920" s="134" t="s">
        <v>1818</v>
      </c>
      <c r="C920" s="211" t="s">
        <v>3541</v>
      </c>
      <c r="D920" s="211" t="s">
        <v>3542</v>
      </c>
      <c r="E920" s="211" t="s">
        <v>14</v>
      </c>
      <c r="F920" s="211" t="s">
        <v>10</v>
      </c>
      <c r="G920" s="211" t="s">
        <v>8</v>
      </c>
      <c r="H920" s="190">
        <v>232</v>
      </c>
      <c r="I920" s="191"/>
    </row>
    <row r="921" spans="1:9">
      <c r="A921" s="134">
        <v>922</v>
      </c>
      <c r="B921" s="134" t="s">
        <v>1818</v>
      </c>
      <c r="C921" s="186" t="s">
        <v>3543</v>
      </c>
      <c r="D921" s="186" t="s">
        <v>3544</v>
      </c>
      <c r="E921" s="186" t="s">
        <v>12</v>
      </c>
      <c r="F921" s="186" t="s">
        <v>7</v>
      </c>
      <c r="G921" s="186" t="s">
        <v>8</v>
      </c>
      <c r="H921" s="209">
        <v>274</v>
      </c>
      <c r="I921" s="191"/>
    </row>
    <row r="922" spans="1:9">
      <c r="A922" s="134">
        <v>923</v>
      </c>
      <c r="B922" s="134" t="s">
        <v>1818</v>
      </c>
      <c r="C922" s="213" t="s">
        <v>3545</v>
      </c>
      <c r="D922" s="211" t="s">
        <v>3546</v>
      </c>
      <c r="E922" s="211" t="s">
        <v>6</v>
      </c>
      <c r="F922" s="211" t="s">
        <v>7</v>
      </c>
      <c r="G922" s="214" t="s">
        <v>8</v>
      </c>
      <c r="H922" s="215">
        <v>220</v>
      </c>
      <c r="I922" s="191"/>
    </row>
    <row r="923" spans="1:9">
      <c r="A923" s="134">
        <v>924</v>
      </c>
      <c r="B923" s="134" t="s">
        <v>1818</v>
      </c>
      <c r="C923" s="210" t="s">
        <v>3547</v>
      </c>
      <c r="D923" s="210" t="s">
        <v>3548</v>
      </c>
      <c r="E923" s="210" t="s">
        <v>9</v>
      </c>
      <c r="F923" s="186" t="s">
        <v>10</v>
      </c>
      <c r="G923" s="211" t="s">
        <v>11</v>
      </c>
      <c r="H923" s="212">
        <v>180</v>
      </c>
      <c r="I923" s="191"/>
    </row>
    <row r="924" spans="1:9">
      <c r="A924" s="134">
        <v>925</v>
      </c>
      <c r="B924" s="134" t="s">
        <v>1818</v>
      </c>
      <c r="C924" s="214" t="s">
        <v>3549</v>
      </c>
      <c r="D924" s="214" t="s">
        <v>3550</v>
      </c>
      <c r="E924" s="214" t="s">
        <v>14</v>
      </c>
      <c r="F924" s="214" t="s">
        <v>7</v>
      </c>
      <c r="G924" s="214" t="s">
        <v>8</v>
      </c>
      <c r="H924" s="216">
        <v>227</v>
      </c>
      <c r="I924" s="191"/>
    </row>
    <row r="925" spans="1:9">
      <c r="A925" s="134">
        <v>926</v>
      </c>
      <c r="B925" s="134" t="s">
        <v>1818</v>
      </c>
      <c r="C925" s="186" t="s">
        <v>3551</v>
      </c>
      <c r="D925" s="186" t="s">
        <v>3552</v>
      </c>
      <c r="E925" s="186" t="s">
        <v>15</v>
      </c>
      <c r="F925" s="186" t="s">
        <v>10</v>
      </c>
      <c r="G925" s="186" t="s">
        <v>8</v>
      </c>
      <c r="H925" s="209">
        <v>232</v>
      </c>
      <c r="I925" s="191"/>
    </row>
    <row r="926" spans="1:9">
      <c r="A926" s="134">
        <v>927</v>
      </c>
      <c r="B926" s="134" t="s">
        <v>1818</v>
      </c>
      <c r="C926" s="186" t="s">
        <v>3553</v>
      </c>
      <c r="D926" s="186" t="s">
        <v>3554</v>
      </c>
      <c r="E926" s="186" t="s">
        <v>12</v>
      </c>
      <c r="F926" s="186" t="s">
        <v>7</v>
      </c>
      <c r="G926" s="186" t="s">
        <v>8</v>
      </c>
      <c r="H926" s="209">
        <v>232</v>
      </c>
      <c r="I926" s="191"/>
    </row>
    <row r="927" spans="1:9">
      <c r="A927" s="134">
        <v>928</v>
      </c>
      <c r="B927" s="134" t="s">
        <v>1818</v>
      </c>
      <c r="C927" s="186" t="s">
        <v>3555</v>
      </c>
      <c r="D927" s="186" t="s">
        <v>3556</v>
      </c>
      <c r="E927" s="186" t="s">
        <v>12</v>
      </c>
      <c r="F927" s="186" t="s">
        <v>7</v>
      </c>
      <c r="G927" s="186" t="s">
        <v>8</v>
      </c>
      <c r="H927" s="209">
        <v>232</v>
      </c>
      <c r="I927" s="191"/>
    </row>
    <row r="928" spans="1:9">
      <c r="A928" s="134">
        <v>930</v>
      </c>
      <c r="B928" s="134" t="s">
        <v>1818</v>
      </c>
      <c r="C928" s="210" t="s">
        <v>3557</v>
      </c>
      <c r="D928" s="211" t="s">
        <v>3558</v>
      </c>
      <c r="E928" s="211"/>
      <c r="F928" s="211"/>
      <c r="G928" s="211" t="s">
        <v>8</v>
      </c>
      <c r="H928" s="217">
        <v>180</v>
      </c>
      <c r="I928" s="191"/>
    </row>
    <row r="929" spans="1:9">
      <c r="A929" s="134">
        <v>931</v>
      </c>
      <c r="B929" s="134" t="s">
        <v>1818</v>
      </c>
      <c r="C929" s="186" t="s">
        <v>3559</v>
      </c>
      <c r="D929" s="186" t="s">
        <v>3560</v>
      </c>
      <c r="E929" s="186" t="s">
        <v>18</v>
      </c>
      <c r="F929" s="186" t="s">
        <v>7</v>
      </c>
      <c r="G929" s="186" t="s">
        <v>8</v>
      </c>
      <c r="H929" s="209">
        <v>190</v>
      </c>
      <c r="I929" s="191"/>
    </row>
    <row r="930" spans="1:9">
      <c r="A930" s="134">
        <v>932</v>
      </c>
      <c r="B930" s="134" t="s">
        <v>1818</v>
      </c>
      <c r="C930" s="213" t="s">
        <v>3561</v>
      </c>
      <c r="D930" s="211" t="s">
        <v>3562</v>
      </c>
      <c r="E930" s="211"/>
      <c r="F930" s="211"/>
      <c r="G930" s="214" t="s">
        <v>8</v>
      </c>
      <c r="H930" s="215">
        <v>260</v>
      </c>
      <c r="I930" s="191"/>
    </row>
    <row r="931" spans="1:9">
      <c r="A931" s="134">
        <v>933</v>
      </c>
      <c r="B931" s="134" t="s">
        <v>1818</v>
      </c>
      <c r="C931" s="218" t="s">
        <v>3563</v>
      </c>
      <c r="D931" s="176" t="s">
        <v>3564</v>
      </c>
      <c r="E931" s="176"/>
      <c r="F931" s="176"/>
      <c r="G931" s="176" t="s">
        <v>8</v>
      </c>
      <c r="H931" s="219">
        <v>220</v>
      </c>
    </row>
    <row r="932" spans="1:9">
      <c r="A932" s="134">
        <v>934</v>
      </c>
      <c r="B932" s="134" t="s">
        <v>1818</v>
      </c>
      <c r="C932" s="146" t="s">
        <v>3565</v>
      </c>
      <c r="D932" s="146" t="s">
        <v>3566</v>
      </c>
      <c r="E932" s="134" t="s">
        <v>6</v>
      </c>
      <c r="F932" s="134" t="s">
        <v>7</v>
      </c>
      <c r="G932" s="146" t="s">
        <v>8</v>
      </c>
      <c r="H932" s="140">
        <v>220</v>
      </c>
    </row>
    <row r="933" spans="1:9">
      <c r="A933" s="134">
        <v>935</v>
      </c>
      <c r="B933" s="134" t="s">
        <v>1818</v>
      </c>
      <c r="C933" s="137" t="s">
        <v>3567</v>
      </c>
      <c r="D933" s="137" t="s">
        <v>3568</v>
      </c>
      <c r="E933" s="137" t="s">
        <v>18</v>
      </c>
      <c r="F933" s="137" t="s">
        <v>7</v>
      </c>
      <c r="G933" s="137" t="s">
        <v>8</v>
      </c>
      <c r="H933" s="138">
        <v>232</v>
      </c>
    </row>
    <row r="934" spans="1:9">
      <c r="A934" s="134">
        <v>936</v>
      </c>
      <c r="B934" s="134" t="s">
        <v>1818</v>
      </c>
      <c r="C934" s="137" t="s">
        <v>3569</v>
      </c>
      <c r="D934" s="137" t="s">
        <v>3570</v>
      </c>
      <c r="E934" s="137" t="s">
        <v>12</v>
      </c>
      <c r="F934" s="137" t="s">
        <v>7</v>
      </c>
      <c r="G934" s="137" t="s">
        <v>8</v>
      </c>
      <c r="H934" s="138">
        <v>232</v>
      </c>
    </row>
    <row r="935" spans="1:9">
      <c r="A935" s="134">
        <v>937</v>
      </c>
      <c r="B935" s="134" t="s">
        <v>1818</v>
      </c>
      <c r="C935" s="137" t="s">
        <v>3569</v>
      </c>
      <c r="D935" s="137" t="s">
        <v>3571</v>
      </c>
      <c r="E935" s="137" t="s">
        <v>14</v>
      </c>
      <c r="F935" s="137" t="s">
        <v>7</v>
      </c>
      <c r="G935" s="137" t="s">
        <v>8</v>
      </c>
      <c r="H935" s="138">
        <v>180</v>
      </c>
    </row>
    <row r="936" spans="1:9">
      <c r="A936" s="134">
        <v>938</v>
      </c>
      <c r="B936" s="134" t="s">
        <v>1818</v>
      </c>
      <c r="C936" s="137" t="s">
        <v>3572</v>
      </c>
      <c r="D936" s="137" t="s">
        <v>3573</v>
      </c>
      <c r="E936" s="137" t="s">
        <v>18</v>
      </c>
      <c r="F936" s="137" t="s">
        <v>10</v>
      </c>
      <c r="G936" s="137" t="s">
        <v>11</v>
      </c>
      <c r="H936" s="138">
        <v>232</v>
      </c>
    </row>
    <row r="937" spans="1:9">
      <c r="A937" s="134">
        <v>939</v>
      </c>
      <c r="B937" s="134" t="s">
        <v>1818</v>
      </c>
      <c r="C937" s="134" t="s">
        <v>3574</v>
      </c>
      <c r="D937" s="135" t="s">
        <v>3575</v>
      </c>
      <c r="E937" s="134" t="s">
        <v>6</v>
      </c>
      <c r="F937" s="134" t="s">
        <v>7</v>
      </c>
      <c r="G937" s="134" t="s">
        <v>8</v>
      </c>
      <c r="H937" s="136">
        <v>180</v>
      </c>
    </row>
    <row r="938" spans="1:9">
      <c r="A938" s="134">
        <v>940</v>
      </c>
      <c r="B938" s="134" t="s">
        <v>1818</v>
      </c>
      <c r="C938" s="139" t="s">
        <v>3576</v>
      </c>
      <c r="D938" s="134" t="s">
        <v>3577</v>
      </c>
      <c r="E938" s="134" t="s">
        <v>12</v>
      </c>
      <c r="F938" s="134" t="s">
        <v>10</v>
      </c>
      <c r="G938" s="134" t="s">
        <v>8</v>
      </c>
      <c r="H938" s="141">
        <v>280</v>
      </c>
    </row>
    <row r="939" spans="1:9">
      <c r="A939" s="134">
        <v>941</v>
      </c>
      <c r="B939" s="134" t="s">
        <v>1818</v>
      </c>
      <c r="C939" s="139" t="s">
        <v>3578</v>
      </c>
      <c r="D939" s="134" t="s">
        <v>2831</v>
      </c>
      <c r="E939" s="134" t="s">
        <v>9</v>
      </c>
      <c r="F939" s="134" t="s">
        <v>7</v>
      </c>
      <c r="G939" s="134" t="s">
        <v>8</v>
      </c>
      <c r="H939" s="141">
        <v>215</v>
      </c>
    </row>
    <row r="940" spans="1:9">
      <c r="A940" s="134">
        <v>942</v>
      </c>
      <c r="B940" s="134" t="s">
        <v>1818</v>
      </c>
      <c r="C940" s="137" t="s">
        <v>3579</v>
      </c>
      <c r="D940" s="137" t="s">
        <v>2754</v>
      </c>
      <c r="E940" s="137" t="s">
        <v>6</v>
      </c>
      <c r="F940" s="137" t="s">
        <v>7</v>
      </c>
      <c r="G940" s="137" t="s">
        <v>8</v>
      </c>
      <c r="H940" s="138">
        <v>232</v>
      </c>
    </row>
    <row r="941" spans="1:9">
      <c r="A941" s="134">
        <v>943</v>
      </c>
      <c r="B941" s="134" t="s">
        <v>1818</v>
      </c>
      <c r="C941" s="137" t="s">
        <v>3580</v>
      </c>
      <c r="D941" s="137" t="s">
        <v>3581</v>
      </c>
      <c r="E941" s="137" t="s">
        <v>18</v>
      </c>
      <c r="F941" s="137" t="s">
        <v>7</v>
      </c>
      <c r="G941" s="137" t="s">
        <v>8</v>
      </c>
      <c r="H941" s="138">
        <v>220</v>
      </c>
    </row>
    <row r="942" spans="1:9">
      <c r="A942" s="134">
        <v>944</v>
      </c>
      <c r="B942" s="134" t="s">
        <v>1818</v>
      </c>
      <c r="C942" s="137" t="s">
        <v>3582</v>
      </c>
      <c r="D942" s="137" t="s">
        <v>2571</v>
      </c>
      <c r="E942" s="137" t="s">
        <v>6</v>
      </c>
      <c r="F942" s="137" t="s">
        <v>7</v>
      </c>
      <c r="G942" s="137" t="s">
        <v>8</v>
      </c>
      <c r="H942" s="138">
        <v>190</v>
      </c>
    </row>
    <row r="943" spans="1:9">
      <c r="A943" s="134">
        <v>945</v>
      </c>
      <c r="B943" s="134" t="s">
        <v>1818</v>
      </c>
      <c r="C943" s="137" t="s">
        <v>2512</v>
      </c>
      <c r="D943" s="137" t="s">
        <v>3583</v>
      </c>
      <c r="E943" s="137" t="s">
        <v>14</v>
      </c>
      <c r="F943" s="137" t="s">
        <v>7</v>
      </c>
      <c r="G943" s="137" t="s">
        <v>8</v>
      </c>
      <c r="H943" s="138">
        <v>190</v>
      </c>
    </row>
    <row r="944" spans="1:9">
      <c r="A944" s="134">
        <v>946</v>
      </c>
      <c r="B944" s="134" t="s">
        <v>1818</v>
      </c>
      <c r="C944" s="137" t="s">
        <v>2700</v>
      </c>
      <c r="D944" s="137" t="s">
        <v>3584</v>
      </c>
      <c r="E944" s="137" t="s">
        <v>12</v>
      </c>
      <c r="F944" s="137" t="s">
        <v>7</v>
      </c>
      <c r="G944" s="137" t="s">
        <v>8</v>
      </c>
      <c r="H944" s="138">
        <v>180</v>
      </c>
    </row>
    <row r="945" spans="1:8">
      <c r="A945" s="134">
        <v>947</v>
      </c>
      <c r="B945" s="134" t="s">
        <v>1818</v>
      </c>
      <c r="C945" s="134" t="s">
        <v>3585</v>
      </c>
      <c r="D945" s="135" t="s">
        <v>3586</v>
      </c>
      <c r="H945" s="136">
        <v>220</v>
      </c>
    </row>
    <row r="946" spans="1:8">
      <c r="A946" s="134">
        <v>948</v>
      </c>
      <c r="B946" s="134" t="s">
        <v>1818</v>
      </c>
      <c r="C946" s="134" t="s">
        <v>3587</v>
      </c>
      <c r="D946" s="135" t="s">
        <v>3588</v>
      </c>
      <c r="F946" s="134" t="s">
        <v>7</v>
      </c>
      <c r="G946" s="134" t="s">
        <v>8</v>
      </c>
      <c r="H946" s="136">
        <v>180</v>
      </c>
    </row>
    <row r="947" spans="1:8">
      <c r="A947" s="134">
        <v>949</v>
      </c>
      <c r="B947" s="134" t="s">
        <v>1818</v>
      </c>
      <c r="C947" s="134" t="s">
        <v>3589</v>
      </c>
      <c r="D947" s="134" t="s">
        <v>3590</v>
      </c>
      <c r="E947" s="134" t="s">
        <v>18</v>
      </c>
      <c r="F947" s="134" t="s">
        <v>7</v>
      </c>
      <c r="G947" s="134" t="s">
        <v>8</v>
      </c>
      <c r="H947" s="140">
        <v>227</v>
      </c>
    </row>
    <row r="948" spans="1:8">
      <c r="A948" s="134">
        <v>950</v>
      </c>
      <c r="B948" s="134" t="s">
        <v>1818</v>
      </c>
      <c r="C948" s="134" t="s">
        <v>3591</v>
      </c>
      <c r="D948" s="135" t="s">
        <v>3592</v>
      </c>
      <c r="E948" s="134" t="s">
        <v>15</v>
      </c>
      <c r="F948" s="134" t="s">
        <v>7</v>
      </c>
      <c r="G948" s="134" t="s">
        <v>8</v>
      </c>
      <c r="H948" s="136">
        <v>180</v>
      </c>
    </row>
    <row r="949" spans="1:8">
      <c r="A949" s="134">
        <v>951</v>
      </c>
      <c r="B949" s="134" t="s">
        <v>1818</v>
      </c>
      <c r="C949" s="134" t="s">
        <v>3593</v>
      </c>
      <c r="D949" s="135" t="s">
        <v>3594</v>
      </c>
      <c r="E949" s="134" t="s">
        <v>14</v>
      </c>
      <c r="F949" s="134" t="s">
        <v>7</v>
      </c>
      <c r="G949" s="134" t="s">
        <v>8</v>
      </c>
      <c r="H949" s="136">
        <v>180</v>
      </c>
    </row>
    <row r="950" spans="1:8">
      <c r="A950" s="134">
        <v>952</v>
      </c>
      <c r="B950" s="134" t="s">
        <v>1818</v>
      </c>
      <c r="C950" s="137" t="s">
        <v>3595</v>
      </c>
      <c r="D950" s="137" t="s">
        <v>3596</v>
      </c>
      <c r="E950" s="137" t="s">
        <v>12</v>
      </c>
      <c r="F950" s="137" t="s">
        <v>7</v>
      </c>
      <c r="G950" s="137" t="s">
        <v>8</v>
      </c>
      <c r="H950" s="138">
        <v>180</v>
      </c>
    </row>
    <row r="951" spans="1:8">
      <c r="A951" s="134">
        <v>953</v>
      </c>
      <c r="B951" s="134" t="s">
        <v>1818</v>
      </c>
      <c r="C951" s="146" t="s">
        <v>3597</v>
      </c>
      <c r="D951" s="146" t="s">
        <v>3598</v>
      </c>
      <c r="E951" s="134" t="s">
        <v>9</v>
      </c>
      <c r="F951" s="134" t="s">
        <v>7</v>
      </c>
      <c r="G951" s="146" t="s">
        <v>8</v>
      </c>
      <c r="H951" s="140">
        <v>180</v>
      </c>
    </row>
    <row r="952" spans="1:8">
      <c r="A952" s="134">
        <v>954</v>
      </c>
      <c r="B952" s="134" t="s">
        <v>1818</v>
      </c>
      <c r="C952" s="149" t="s">
        <v>3599</v>
      </c>
      <c r="D952" s="134" t="s">
        <v>3600</v>
      </c>
      <c r="G952" s="147" t="s">
        <v>8</v>
      </c>
      <c r="H952" s="154">
        <v>220</v>
      </c>
    </row>
    <row r="953" spans="1:8">
      <c r="A953" s="134">
        <v>955</v>
      </c>
      <c r="B953" s="134" t="s">
        <v>1818</v>
      </c>
      <c r="C953" s="146" t="s">
        <v>3601</v>
      </c>
      <c r="D953" s="146" t="s">
        <v>3602</v>
      </c>
      <c r="E953" s="134" t="s">
        <v>12</v>
      </c>
      <c r="F953" s="134" t="s">
        <v>7</v>
      </c>
      <c r="G953" s="146" t="s">
        <v>8</v>
      </c>
      <c r="H953" s="140">
        <v>220</v>
      </c>
    </row>
    <row r="954" spans="1:8">
      <c r="A954" s="134">
        <v>956</v>
      </c>
      <c r="B954" s="134" t="s">
        <v>1818</v>
      </c>
      <c r="C954" s="137" t="s">
        <v>3603</v>
      </c>
      <c r="D954" s="137" t="s">
        <v>3604</v>
      </c>
      <c r="E954" s="137" t="s">
        <v>18</v>
      </c>
      <c r="F954" s="137" t="s">
        <v>7</v>
      </c>
      <c r="G954" s="137" t="s">
        <v>8</v>
      </c>
      <c r="H954" s="138">
        <v>232</v>
      </c>
    </row>
    <row r="955" spans="1:8">
      <c r="A955" s="134">
        <v>957</v>
      </c>
      <c r="B955" s="134" t="s">
        <v>1818</v>
      </c>
      <c r="C955" s="146" t="s">
        <v>3605</v>
      </c>
      <c r="D955" s="146" t="s">
        <v>3606</v>
      </c>
      <c r="G955" s="146" t="s">
        <v>8</v>
      </c>
      <c r="H955" s="140">
        <v>220</v>
      </c>
    </row>
    <row r="956" spans="1:8">
      <c r="A956" s="134">
        <v>958</v>
      </c>
      <c r="B956" s="134" t="s">
        <v>1818</v>
      </c>
      <c r="C956" s="186" t="s">
        <v>3607</v>
      </c>
      <c r="D956" s="186" t="s">
        <v>3608</v>
      </c>
      <c r="E956" s="186" t="s">
        <v>18</v>
      </c>
      <c r="F956" s="186" t="s">
        <v>7</v>
      </c>
      <c r="G956" s="186" t="s">
        <v>8</v>
      </c>
      <c r="H956" s="209">
        <v>180</v>
      </c>
    </row>
    <row r="957" spans="1:8">
      <c r="A957" s="134">
        <v>959</v>
      </c>
      <c r="B957" s="134" t="s">
        <v>1818</v>
      </c>
      <c r="C957" s="186" t="s">
        <v>3609</v>
      </c>
      <c r="D957" s="186" t="s">
        <v>3610</v>
      </c>
      <c r="E957" s="186" t="s">
        <v>6</v>
      </c>
      <c r="F957" s="186" t="s">
        <v>10</v>
      </c>
      <c r="G957" s="186" t="s">
        <v>8</v>
      </c>
      <c r="H957" s="209">
        <v>190</v>
      </c>
    </row>
    <row r="958" spans="1:8">
      <c r="A958" s="134">
        <v>960</v>
      </c>
      <c r="B958" s="134" t="s">
        <v>1818</v>
      </c>
      <c r="C958" s="137" t="s">
        <v>3611</v>
      </c>
      <c r="D958" s="137" t="s">
        <v>3612</v>
      </c>
      <c r="E958" s="137" t="s">
        <v>14</v>
      </c>
      <c r="F958" s="137" t="s">
        <v>10</v>
      </c>
      <c r="G958" s="137" t="s">
        <v>8</v>
      </c>
      <c r="H958" s="138">
        <v>220</v>
      </c>
    </row>
    <row r="959" spans="1:8">
      <c r="A959" s="134">
        <v>961</v>
      </c>
      <c r="B959" s="134" t="s">
        <v>1818</v>
      </c>
      <c r="C959" s="137" t="s">
        <v>3611</v>
      </c>
      <c r="D959" s="137" t="s">
        <v>1937</v>
      </c>
      <c r="E959" s="137" t="s">
        <v>6</v>
      </c>
      <c r="F959" s="137" t="s">
        <v>7</v>
      </c>
      <c r="G959" s="137" t="s">
        <v>8</v>
      </c>
      <c r="H959" s="138">
        <v>180</v>
      </c>
    </row>
    <row r="960" spans="1:8">
      <c r="A960" s="134">
        <v>962</v>
      </c>
      <c r="B960" s="134" t="s">
        <v>1818</v>
      </c>
      <c r="C960" s="134" t="s">
        <v>3613</v>
      </c>
      <c r="D960" s="134" t="s">
        <v>3614</v>
      </c>
      <c r="E960" s="134" t="s">
        <v>16</v>
      </c>
      <c r="F960" s="134" t="s">
        <v>7</v>
      </c>
      <c r="G960" s="134" t="s">
        <v>8</v>
      </c>
      <c r="H960" s="140">
        <v>180</v>
      </c>
    </row>
    <row r="961" spans="1:9">
      <c r="A961" s="134">
        <v>963</v>
      </c>
      <c r="B961" s="134" t="s">
        <v>1818</v>
      </c>
      <c r="C961" s="134" t="s">
        <v>3615</v>
      </c>
      <c r="D961" s="134" t="s">
        <v>3616</v>
      </c>
      <c r="E961" s="134" t="s">
        <v>12</v>
      </c>
      <c r="F961" s="134" t="s">
        <v>7</v>
      </c>
      <c r="G961" s="134" t="s">
        <v>13</v>
      </c>
      <c r="H961" s="140">
        <v>190</v>
      </c>
    </row>
    <row r="962" spans="1:9">
      <c r="A962" s="134">
        <v>964</v>
      </c>
      <c r="B962" s="134" t="s">
        <v>1818</v>
      </c>
      <c r="C962" s="134" t="s">
        <v>3617</v>
      </c>
      <c r="D962" s="134" t="s">
        <v>3618</v>
      </c>
      <c r="E962" s="134" t="s">
        <v>6</v>
      </c>
      <c r="F962" s="134" t="s">
        <v>7</v>
      </c>
      <c r="G962" s="134" t="s">
        <v>8</v>
      </c>
      <c r="H962" s="140">
        <v>190</v>
      </c>
      <c r="I962" s="1"/>
    </row>
    <row r="963" spans="1:9">
      <c r="A963" s="134">
        <v>965</v>
      </c>
      <c r="B963" s="134" t="s">
        <v>1818</v>
      </c>
      <c r="C963" s="166" t="s">
        <v>3619</v>
      </c>
      <c r="D963" s="150" t="s">
        <v>3620</v>
      </c>
      <c r="F963" s="134" t="s">
        <v>7</v>
      </c>
      <c r="G963" s="147" t="s">
        <v>8</v>
      </c>
      <c r="H963" s="151">
        <v>215</v>
      </c>
    </row>
    <row r="964" spans="1:9" s="158" customFormat="1">
      <c r="A964" s="158">
        <v>966</v>
      </c>
      <c r="B964" s="134" t="s">
        <v>1818</v>
      </c>
      <c r="C964" s="158" t="s">
        <v>3621</v>
      </c>
      <c r="D964" s="158" t="s">
        <v>3622</v>
      </c>
      <c r="F964" s="158" t="s">
        <v>10</v>
      </c>
      <c r="H964" s="159"/>
      <c r="I964" s="158" t="s">
        <v>48</v>
      </c>
    </row>
    <row r="965" spans="1:9">
      <c r="A965" s="134">
        <v>967</v>
      </c>
      <c r="B965" s="134" t="s">
        <v>1818</v>
      </c>
      <c r="C965" s="137" t="s">
        <v>3623</v>
      </c>
      <c r="D965" s="137" t="s">
        <v>3624</v>
      </c>
      <c r="E965" s="137" t="s">
        <v>6</v>
      </c>
      <c r="F965" s="137" t="s">
        <v>7</v>
      </c>
      <c r="G965" s="137" t="s">
        <v>8</v>
      </c>
      <c r="H965" s="138">
        <v>190</v>
      </c>
    </row>
    <row r="966" spans="1:9">
      <c r="A966" s="134">
        <v>968</v>
      </c>
      <c r="B966" s="134" t="s">
        <v>1818</v>
      </c>
      <c r="C966" s="137" t="s">
        <v>3625</v>
      </c>
      <c r="D966" s="137" t="s">
        <v>3626</v>
      </c>
      <c r="E966" s="137" t="s">
        <v>16</v>
      </c>
      <c r="F966" s="137" t="s">
        <v>7</v>
      </c>
      <c r="G966" s="137" t="s">
        <v>8</v>
      </c>
      <c r="H966" s="138">
        <v>180</v>
      </c>
    </row>
    <row r="967" spans="1:9">
      <c r="A967" s="134">
        <v>969</v>
      </c>
      <c r="B967" s="134" t="s">
        <v>1818</v>
      </c>
      <c r="C967" s="146" t="s">
        <v>3627</v>
      </c>
      <c r="D967" s="146" t="s">
        <v>3628</v>
      </c>
      <c r="E967" s="134" t="s">
        <v>6</v>
      </c>
      <c r="F967" s="134" t="s">
        <v>7</v>
      </c>
      <c r="G967" s="146" t="s">
        <v>8</v>
      </c>
      <c r="H967" s="140">
        <v>180</v>
      </c>
    </row>
    <row r="968" spans="1:9" ht="33">
      <c r="A968" s="134">
        <v>970</v>
      </c>
      <c r="B968" s="134" t="s">
        <v>1818</v>
      </c>
      <c r="C968" s="137" t="s">
        <v>3629</v>
      </c>
      <c r="D968" s="137" t="s">
        <v>3630</v>
      </c>
      <c r="E968" s="137" t="s">
        <v>14</v>
      </c>
      <c r="F968" s="137" t="s">
        <v>7</v>
      </c>
      <c r="G968" s="137" t="s">
        <v>13</v>
      </c>
      <c r="H968" s="138">
        <v>190</v>
      </c>
    </row>
    <row r="969" spans="1:9">
      <c r="A969" s="134">
        <v>971</v>
      </c>
      <c r="B969" s="134" t="s">
        <v>1818</v>
      </c>
      <c r="C969" s="134" t="s">
        <v>3631</v>
      </c>
      <c r="D969" s="134" t="s">
        <v>3632</v>
      </c>
      <c r="E969" s="134" t="s">
        <v>12</v>
      </c>
      <c r="F969" s="137" t="s">
        <v>10</v>
      </c>
      <c r="G969" s="134" t="s">
        <v>20</v>
      </c>
      <c r="H969" s="140">
        <v>220</v>
      </c>
    </row>
    <row r="970" spans="1:9">
      <c r="A970" s="134">
        <v>972</v>
      </c>
      <c r="B970" s="134" t="s">
        <v>1818</v>
      </c>
      <c r="C970" s="137" t="s">
        <v>2177</v>
      </c>
      <c r="D970" s="137" t="s">
        <v>3633</v>
      </c>
      <c r="E970" s="137" t="s">
        <v>14</v>
      </c>
      <c r="F970" s="137" t="s">
        <v>7</v>
      </c>
      <c r="G970" s="137" t="s">
        <v>8</v>
      </c>
      <c r="H970" s="138">
        <v>180</v>
      </c>
    </row>
    <row r="971" spans="1:9">
      <c r="A971" s="134">
        <v>973</v>
      </c>
      <c r="B971" s="134" t="s">
        <v>1818</v>
      </c>
      <c r="C971" s="139" t="s">
        <v>3634</v>
      </c>
      <c r="D971" s="134" t="s">
        <v>3635</v>
      </c>
      <c r="E971" s="134" t="s">
        <v>9</v>
      </c>
      <c r="F971" s="134" t="s">
        <v>7</v>
      </c>
      <c r="G971" s="134" t="s">
        <v>8</v>
      </c>
      <c r="H971" s="141">
        <v>215</v>
      </c>
    </row>
    <row r="972" spans="1:9">
      <c r="A972" s="134">
        <v>974</v>
      </c>
      <c r="B972" s="134" t="s">
        <v>1818</v>
      </c>
      <c r="C972" s="134" t="s">
        <v>3636</v>
      </c>
      <c r="D972" s="135" t="s">
        <v>3637</v>
      </c>
      <c r="E972" s="134" t="s">
        <v>14</v>
      </c>
      <c r="F972" s="134" t="s">
        <v>7</v>
      </c>
      <c r="G972" s="134" t="s">
        <v>8</v>
      </c>
      <c r="H972" s="136">
        <v>220</v>
      </c>
    </row>
    <row r="973" spans="1:9">
      <c r="A973" s="134">
        <v>975</v>
      </c>
      <c r="B973" s="134" t="s">
        <v>1818</v>
      </c>
      <c r="C973" s="134" t="s">
        <v>3638</v>
      </c>
      <c r="D973" s="134" t="s">
        <v>3639</v>
      </c>
      <c r="E973" s="134" t="s">
        <v>9</v>
      </c>
      <c r="F973" s="134" t="s">
        <v>7</v>
      </c>
      <c r="G973" s="134" t="s">
        <v>8</v>
      </c>
      <c r="H973" s="140">
        <v>180</v>
      </c>
    </row>
    <row r="974" spans="1:9">
      <c r="A974" s="134">
        <v>976</v>
      </c>
      <c r="B974" s="134" t="s">
        <v>1818</v>
      </c>
      <c r="C974" s="134" t="s">
        <v>3640</v>
      </c>
      <c r="D974" s="134" t="s">
        <v>3641</v>
      </c>
      <c r="E974" s="134" t="s">
        <v>14</v>
      </c>
      <c r="F974" s="134" t="s">
        <v>7</v>
      </c>
      <c r="G974" s="134" t="s">
        <v>13</v>
      </c>
      <c r="H974" s="140">
        <v>190</v>
      </c>
    </row>
    <row r="975" spans="1:9">
      <c r="A975" s="134">
        <v>977</v>
      </c>
      <c r="B975" s="134" t="s">
        <v>1818</v>
      </c>
      <c r="C975" s="139" t="s">
        <v>1891</v>
      </c>
      <c r="D975" s="134" t="s">
        <v>3642</v>
      </c>
      <c r="E975" s="134" t="s">
        <v>14</v>
      </c>
      <c r="F975" s="134" t="s">
        <v>10</v>
      </c>
      <c r="G975" s="134" t="s">
        <v>8</v>
      </c>
      <c r="H975" s="220">
        <v>260</v>
      </c>
    </row>
    <row r="976" spans="1:9">
      <c r="A976" s="134">
        <v>978</v>
      </c>
      <c r="B976" s="134" t="s">
        <v>1818</v>
      </c>
      <c r="C976" s="134" t="s">
        <v>1891</v>
      </c>
      <c r="D976" s="134" t="s">
        <v>3643</v>
      </c>
      <c r="E976" s="134" t="s">
        <v>14</v>
      </c>
      <c r="F976" s="134" t="s">
        <v>7</v>
      </c>
      <c r="G976" s="134" t="s">
        <v>8</v>
      </c>
      <c r="H976" s="140">
        <v>232</v>
      </c>
    </row>
    <row r="977" spans="1:9">
      <c r="A977" s="134">
        <v>979</v>
      </c>
      <c r="B977" s="134" t="s">
        <v>1818</v>
      </c>
      <c r="C977" s="134" t="s">
        <v>3644</v>
      </c>
      <c r="D977" s="135" t="s">
        <v>3591</v>
      </c>
      <c r="E977" s="134" t="s">
        <v>14</v>
      </c>
      <c r="F977" s="134" t="s">
        <v>7</v>
      </c>
      <c r="G977" s="134" t="s">
        <v>8</v>
      </c>
      <c r="H977" s="136">
        <v>180</v>
      </c>
    </row>
    <row r="978" spans="1:9">
      <c r="A978" s="134">
        <v>980</v>
      </c>
      <c r="B978" s="134" t="s">
        <v>1818</v>
      </c>
      <c r="C978" s="146" t="s">
        <v>3645</v>
      </c>
      <c r="D978" s="146" t="s">
        <v>3646</v>
      </c>
      <c r="F978" s="134" t="s">
        <v>7</v>
      </c>
      <c r="G978" s="146" t="s">
        <v>8</v>
      </c>
      <c r="H978" s="140">
        <v>180</v>
      </c>
    </row>
    <row r="979" spans="1:9">
      <c r="A979" s="134">
        <v>981</v>
      </c>
      <c r="B979" s="134" t="s">
        <v>1818</v>
      </c>
      <c r="C979" s="137" t="s">
        <v>3647</v>
      </c>
      <c r="D979" s="137" t="s">
        <v>3648</v>
      </c>
      <c r="E979" s="137" t="s">
        <v>16</v>
      </c>
      <c r="F979" s="137" t="s">
        <v>10</v>
      </c>
      <c r="G979" s="137" t="s">
        <v>13</v>
      </c>
      <c r="H979" s="138">
        <v>232</v>
      </c>
    </row>
    <row r="980" spans="1:9">
      <c r="A980" s="134">
        <v>982</v>
      </c>
      <c r="B980" s="134" t="s">
        <v>1818</v>
      </c>
      <c r="C980" s="134" t="s">
        <v>3649</v>
      </c>
      <c r="D980" s="134" t="s">
        <v>3650</v>
      </c>
      <c r="E980" s="134" t="s">
        <v>14</v>
      </c>
      <c r="F980" s="137" t="s">
        <v>10</v>
      </c>
      <c r="G980" s="134" t="s">
        <v>20</v>
      </c>
      <c r="H980" s="140">
        <v>260</v>
      </c>
    </row>
    <row r="981" spans="1:9">
      <c r="A981" s="134">
        <v>983</v>
      </c>
      <c r="B981" s="134" t="s">
        <v>1818</v>
      </c>
      <c r="C981" s="134" t="s">
        <v>3651</v>
      </c>
      <c r="D981" s="134" t="s">
        <v>3652</v>
      </c>
      <c r="E981" s="134" t="s">
        <v>12</v>
      </c>
      <c r="F981" s="137" t="s">
        <v>10</v>
      </c>
      <c r="G981" s="134" t="s">
        <v>20</v>
      </c>
      <c r="H981" s="140">
        <v>220</v>
      </c>
    </row>
    <row r="982" spans="1:9">
      <c r="A982" s="134">
        <v>984</v>
      </c>
      <c r="B982" s="134" t="s">
        <v>1818</v>
      </c>
      <c r="C982" s="137" t="s">
        <v>3653</v>
      </c>
      <c r="D982" s="137" t="s">
        <v>3654</v>
      </c>
      <c r="E982" s="137" t="s">
        <v>14</v>
      </c>
      <c r="F982" s="137" t="s">
        <v>10</v>
      </c>
      <c r="G982" s="137" t="s">
        <v>8</v>
      </c>
      <c r="H982" s="138">
        <v>232</v>
      </c>
    </row>
    <row r="983" spans="1:9">
      <c r="A983" s="134">
        <v>985</v>
      </c>
      <c r="B983" s="134" t="s">
        <v>1818</v>
      </c>
      <c r="C983" s="137" t="s">
        <v>3655</v>
      </c>
      <c r="D983" s="137" t="s">
        <v>3656</v>
      </c>
      <c r="E983" s="137" t="s">
        <v>18</v>
      </c>
      <c r="F983" s="137" t="s">
        <v>10</v>
      </c>
      <c r="G983" s="137" t="s">
        <v>49</v>
      </c>
      <c r="H983" s="138">
        <v>232</v>
      </c>
    </row>
    <row r="984" spans="1:9">
      <c r="A984" s="134">
        <v>986</v>
      </c>
      <c r="B984" s="134" t="s">
        <v>1818</v>
      </c>
      <c r="C984" s="137" t="s">
        <v>3657</v>
      </c>
      <c r="D984" s="137" t="s">
        <v>3658</v>
      </c>
      <c r="E984" s="137" t="s">
        <v>18</v>
      </c>
      <c r="F984" s="137" t="s">
        <v>10</v>
      </c>
      <c r="G984" s="137" t="s">
        <v>13</v>
      </c>
      <c r="H984" s="138">
        <v>190</v>
      </c>
    </row>
    <row r="985" spans="1:9">
      <c r="A985" s="134">
        <v>987</v>
      </c>
      <c r="B985" s="134" t="s">
        <v>1818</v>
      </c>
      <c r="C985" s="134" t="s">
        <v>3659</v>
      </c>
      <c r="D985" s="221" t="s">
        <v>3660</v>
      </c>
      <c r="E985" s="134" t="s">
        <v>9</v>
      </c>
      <c r="F985" s="134" t="s">
        <v>7</v>
      </c>
      <c r="G985" s="134" t="s">
        <v>8</v>
      </c>
      <c r="H985" s="136">
        <v>180</v>
      </c>
    </row>
    <row r="986" spans="1:9">
      <c r="A986" s="134">
        <v>988</v>
      </c>
      <c r="B986" s="134" t="s">
        <v>1818</v>
      </c>
      <c r="C986" s="149" t="s">
        <v>3661</v>
      </c>
      <c r="D986" s="134" t="s">
        <v>3662</v>
      </c>
      <c r="G986" s="147" t="s">
        <v>8</v>
      </c>
      <c r="H986" s="154">
        <v>220</v>
      </c>
    </row>
    <row r="987" spans="1:9">
      <c r="A987" s="134">
        <v>989</v>
      </c>
      <c r="B987" s="134" t="s">
        <v>1818</v>
      </c>
      <c r="C987" s="149" t="s">
        <v>3663</v>
      </c>
      <c r="D987" s="150" t="s">
        <v>3664</v>
      </c>
      <c r="E987" s="134" t="s">
        <v>14</v>
      </c>
      <c r="F987" s="134" t="s">
        <v>7</v>
      </c>
      <c r="G987" s="147" t="s">
        <v>8</v>
      </c>
      <c r="H987" s="151">
        <v>260</v>
      </c>
    </row>
    <row r="988" spans="1:9" s="158" customFormat="1" ht="33">
      <c r="A988" s="158">
        <v>990</v>
      </c>
      <c r="B988" s="134" t="s">
        <v>1818</v>
      </c>
      <c r="C988" s="158" t="s">
        <v>3665</v>
      </c>
      <c r="D988" s="158" t="s">
        <v>3666</v>
      </c>
      <c r="E988" s="158" t="s">
        <v>9</v>
      </c>
      <c r="F988" s="158" t="s">
        <v>10</v>
      </c>
      <c r="G988" s="158" t="s">
        <v>50</v>
      </c>
      <c r="H988" s="159"/>
      <c r="I988" s="158" t="s">
        <v>51</v>
      </c>
    </row>
    <row r="989" spans="1:9">
      <c r="A989" s="134">
        <v>991</v>
      </c>
      <c r="B989" s="134" t="s">
        <v>1818</v>
      </c>
      <c r="C989" s="166" t="s">
        <v>3667</v>
      </c>
      <c r="D989" s="166" t="s">
        <v>2664</v>
      </c>
      <c r="E989" s="166" t="s">
        <v>43</v>
      </c>
      <c r="F989" s="139" t="s">
        <v>10</v>
      </c>
      <c r="G989" s="147" t="s">
        <v>25</v>
      </c>
      <c r="H989" s="155">
        <v>169</v>
      </c>
    </row>
    <row r="990" spans="1:9">
      <c r="A990" s="134">
        <v>992</v>
      </c>
      <c r="B990" s="134" t="s">
        <v>1818</v>
      </c>
      <c r="C990" s="137" t="s">
        <v>3668</v>
      </c>
      <c r="D990" s="137" t="s">
        <v>2647</v>
      </c>
      <c r="E990" s="137" t="s">
        <v>15</v>
      </c>
      <c r="F990" s="137" t="s">
        <v>7</v>
      </c>
      <c r="G990" s="137" t="s">
        <v>8</v>
      </c>
      <c r="H990" s="138">
        <v>190</v>
      </c>
    </row>
    <row r="991" spans="1:9">
      <c r="A991" s="134">
        <v>993</v>
      </c>
      <c r="B991" s="134" t="s">
        <v>1818</v>
      </c>
      <c r="C991" s="137" t="s">
        <v>3668</v>
      </c>
      <c r="D991" s="137" t="s">
        <v>3669</v>
      </c>
      <c r="E991" s="137" t="s">
        <v>14</v>
      </c>
      <c r="F991" s="137" t="s">
        <v>7</v>
      </c>
      <c r="G991" s="137" t="s">
        <v>8</v>
      </c>
      <c r="H991" s="138">
        <v>190</v>
      </c>
    </row>
    <row r="992" spans="1:9">
      <c r="A992" s="134">
        <v>994</v>
      </c>
      <c r="B992" s="134" t="s">
        <v>1818</v>
      </c>
      <c r="C992" s="137" t="s">
        <v>3668</v>
      </c>
      <c r="D992" s="137" t="s">
        <v>2993</v>
      </c>
      <c r="E992" s="137" t="s">
        <v>6</v>
      </c>
      <c r="F992" s="137" t="s">
        <v>7</v>
      </c>
      <c r="G992" s="137" t="s">
        <v>8</v>
      </c>
      <c r="H992" s="138">
        <v>180</v>
      </c>
    </row>
    <row r="993" spans="1:10">
      <c r="A993" s="134">
        <v>995</v>
      </c>
      <c r="B993" s="134" t="s">
        <v>1818</v>
      </c>
      <c r="C993" s="137" t="s">
        <v>3668</v>
      </c>
      <c r="D993" s="137" t="s">
        <v>3670</v>
      </c>
      <c r="E993" s="137" t="s">
        <v>14</v>
      </c>
      <c r="F993" s="137" t="s">
        <v>7</v>
      </c>
      <c r="G993" s="137" t="s">
        <v>8</v>
      </c>
      <c r="H993" s="138">
        <v>180</v>
      </c>
    </row>
    <row r="994" spans="1:10">
      <c r="A994" s="134">
        <v>996</v>
      </c>
      <c r="B994" s="134" t="s">
        <v>1818</v>
      </c>
      <c r="C994" s="137" t="s">
        <v>3671</v>
      </c>
      <c r="D994" s="137" t="s">
        <v>3672</v>
      </c>
      <c r="E994" s="137" t="s">
        <v>12</v>
      </c>
      <c r="F994" s="137" t="s">
        <v>7</v>
      </c>
      <c r="G994" s="137" t="s">
        <v>8</v>
      </c>
      <c r="H994" s="138">
        <v>190</v>
      </c>
    </row>
    <row r="995" spans="1:10">
      <c r="A995" s="134">
        <v>997</v>
      </c>
      <c r="B995" s="134" t="s">
        <v>1818</v>
      </c>
      <c r="C995" s="137" t="s">
        <v>3673</v>
      </c>
      <c r="D995" s="137" t="s">
        <v>3674</v>
      </c>
      <c r="E995" s="137" t="s">
        <v>6</v>
      </c>
      <c r="F995" s="137" t="s">
        <v>7</v>
      </c>
      <c r="G995" s="137" t="s">
        <v>8</v>
      </c>
      <c r="H995" s="138">
        <v>190</v>
      </c>
    </row>
    <row r="996" spans="1:10">
      <c r="A996" s="134">
        <v>998</v>
      </c>
      <c r="B996" s="134" t="s">
        <v>1818</v>
      </c>
      <c r="C996" s="137" t="s">
        <v>3675</v>
      </c>
      <c r="D996" s="137" t="s">
        <v>3676</v>
      </c>
      <c r="E996" s="137" t="s">
        <v>14</v>
      </c>
      <c r="F996" s="137" t="s">
        <v>7</v>
      </c>
      <c r="G996" s="137" t="s">
        <v>8</v>
      </c>
      <c r="H996" s="138">
        <v>232</v>
      </c>
    </row>
    <row r="997" spans="1:10">
      <c r="A997" s="134">
        <v>999</v>
      </c>
      <c r="B997" s="134" t="s">
        <v>1818</v>
      </c>
      <c r="C997" s="134" t="s">
        <v>3677</v>
      </c>
      <c r="D997" s="134" t="s">
        <v>3678</v>
      </c>
      <c r="E997" s="134" t="s">
        <v>16</v>
      </c>
      <c r="F997" s="137" t="s">
        <v>10</v>
      </c>
      <c r="G997" s="134" t="s">
        <v>20</v>
      </c>
      <c r="H997" s="140">
        <v>180</v>
      </c>
    </row>
    <row r="998" spans="1:10" ht="17.25" thickBot="1">
      <c r="A998" s="134">
        <v>1000</v>
      </c>
      <c r="B998" s="134" t="s">
        <v>1818</v>
      </c>
      <c r="C998" s="137" t="s">
        <v>3679</v>
      </c>
      <c r="D998" s="137" t="s">
        <v>2740</v>
      </c>
      <c r="E998" s="137" t="s">
        <v>12</v>
      </c>
      <c r="F998" s="137" t="s">
        <v>10</v>
      </c>
      <c r="G998" s="137" t="s">
        <v>8</v>
      </c>
      <c r="H998" s="196">
        <v>232</v>
      </c>
      <c r="I998" s="184"/>
    </row>
    <row r="999" spans="1:10" ht="34.5" customHeight="1" thickBot="1">
      <c r="A999" s="674" t="s">
        <v>3680</v>
      </c>
      <c r="B999" s="675"/>
      <c r="C999" s="675"/>
      <c r="D999" s="675"/>
      <c r="E999" s="675"/>
      <c r="F999" s="675"/>
      <c r="G999" s="676"/>
      <c r="H999" s="222">
        <f>SUM(H3:H998)</f>
        <v>209708</v>
      </c>
      <c r="I999" s="223">
        <f>H999*564.85</f>
        <v>118453563.80000001</v>
      </c>
      <c r="J999" s="191"/>
    </row>
    <row r="1000" spans="1:10" ht="29.25" customHeight="1" thickBot="1">
      <c r="A1000" s="677" t="s">
        <v>3681</v>
      </c>
      <c r="B1000" s="675"/>
      <c r="C1000" s="675"/>
      <c r="D1000" s="675"/>
      <c r="E1000" s="675"/>
      <c r="F1000" s="675"/>
      <c r="G1000" s="676"/>
      <c r="H1000" s="224">
        <f>H999-(6240+1415+2380)</f>
        <v>199673</v>
      </c>
      <c r="I1000" s="225">
        <f>H1000*564.95</f>
        <v>112805261.35000001</v>
      </c>
      <c r="J1000" s="191"/>
    </row>
    <row r="1001" spans="1:10">
      <c r="H1001" s="226"/>
      <c r="I1001" s="176"/>
    </row>
  </sheetData>
  <autoFilter ref="A2:I999" xr:uid="{00000000-0009-0000-0000-000000000000}">
    <sortState xmlns:xlrd2="http://schemas.microsoft.com/office/spreadsheetml/2017/richdata2" ref="A3:I999">
      <sortCondition ref="C2:C999"/>
    </sortState>
  </autoFilter>
  <mergeCells count="3">
    <mergeCell ref="A1:H1"/>
    <mergeCell ref="A999:G999"/>
    <mergeCell ref="A1000:G1000"/>
  </mergeCell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B91F-99FD-4F40-8364-9198A353BAE9}">
  <sheetPr>
    <tabColor rgb="FFFF0000"/>
    <pageSetUpPr fitToPage="1"/>
  </sheetPr>
  <dimension ref="A1:P642"/>
  <sheetViews>
    <sheetView showGridLines="0" zoomScale="85" zoomScaleNormal="85" workbookViewId="0">
      <pane ySplit="2" topLeftCell="A10" activePane="bottomLeft" state="frozen"/>
      <selection pane="bottomLeft" activeCell="L13" sqref="L13"/>
    </sheetView>
  </sheetViews>
  <sheetFormatPr defaultColWidth="8.7109375" defaultRowHeight="15"/>
  <cols>
    <col min="1" max="1" width="5.85546875" style="551" customWidth="1"/>
    <col min="2" max="2" width="32.28515625" style="556" customWidth="1"/>
    <col min="3" max="3" width="12.5703125" style="581" customWidth="1"/>
    <col min="4" max="4" width="24.28515625" style="551" customWidth="1"/>
    <col min="5" max="5" width="6.5703125" style="551" customWidth="1"/>
    <col min="6" max="6" width="28.7109375" style="551" customWidth="1"/>
    <col min="7" max="7" width="16.7109375" style="552" customWidth="1"/>
    <col min="8" max="8" width="19.5703125" style="552" customWidth="1"/>
    <col min="9" max="9" width="13.28515625" style="551" customWidth="1"/>
    <col min="10" max="10" width="27.140625" style="551" customWidth="1"/>
    <col min="11" max="11" width="8.140625" style="551" customWidth="1"/>
    <col min="12" max="12" width="30.7109375" style="557" customWidth="1"/>
    <col min="13" max="13" width="13.28515625" style="592" customWidth="1"/>
    <col min="14" max="15" width="20.140625" style="551" customWidth="1"/>
    <col min="16" max="16" width="7.28515625" style="551" customWidth="1"/>
    <col min="17" max="16384" width="8.7109375" style="551"/>
  </cols>
  <sheetData>
    <row r="1" spans="1:16" s="545" customFormat="1" ht="38.25" customHeight="1">
      <c r="A1" s="671" t="s">
        <v>4462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01"/>
    </row>
    <row r="2" spans="1:16" s="549" customFormat="1" ht="20.25" customHeight="1">
      <c r="A2" s="546"/>
      <c r="B2" s="547"/>
      <c r="C2" s="595"/>
      <c r="D2" s="548"/>
      <c r="G2" s="614"/>
      <c r="H2" s="614"/>
      <c r="L2" s="550"/>
      <c r="M2" s="582"/>
    </row>
    <row r="3" spans="1:16" ht="30.75" customHeight="1">
      <c r="B3" s="665" t="s">
        <v>4449</v>
      </c>
      <c r="C3" s="666"/>
      <c r="D3" s="667"/>
      <c r="F3" s="665" t="s">
        <v>4837</v>
      </c>
      <c r="G3" s="666"/>
      <c r="H3" s="666"/>
      <c r="I3" s="666"/>
      <c r="J3" s="667"/>
      <c r="K3" s="651"/>
      <c r="L3" s="668" t="s">
        <v>4839</v>
      </c>
      <c r="M3" s="669"/>
      <c r="N3" s="670"/>
      <c r="O3" s="645"/>
      <c r="P3" s="568"/>
    </row>
    <row r="4" spans="1:16" ht="33" customHeight="1">
      <c r="B4" s="422" t="s">
        <v>4418</v>
      </c>
      <c r="C4" s="580" t="s">
        <v>4420</v>
      </c>
      <c r="D4" s="422" t="s">
        <v>4440</v>
      </c>
      <c r="F4" s="569" t="s">
        <v>4418</v>
      </c>
      <c r="G4" s="575" t="s">
        <v>4834</v>
      </c>
      <c r="H4" s="575" t="s">
        <v>4835</v>
      </c>
      <c r="I4" s="575" t="s">
        <v>4825</v>
      </c>
      <c r="J4" s="580" t="s">
        <v>4440</v>
      </c>
      <c r="K4" s="652"/>
      <c r="L4" s="480" t="s">
        <v>3710</v>
      </c>
      <c r="M4" s="583"/>
      <c r="N4" s="479"/>
      <c r="O4" s="646"/>
      <c r="P4" s="568"/>
    </row>
    <row r="5" spans="1:16" ht="30">
      <c r="B5" s="534" t="s">
        <v>4441</v>
      </c>
      <c r="C5" s="577">
        <f>'Income &amp; Expenditure'!D8</f>
        <v>5677</v>
      </c>
      <c r="D5" s="553" t="s">
        <v>4442</v>
      </c>
      <c r="F5" s="423" t="s">
        <v>4443</v>
      </c>
      <c r="G5" s="613">
        <v>114932</v>
      </c>
      <c r="H5" s="613">
        <v>114932</v>
      </c>
      <c r="I5" s="612"/>
      <c r="J5" s="623" t="s">
        <v>4827</v>
      </c>
      <c r="K5" s="653"/>
      <c r="L5" s="422" t="s">
        <v>4418</v>
      </c>
      <c r="M5" s="580" t="s">
        <v>4420</v>
      </c>
      <c r="N5" s="422" t="s">
        <v>4440</v>
      </c>
      <c r="O5" s="647"/>
      <c r="P5" s="568"/>
    </row>
    <row r="6" spans="1:16" ht="68.25" customHeight="1">
      <c r="B6" s="423" t="s">
        <v>4443</v>
      </c>
      <c r="C6" s="576">
        <f>'Income &amp; Expenditure'!D7</f>
        <v>114932</v>
      </c>
      <c r="D6" s="554" t="s">
        <v>4795</v>
      </c>
      <c r="F6" s="423" t="s">
        <v>4826</v>
      </c>
      <c r="G6" s="613">
        <v>64764</v>
      </c>
      <c r="H6" s="613">
        <v>60000</v>
      </c>
      <c r="I6" s="634">
        <f>H6-G6</f>
        <v>-4764</v>
      </c>
      <c r="J6" s="623" t="s">
        <v>4828</v>
      </c>
      <c r="K6" s="653"/>
      <c r="L6" s="423" t="s">
        <v>4443</v>
      </c>
      <c r="M6" s="576">
        <f>C6</f>
        <v>114932</v>
      </c>
      <c r="N6" s="554" t="s">
        <v>4450</v>
      </c>
      <c r="O6" s="648"/>
      <c r="P6" s="568"/>
    </row>
    <row r="7" spans="1:16" ht="30">
      <c r="B7" s="535" t="s">
        <v>3701</v>
      </c>
      <c r="C7" s="584">
        <f>SUM(C5:C6)</f>
        <v>120609</v>
      </c>
      <c r="D7" s="555" t="s">
        <v>4444</v>
      </c>
      <c r="F7" s="423" t="s">
        <v>4810</v>
      </c>
      <c r="G7" s="613">
        <v>220</v>
      </c>
      <c r="H7" s="613">
        <v>220</v>
      </c>
      <c r="I7" s="621"/>
      <c r="J7" s="623" t="s">
        <v>4811</v>
      </c>
      <c r="K7" s="654"/>
      <c r="L7" s="423" t="s">
        <v>4446</v>
      </c>
      <c r="M7" s="576">
        <v>220</v>
      </c>
      <c r="N7" s="554" t="s">
        <v>4451</v>
      </c>
      <c r="O7" s="549"/>
      <c r="P7" s="568"/>
    </row>
    <row r="8" spans="1:16" ht="30">
      <c r="B8" s="423" t="s">
        <v>4445</v>
      </c>
      <c r="C8" s="576">
        <f>'Income &amp; Expenditure'!D11</f>
        <v>68490</v>
      </c>
      <c r="D8" s="554" t="s">
        <v>4796</v>
      </c>
      <c r="F8" s="423" t="s">
        <v>4836</v>
      </c>
      <c r="G8" s="615">
        <f>SUM(G5:G7)</f>
        <v>179916</v>
      </c>
      <c r="H8" s="613"/>
      <c r="I8" s="621"/>
      <c r="J8" s="623" t="s">
        <v>4829</v>
      </c>
      <c r="K8" s="654"/>
      <c r="L8" s="571" t="s">
        <v>4798</v>
      </c>
      <c r="M8" s="578">
        <v>64764</v>
      </c>
      <c r="N8" s="572" t="s">
        <v>4453</v>
      </c>
      <c r="O8" s="549"/>
      <c r="P8" s="568"/>
    </row>
    <row r="9" spans="1:16" ht="45">
      <c r="B9" s="423" t="s">
        <v>4790</v>
      </c>
      <c r="C9" s="576">
        <v>-3726</v>
      </c>
      <c r="D9" s="554" t="s">
        <v>4799</v>
      </c>
      <c r="F9" s="423" t="s">
        <v>4822</v>
      </c>
      <c r="G9" s="613"/>
      <c r="H9" s="616">
        <f>SUM(H5:H8)</f>
        <v>175152</v>
      </c>
      <c r="I9" s="634"/>
      <c r="J9" s="623" t="s">
        <v>4830</v>
      </c>
      <c r="K9" s="654"/>
      <c r="L9" s="423" t="s">
        <v>4454</v>
      </c>
      <c r="M9" s="576">
        <v>60000</v>
      </c>
      <c r="N9" s="554" t="s">
        <v>4455</v>
      </c>
      <c r="O9" s="648"/>
      <c r="P9" s="568"/>
    </row>
    <row r="10" spans="1:16" ht="30">
      <c r="B10" s="571" t="s">
        <v>4798</v>
      </c>
      <c r="C10" s="596">
        <f>SUM(C8:C9)</f>
        <v>64764</v>
      </c>
      <c r="D10" s="572"/>
      <c r="F10" s="600" t="s">
        <v>4812</v>
      </c>
      <c r="G10" s="617"/>
      <c r="H10" s="617">
        <v>180000</v>
      </c>
      <c r="I10" s="618"/>
      <c r="J10" s="622" t="s">
        <v>4458</v>
      </c>
      <c r="K10" s="549"/>
      <c r="L10" s="481" t="s">
        <v>4794</v>
      </c>
      <c r="M10" s="585">
        <v>4764</v>
      </c>
      <c r="N10" s="482" t="s">
        <v>4456</v>
      </c>
      <c r="O10" s="649"/>
      <c r="P10" s="568"/>
    </row>
    <row r="11" spans="1:16" ht="56.25" customHeight="1">
      <c r="B11" s="423" t="s">
        <v>4446</v>
      </c>
      <c r="C11" s="576">
        <v>220</v>
      </c>
      <c r="D11" s="554" t="s">
        <v>4447</v>
      </c>
      <c r="F11" s="423" t="s">
        <v>4814</v>
      </c>
      <c r="G11" s="613"/>
      <c r="H11" s="625">
        <f>H9-H10</f>
        <v>-4848</v>
      </c>
      <c r="I11" s="612"/>
      <c r="J11" s="608" t="s">
        <v>4840</v>
      </c>
      <c r="K11" s="655"/>
      <c r="L11" s="423" t="s">
        <v>4457</v>
      </c>
      <c r="M11" s="579">
        <f>SUM(M6,M7,M8)</f>
        <v>179916</v>
      </c>
      <c r="N11" s="554" t="s">
        <v>4459</v>
      </c>
      <c r="O11" s="648"/>
      <c r="P11" s="568"/>
    </row>
    <row r="12" spans="1:16" ht="46.5" customHeight="1">
      <c r="B12" s="423" t="s">
        <v>4448</v>
      </c>
      <c r="C12" s="579">
        <f>SUM(C6,C10,C11)</f>
        <v>179916</v>
      </c>
      <c r="D12" s="554" t="s">
        <v>4460</v>
      </c>
      <c r="F12" s="423" t="s">
        <v>4824</v>
      </c>
      <c r="G12" s="613"/>
      <c r="H12" s="611">
        <f>-977*20</f>
        <v>-19540</v>
      </c>
      <c r="I12" s="612"/>
      <c r="J12" s="607" t="s">
        <v>4816</v>
      </c>
      <c r="K12" s="650"/>
      <c r="M12" s="586"/>
      <c r="P12" s="568"/>
    </row>
    <row r="13" spans="1:16" ht="47.25" customHeight="1">
      <c r="F13" s="423" t="s">
        <v>4821</v>
      </c>
      <c r="G13" s="613"/>
      <c r="H13" s="664">
        <v>-24388</v>
      </c>
      <c r="I13" s="612"/>
      <c r="J13" s="623" t="s">
        <v>4831</v>
      </c>
      <c r="K13" s="654"/>
      <c r="L13" s="659"/>
      <c r="M13" s="586"/>
      <c r="P13" s="568"/>
    </row>
    <row r="14" spans="1:16" ht="38.25" customHeight="1">
      <c r="B14" s="573" t="s">
        <v>4461</v>
      </c>
      <c r="C14" s="587"/>
      <c r="D14" s="574"/>
      <c r="F14" s="570" t="s">
        <v>4823</v>
      </c>
      <c r="G14" s="619"/>
      <c r="H14" s="619">
        <v>4326</v>
      </c>
      <c r="I14" s="620"/>
      <c r="J14" s="624" t="s">
        <v>4832</v>
      </c>
      <c r="K14" s="656"/>
      <c r="L14" s="647"/>
      <c r="M14" s="652"/>
      <c r="N14" s="647"/>
      <c r="O14" s="647"/>
      <c r="P14" s="568"/>
    </row>
    <row r="15" spans="1:16" ht="42.75" customHeight="1">
      <c r="B15" s="558" t="s">
        <v>4808</v>
      </c>
      <c r="C15" s="597"/>
      <c r="D15" s="559"/>
      <c r="F15" s="628" t="s">
        <v>4838</v>
      </c>
      <c r="G15" s="629"/>
      <c r="H15" s="633">
        <f>SUM(H13:H14)</f>
        <v>-20062</v>
      </c>
      <c r="I15" s="630"/>
      <c r="J15" s="631" t="s">
        <v>4813</v>
      </c>
      <c r="K15" s="657"/>
      <c r="L15" s="660"/>
      <c r="M15" s="661"/>
      <c r="N15" s="648"/>
      <c r="O15" s="648"/>
      <c r="P15" s="568"/>
    </row>
    <row r="16" spans="1:16" ht="45.75" customHeight="1">
      <c r="B16" s="560" t="s">
        <v>4809</v>
      </c>
      <c r="C16" s="598"/>
      <c r="D16" s="561"/>
      <c r="F16" s="626" t="s">
        <v>4842</v>
      </c>
      <c r="G16" s="609"/>
      <c r="H16" s="609">
        <v>4764</v>
      </c>
      <c r="I16" s="610"/>
      <c r="J16" s="610" t="s">
        <v>4841</v>
      </c>
      <c r="L16" s="660"/>
      <c r="M16" s="661"/>
      <c r="N16" s="648"/>
      <c r="O16" s="648"/>
      <c r="P16" s="568"/>
    </row>
    <row r="17" spans="2:16" ht="36.75" customHeight="1">
      <c r="B17" s="562"/>
      <c r="F17" s="563" t="s">
        <v>4833</v>
      </c>
      <c r="G17" s="627"/>
      <c r="H17" s="632">
        <v>20062</v>
      </c>
      <c r="I17" s="449"/>
      <c r="J17" s="449" t="s">
        <v>4813</v>
      </c>
      <c r="K17" s="658"/>
      <c r="L17" s="662"/>
      <c r="M17" s="663"/>
      <c r="N17" s="649"/>
      <c r="O17" s="649"/>
      <c r="P17" s="568"/>
    </row>
    <row r="18" spans="2:16" ht="57" customHeight="1">
      <c r="B18" s="564"/>
      <c r="C18" s="564"/>
      <c r="D18" s="564"/>
      <c r="M18" s="586"/>
      <c r="P18" s="568"/>
    </row>
    <row r="19" spans="2:16" ht="50.25" customHeight="1">
      <c r="B19" s="566"/>
      <c r="C19" s="586"/>
      <c r="D19" s="635"/>
      <c r="M19" s="586"/>
      <c r="P19" s="568"/>
    </row>
    <row r="20" spans="2:16" ht="17.25">
      <c r="B20" s="566"/>
      <c r="C20" s="636"/>
      <c r="D20" s="635"/>
      <c r="M20" s="586"/>
      <c r="P20" s="568"/>
    </row>
    <row r="21" spans="2:16">
      <c r="B21" s="637"/>
      <c r="C21" s="638"/>
      <c r="D21" s="568"/>
      <c r="M21" s="586"/>
      <c r="P21" s="568"/>
    </row>
    <row r="22" spans="2:16">
      <c r="B22" s="566"/>
      <c r="C22" s="586"/>
      <c r="D22" s="568"/>
      <c r="L22" s="564"/>
      <c r="M22" s="564"/>
      <c r="N22" s="564"/>
      <c r="O22" s="564"/>
    </row>
    <row r="23" spans="2:16" ht="36" customHeight="1">
      <c r="B23" s="566"/>
      <c r="C23" s="586"/>
      <c r="D23" s="568"/>
      <c r="L23" s="565"/>
      <c r="M23" s="588"/>
      <c r="N23" s="564"/>
      <c r="O23" s="564"/>
    </row>
    <row r="24" spans="2:16" ht="31.5" customHeight="1">
      <c r="B24" s="564"/>
      <c r="C24" s="564"/>
      <c r="D24" s="564"/>
      <c r="L24" s="566"/>
      <c r="M24" s="589"/>
      <c r="N24" s="593"/>
      <c r="O24" s="593"/>
    </row>
    <row r="25" spans="2:16" ht="17.25">
      <c r="B25" s="566"/>
      <c r="C25" s="586"/>
      <c r="D25" s="635"/>
      <c r="L25" s="566"/>
      <c r="M25" s="590"/>
      <c r="N25" s="593"/>
      <c r="O25" s="593"/>
    </row>
    <row r="26" spans="2:16" ht="17.25">
      <c r="B26" s="566"/>
      <c r="C26" s="636"/>
      <c r="D26" s="635"/>
      <c r="L26" s="567"/>
      <c r="M26" s="591"/>
      <c r="N26" s="594"/>
      <c r="O26" s="594"/>
    </row>
    <row r="27" spans="2:16">
      <c r="B27" s="565"/>
      <c r="C27" s="599"/>
      <c r="D27" s="639"/>
      <c r="M27" s="586"/>
    </row>
    <row r="28" spans="2:16">
      <c r="B28" s="565"/>
      <c r="C28" s="640"/>
      <c r="D28" s="641"/>
      <c r="M28" s="586"/>
    </row>
    <row r="29" spans="2:16">
      <c r="B29" s="642"/>
      <c r="C29" s="643"/>
      <c r="D29" s="644"/>
      <c r="M29" s="586"/>
    </row>
    <row r="30" spans="2:16">
      <c r="B30" s="566"/>
      <c r="C30" s="586"/>
      <c r="D30" s="568"/>
      <c r="M30" s="586"/>
    </row>
    <row r="31" spans="2:16">
      <c r="M31" s="586"/>
    </row>
    <row r="32" spans="2:16">
      <c r="M32" s="586"/>
    </row>
    <row r="33" spans="13:13">
      <c r="M33" s="586"/>
    </row>
    <row r="34" spans="13:13">
      <c r="M34" s="586"/>
    </row>
    <row r="35" spans="13:13">
      <c r="M35" s="586"/>
    </row>
    <row r="36" spans="13:13">
      <c r="M36" s="586"/>
    </row>
    <row r="37" spans="13:13">
      <c r="M37" s="586"/>
    </row>
    <row r="38" spans="13:13">
      <c r="M38" s="586"/>
    </row>
    <row r="39" spans="13:13">
      <c r="M39" s="586"/>
    </row>
    <row r="40" spans="13:13">
      <c r="M40" s="586"/>
    </row>
    <row r="41" spans="13:13">
      <c r="M41" s="586"/>
    </row>
    <row r="42" spans="13:13">
      <c r="M42" s="586"/>
    </row>
    <row r="43" spans="13:13">
      <c r="M43" s="586"/>
    </row>
    <row r="44" spans="13:13">
      <c r="M44" s="586"/>
    </row>
    <row r="45" spans="13:13">
      <c r="M45" s="586"/>
    </row>
    <row r="46" spans="13:13">
      <c r="M46" s="586"/>
    </row>
    <row r="47" spans="13:13">
      <c r="M47" s="586"/>
    </row>
    <row r="48" spans="13:13">
      <c r="M48" s="586"/>
    </row>
    <row r="49" spans="13:13">
      <c r="M49" s="586"/>
    </row>
    <row r="50" spans="13:13">
      <c r="M50" s="586"/>
    </row>
    <row r="51" spans="13:13">
      <c r="M51" s="586"/>
    </row>
    <row r="52" spans="13:13">
      <c r="M52" s="586"/>
    </row>
    <row r="53" spans="13:13">
      <c r="M53" s="586"/>
    </row>
    <row r="54" spans="13:13">
      <c r="M54" s="586"/>
    </row>
    <row r="55" spans="13:13">
      <c r="M55" s="586"/>
    </row>
    <row r="56" spans="13:13">
      <c r="M56" s="586"/>
    </row>
    <row r="57" spans="13:13">
      <c r="M57" s="586"/>
    </row>
    <row r="58" spans="13:13">
      <c r="M58" s="586"/>
    </row>
    <row r="59" spans="13:13">
      <c r="M59" s="586"/>
    </row>
    <row r="60" spans="13:13">
      <c r="M60" s="586"/>
    </row>
    <row r="61" spans="13:13">
      <c r="M61" s="586"/>
    </row>
    <row r="62" spans="13:13">
      <c r="M62" s="586"/>
    </row>
    <row r="63" spans="13:13">
      <c r="M63" s="586"/>
    </row>
    <row r="64" spans="13:13">
      <c r="M64" s="586"/>
    </row>
    <row r="65" spans="13:13">
      <c r="M65" s="586"/>
    </row>
    <row r="66" spans="13:13">
      <c r="M66" s="586"/>
    </row>
    <row r="67" spans="13:13">
      <c r="M67" s="586"/>
    </row>
    <row r="68" spans="13:13">
      <c r="M68" s="586"/>
    </row>
    <row r="69" spans="13:13">
      <c r="M69" s="586"/>
    </row>
    <row r="70" spans="13:13">
      <c r="M70" s="586"/>
    </row>
    <row r="71" spans="13:13">
      <c r="M71" s="586"/>
    </row>
    <row r="72" spans="13:13">
      <c r="M72" s="586"/>
    </row>
    <row r="73" spans="13:13">
      <c r="M73" s="586"/>
    </row>
    <row r="74" spans="13:13">
      <c r="M74" s="586"/>
    </row>
    <row r="75" spans="13:13">
      <c r="M75" s="586"/>
    </row>
    <row r="76" spans="13:13">
      <c r="M76" s="586"/>
    </row>
    <row r="77" spans="13:13">
      <c r="M77" s="586"/>
    </row>
    <row r="78" spans="13:13">
      <c r="M78" s="586"/>
    </row>
    <row r="79" spans="13:13">
      <c r="M79" s="586"/>
    </row>
    <row r="80" spans="13:13">
      <c r="M80" s="586"/>
    </row>
    <row r="81" spans="13:13">
      <c r="M81" s="586"/>
    </row>
    <row r="82" spans="13:13">
      <c r="M82" s="586"/>
    </row>
    <row r="83" spans="13:13">
      <c r="M83" s="586"/>
    </row>
    <row r="84" spans="13:13">
      <c r="M84" s="586"/>
    </row>
    <row r="85" spans="13:13">
      <c r="M85" s="586"/>
    </row>
    <row r="86" spans="13:13">
      <c r="M86" s="586"/>
    </row>
    <row r="87" spans="13:13">
      <c r="M87" s="586"/>
    </row>
    <row r="88" spans="13:13">
      <c r="M88" s="586"/>
    </row>
    <row r="89" spans="13:13">
      <c r="M89" s="586"/>
    </row>
    <row r="90" spans="13:13">
      <c r="M90" s="586"/>
    </row>
    <row r="91" spans="13:13">
      <c r="M91" s="586"/>
    </row>
    <row r="92" spans="13:13">
      <c r="M92" s="586"/>
    </row>
    <row r="93" spans="13:13">
      <c r="M93" s="586"/>
    </row>
    <row r="94" spans="13:13">
      <c r="M94" s="586"/>
    </row>
    <row r="95" spans="13:13">
      <c r="M95" s="586"/>
    </row>
    <row r="96" spans="13:13">
      <c r="M96" s="586"/>
    </row>
    <row r="97" spans="13:13">
      <c r="M97" s="586"/>
    </row>
    <row r="98" spans="13:13">
      <c r="M98" s="586"/>
    </row>
    <row r="99" spans="13:13">
      <c r="M99" s="586"/>
    </row>
    <row r="100" spans="13:13">
      <c r="M100" s="586"/>
    </row>
    <row r="101" spans="13:13">
      <c r="M101" s="586"/>
    </row>
    <row r="102" spans="13:13">
      <c r="M102" s="586"/>
    </row>
    <row r="103" spans="13:13">
      <c r="M103" s="586"/>
    </row>
    <row r="104" spans="13:13">
      <c r="M104" s="586"/>
    </row>
    <row r="105" spans="13:13">
      <c r="M105" s="586"/>
    </row>
    <row r="106" spans="13:13">
      <c r="M106" s="586"/>
    </row>
    <row r="107" spans="13:13">
      <c r="M107" s="586"/>
    </row>
    <row r="108" spans="13:13">
      <c r="M108" s="586"/>
    </row>
    <row r="109" spans="13:13">
      <c r="M109" s="586"/>
    </row>
    <row r="110" spans="13:13">
      <c r="M110" s="586"/>
    </row>
    <row r="111" spans="13:13">
      <c r="M111" s="586"/>
    </row>
    <row r="112" spans="13:13">
      <c r="M112" s="586"/>
    </row>
    <row r="113" spans="13:13">
      <c r="M113" s="586"/>
    </row>
    <row r="114" spans="13:13">
      <c r="M114" s="586"/>
    </row>
    <row r="115" spans="13:13">
      <c r="M115" s="586"/>
    </row>
    <row r="116" spans="13:13">
      <c r="M116" s="586"/>
    </row>
    <row r="117" spans="13:13">
      <c r="M117" s="586"/>
    </row>
    <row r="118" spans="13:13">
      <c r="M118" s="586"/>
    </row>
    <row r="119" spans="13:13">
      <c r="M119" s="586"/>
    </row>
    <row r="120" spans="13:13">
      <c r="M120" s="586"/>
    </row>
    <row r="121" spans="13:13">
      <c r="M121" s="586"/>
    </row>
    <row r="122" spans="13:13">
      <c r="M122" s="586"/>
    </row>
    <row r="123" spans="13:13">
      <c r="M123" s="586"/>
    </row>
    <row r="124" spans="13:13">
      <c r="M124" s="586"/>
    </row>
    <row r="125" spans="13:13">
      <c r="M125" s="586"/>
    </row>
    <row r="126" spans="13:13">
      <c r="M126" s="586"/>
    </row>
    <row r="127" spans="13:13">
      <c r="M127" s="586"/>
    </row>
    <row r="128" spans="13:13">
      <c r="M128" s="586"/>
    </row>
    <row r="129" spans="13:13">
      <c r="M129" s="586"/>
    </row>
    <row r="130" spans="13:13">
      <c r="M130" s="586"/>
    </row>
    <row r="131" spans="13:13">
      <c r="M131" s="586"/>
    </row>
    <row r="132" spans="13:13">
      <c r="M132" s="586"/>
    </row>
    <row r="133" spans="13:13">
      <c r="M133" s="586"/>
    </row>
    <row r="134" spans="13:13">
      <c r="M134" s="586"/>
    </row>
    <row r="135" spans="13:13">
      <c r="M135" s="586"/>
    </row>
    <row r="136" spans="13:13">
      <c r="M136" s="586"/>
    </row>
    <row r="137" spans="13:13">
      <c r="M137" s="586"/>
    </row>
    <row r="138" spans="13:13">
      <c r="M138" s="586"/>
    </row>
    <row r="139" spans="13:13">
      <c r="M139" s="586"/>
    </row>
    <row r="140" spans="13:13">
      <c r="M140" s="586"/>
    </row>
    <row r="141" spans="13:13">
      <c r="M141" s="586"/>
    </row>
    <row r="142" spans="13:13">
      <c r="M142" s="586"/>
    </row>
    <row r="143" spans="13:13">
      <c r="M143" s="586"/>
    </row>
    <row r="144" spans="13:13">
      <c r="M144" s="586"/>
    </row>
    <row r="145" spans="13:13">
      <c r="M145" s="586"/>
    </row>
    <row r="146" spans="13:13">
      <c r="M146" s="586"/>
    </row>
    <row r="147" spans="13:13">
      <c r="M147" s="586"/>
    </row>
    <row r="148" spans="13:13">
      <c r="M148" s="586"/>
    </row>
    <row r="149" spans="13:13">
      <c r="M149" s="586"/>
    </row>
    <row r="150" spans="13:13">
      <c r="M150" s="586"/>
    </row>
    <row r="151" spans="13:13">
      <c r="M151" s="586"/>
    </row>
    <row r="152" spans="13:13">
      <c r="M152" s="586"/>
    </row>
    <row r="153" spans="13:13">
      <c r="M153" s="586"/>
    </row>
    <row r="154" spans="13:13">
      <c r="M154" s="586"/>
    </row>
    <row r="155" spans="13:13">
      <c r="M155" s="586"/>
    </row>
    <row r="156" spans="13:13">
      <c r="M156" s="586"/>
    </row>
    <row r="157" spans="13:13">
      <c r="M157" s="586"/>
    </row>
    <row r="158" spans="13:13">
      <c r="M158" s="586"/>
    </row>
    <row r="159" spans="13:13">
      <c r="M159" s="586"/>
    </row>
    <row r="160" spans="13:13">
      <c r="M160" s="586"/>
    </row>
    <row r="161" spans="13:13">
      <c r="M161" s="586"/>
    </row>
    <row r="162" spans="13:13">
      <c r="M162" s="586"/>
    </row>
    <row r="163" spans="13:13">
      <c r="M163" s="586"/>
    </row>
    <row r="164" spans="13:13">
      <c r="M164" s="586"/>
    </row>
    <row r="165" spans="13:13">
      <c r="M165" s="586"/>
    </row>
    <row r="166" spans="13:13">
      <c r="M166" s="586"/>
    </row>
    <row r="167" spans="13:13">
      <c r="M167" s="586"/>
    </row>
    <row r="168" spans="13:13">
      <c r="M168" s="586"/>
    </row>
    <row r="169" spans="13:13">
      <c r="M169" s="586"/>
    </row>
    <row r="170" spans="13:13">
      <c r="M170" s="586"/>
    </row>
    <row r="171" spans="13:13">
      <c r="M171" s="586"/>
    </row>
    <row r="172" spans="13:13">
      <c r="M172" s="586"/>
    </row>
    <row r="173" spans="13:13">
      <c r="M173" s="586"/>
    </row>
    <row r="174" spans="13:13">
      <c r="M174" s="586"/>
    </row>
    <row r="175" spans="13:13">
      <c r="M175" s="586"/>
    </row>
    <row r="176" spans="13:13">
      <c r="M176" s="586"/>
    </row>
    <row r="177" spans="13:13">
      <c r="M177" s="586"/>
    </row>
    <row r="178" spans="13:13">
      <c r="M178" s="586"/>
    </row>
    <row r="179" spans="13:13">
      <c r="M179" s="586"/>
    </row>
    <row r="180" spans="13:13">
      <c r="M180" s="586"/>
    </row>
    <row r="181" spans="13:13">
      <c r="M181" s="586"/>
    </row>
    <row r="182" spans="13:13">
      <c r="M182" s="586"/>
    </row>
    <row r="183" spans="13:13">
      <c r="M183" s="586"/>
    </row>
    <row r="184" spans="13:13">
      <c r="M184" s="586"/>
    </row>
    <row r="185" spans="13:13">
      <c r="M185" s="586"/>
    </row>
    <row r="186" spans="13:13">
      <c r="M186" s="586"/>
    </row>
    <row r="187" spans="13:13">
      <c r="M187" s="586"/>
    </row>
    <row r="188" spans="13:13">
      <c r="M188" s="586"/>
    </row>
    <row r="189" spans="13:13">
      <c r="M189" s="586"/>
    </row>
    <row r="190" spans="13:13">
      <c r="M190" s="586"/>
    </row>
    <row r="191" spans="13:13">
      <c r="M191" s="586"/>
    </row>
    <row r="192" spans="13:13">
      <c r="M192" s="586"/>
    </row>
    <row r="193" spans="13:13">
      <c r="M193" s="586"/>
    </row>
    <row r="194" spans="13:13">
      <c r="M194" s="586"/>
    </row>
    <row r="195" spans="13:13">
      <c r="M195" s="586"/>
    </row>
    <row r="196" spans="13:13">
      <c r="M196" s="586"/>
    </row>
    <row r="197" spans="13:13">
      <c r="M197" s="586"/>
    </row>
    <row r="198" spans="13:13">
      <c r="M198" s="586"/>
    </row>
    <row r="199" spans="13:13">
      <c r="M199" s="586"/>
    </row>
    <row r="200" spans="13:13">
      <c r="M200" s="586"/>
    </row>
    <row r="201" spans="13:13">
      <c r="M201" s="586"/>
    </row>
    <row r="202" spans="13:13">
      <c r="M202" s="586"/>
    </row>
    <row r="203" spans="13:13">
      <c r="M203" s="586"/>
    </row>
    <row r="204" spans="13:13">
      <c r="M204" s="586"/>
    </row>
    <row r="205" spans="13:13">
      <c r="M205" s="586"/>
    </row>
    <row r="206" spans="13:13">
      <c r="M206" s="586"/>
    </row>
    <row r="207" spans="13:13">
      <c r="M207" s="586"/>
    </row>
    <row r="208" spans="13:13">
      <c r="M208" s="586"/>
    </row>
    <row r="209" spans="13:13">
      <c r="M209" s="586"/>
    </row>
    <row r="210" spans="13:13">
      <c r="M210" s="586"/>
    </row>
    <row r="211" spans="13:13">
      <c r="M211" s="586"/>
    </row>
    <row r="212" spans="13:13">
      <c r="M212" s="586"/>
    </row>
    <row r="213" spans="13:13">
      <c r="M213" s="586"/>
    </row>
    <row r="214" spans="13:13">
      <c r="M214" s="586"/>
    </row>
    <row r="215" spans="13:13">
      <c r="M215" s="586"/>
    </row>
    <row r="216" spans="13:13">
      <c r="M216" s="586"/>
    </row>
    <row r="217" spans="13:13">
      <c r="M217" s="586"/>
    </row>
    <row r="218" spans="13:13">
      <c r="M218" s="586"/>
    </row>
    <row r="219" spans="13:13">
      <c r="M219" s="586"/>
    </row>
    <row r="220" spans="13:13">
      <c r="M220" s="586"/>
    </row>
    <row r="221" spans="13:13">
      <c r="M221" s="586"/>
    </row>
    <row r="222" spans="13:13">
      <c r="M222" s="586"/>
    </row>
    <row r="223" spans="13:13">
      <c r="M223" s="586"/>
    </row>
    <row r="224" spans="13:13">
      <c r="M224" s="586"/>
    </row>
    <row r="225" spans="13:13">
      <c r="M225" s="586"/>
    </row>
    <row r="226" spans="13:13">
      <c r="M226" s="586"/>
    </row>
    <row r="227" spans="13:13">
      <c r="M227" s="586"/>
    </row>
    <row r="228" spans="13:13">
      <c r="M228" s="586"/>
    </row>
    <row r="229" spans="13:13">
      <c r="M229" s="586"/>
    </row>
    <row r="230" spans="13:13">
      <c r="M230" s="586"/>
    </row>
    <row r="231" spans="13:13">
      <c r="M231" s="586"/>
    </row>
    <row r="232" spans="13:13">
      <c r="M232" s="586"/>
    </row>
    <row r="233" spans="13:13">
      <c r="M233" s="586"/>
    </row>
    <row r="234" spans="13:13">
      <c r="M234" s="586"/>
    </row>
    <row r="235" spans="13:13">
      <c r="M235" s="586"/>
    </row>
    <row r="236" spans="13:13">
      <c r="M236" s="586"/>
    </row>
    <row r="237" spans="13:13">
      <c r="M237" s="586"/>
    </row>
    <row r="238" spans="13:13">
      <c r="M238" s="586"/>
    </row>
    <row r="239" spans="13:13">
      <c r="M239" s="586"/>
    </row>
    <row r="240" spans="13:13">
      <c r="M240" s="586"/>
    </row>
    <row r="241" spans="13:13">
      <c r="M241" s="586"/>
    </row>
    <row r="242" spans="13:13">
      <c r="M242" s="586"/>
    </row>
    <row r="243" spans="13:13">
      <c r="M243" s="586"/>
    </row>
    <row r="244" spans="13:13">
      <c r="M244" s="586"/>
    </row>
    <row r="245" spans="13:13">
      <c r="M245" s="586"/>
    </row>
    <row r="246" spans="13:13">
      <c r="M246" s="586"/>
    </row>
    <row r="247" spans="13:13">
      <c r="M247" s="586"/>
    </row>
    <row r="248" spans="13:13">
      <c r="M248" s="586"/>
    </row>
    <row r="249" spans="13:13">
      <c r="M249" s="586"/>
    </row>
    <row r="250" spans="13:13">
      <c r="M250" s="586"/>
    </row>
    <row r="251" spans="13:13">
      <c r="M251" s="586"/>
    </row>
    <row r="252" spans="13:13">
      <c r="M252" s="586"/>
    </row>
    <row r="253" spans="13:13">
      <c r="M253" s="586"/>
    </row>
    <row r="254" spans="13:13">
      <c r="M254" s="586"/>
    </row>
    <row r="255" spans="13:13">
      <c r="M255" s="586"/>
    </row>
    <row r="256" spans="13:13">
      <c r="M256" s="586"/>
    </row>
    <row r="257" spans="13:13">
      <c r="M257" s="586"/>
    </row>
    <row r="258" spans="13:13">
      <c r="M258" s="586"/>
    </row>
    <row r="259" spans="13:13">
      <c r="M259" s="586"/>
    </row>
    <row r="260" spans="13:13">
      <c r="M260" s="586"/>
    </row>
    <row r="261" spans="13:13">
      <c r="M261" s="586"/>
    </row>
    <row r="262" spans="13:13">
      <c r="M262" s="586"/>
    </row>
    <row r="263" spans="13:13">
      <c r="M263" s="586"/>
    </row>
    <row r="264" spans="13:13">
      <c r="M264" s="586"/>
    </row>
    <row r="265" spans="13:13">
      <c r="M265" s="586"/>
    </row>
    <row r="266" spans="13:13">
      <c r="M266" s="586"/>
    </row>
    <row r="267" spans="13:13">
      <c r="M267" s="586"/>
    </row>
    <row r="268" spans="13:13">
      <c r="M268" s="586"/>
    </row>
    <row r="269" spans="13:13">
      <c r="M269" s="586"/>
    </row>
    <row r="270" spans="13:13">
      <c r="M270" s="586"/>
    </row>
    <row r="271" spans="13:13">
      <c r="M271" s="586"/>
    </row>
    <row r="272" spans="13:13">
      <c r="M272" s="586"/>
    </row>
    <row r="273" spans="13:13">
      <c r="M273" s="586"/>
    </row>
    <row r="274" spans="13:13">
      <c r="M274" s="586"/>
    </row>
    <row r="275" spans="13:13">
      <c r="M275" s="586"/>
    </row>
    <row r="276" spans="13:13">
      <c r="M276" s="586"/>
    </row>
    <row r="277" spans="13:13">
      <c r="M277" s="586"/>
    </row>
    <row r="278" spans="13:13">
      <c r="M278" s="586"/>
    </row>
    <row r="279" spans="13:13">
      <c r="M279" s="586"/>
    </row>
    <row r="280" spans="13:13">
      <c r="M280" s="586"/>
    </row>
    <row r="281" spans="13:13">
      <c r="M281" s="586"/>
    </row>
    <row r="282" spans="13:13">
      <c r="M282" s="586"/>
    </row>
    <row r="283" spans="13:13">
      <c r="M283" s="586"/>
    </row>
    <row r="284" spans="13:13">
      <c r="M284" s="586"/>
    </row>
    <row r="285" spans="13:13">
      <c r="M285" s="586"/>
    </row>
    <row r="286" spans="13:13">
      <c r="M286" s="586"/>
    </row>
    <row r="287" spans="13:13">
      <c r="M287" s="586"/>
    </row>
    <row r="288" spans="13:13">
      <c r="M288" s="586"/>
    </row>
    <row r="289" spans="13:13">
      <c r="M289" s="586"/>
    </row>
    <row r="290" spans="13:13">
      <c r="M290" s="586"/>
    </row>
    <row r="291" spans="13:13">
      <c r="M291" s="586"/>
    </row>
    <row r="292" spans="13:13">
      <c r="M292" s="586"/>
    </row>
    <row r="293" spans="13:13">
      <c r="M293" s="586"/>
    </row>
    <row r="294" spans="13:13">
      <c r="M294" s="586"/>
    </row>
    <row r="295" spans="13:13">
      <c r="M295" s="586"/>
    </row>
    <row r="296" spans="13:13">
      <c r="M296" s="586"/>
    </row>
    <row r="297" spans="13:13">
      <c r="M297" s="586"/>
    </row>
    <row r="298" spans="13:13">
      <c r="M298" s="586"/>
    </row>
    <row r="299" spans="13:13">
      <c r="M299" s="586"/>
    </row>
    <row r="300" spans="13:13">
      <c r="M300" s="586"/>
    </row>
    <row r="301" spans="13:13">
      <c r="M301" s="586"/>
    </row>
    <row r="302" spans="13:13">
      <c r="M302" s="586"/>
    </row>
    <row r="303" spans="13:13">
      <c r="M303" s="586"/>
    </row>
    <row r="304" spans="13:13">
      <c r="M304" s="586"/>
    </row>
    <row r="305" spans="13:13">
      <c r="M305" s="586"/>
    </row>
    <row r="306" spans="13:13">
      <c r="M306" s="586"/>
    </row>
    <row r="307" spans="13:13">
      <c r="M307" s="586"/>
    </row>
    <row r="308" spans="13:13">
      <c r="M308" s="586"/>
    </row>
    <row r="309" spans="13:13">
      <c r="M309" s="586"/>
    </row>
    <row r="310" spans="13:13">
      <c r="M310" s="586"/>
    </row>
    <row r="311" spans="13:13">
      <c r="M311" s="586"/>
    </row>
    <row r="312" spans="13:13">
      <c r="M312" s="586"/>
    </row>
    <row r="313" spans="13:13">
      <c r="M313" s="586"/>
    </row>
    <row r="314" spans="13:13">
      <c r="M314" s="586"/>
    </row>
    <row r="315" spans="13:13">
      <c r="M315" s="586"/>
    </row>
    <row r="316" spans="13:13">
      <c r="M316" s="586"/>
    </row>
    <row r="317" spans="13:13">
      <c r="M317" s="586"/>
    </row>
    <row r="318" spans="13:13">
      <c r="M318" s="586"/>
    </row>
    <row r="319" spans="13:13">
      <c r="M319" s="586"/>
    </row>
    <row r="320" spans="13:13">
      <c r="M320" s="586"/>
    </row>
    <row r="321" spans="13:13">
      <c r="M321" s="586"/>
    </row>
    <row r="322" spans="13:13">
      <c r="M322" s="586"/>
    </row>
    <row r="323" spans="13:13">
      <c r="M323" s="586"/>
    </row>
    <row r="324" spans="13:13">
      <c r="M324" s="586"/>
    </row>
    <row r="325" spans="13:13">
      <c r="M325" s="586"/>
    </row>
    <row r="326" spans="13:13">
      <c r="M326" s="586"/>
    </row>
    <row r="327" spans="13:13">
      <c r="M327" s="586"/>
    </row>
    <row r="328" spans="13:13">
      <c r="M328" s="586"/>
    </row>
    <row r="329" spans="13:13">
      <c r="M329" s="586"/>
    </row>
    <row r="330" spans="13:13">
      <c r="M330" s="586"/>
    </row>
    <row r="331" spans="13:13">
      <c r="M331" s="586"/>
    </row>
    <row r="332" spans="13:13">
      <c r="M332" s="586"/>
    </row>
    <row r="333" spans="13:13">
      <c r="M333" s="586"/>
    </row>
    <row r="334" spans="13:13">
      <c r="M334" s="586"/>
    </row>
    <row r="335" spans="13:13">
      <c r="M335" s="586"/>
    </row>
    <row r="336" spans="13:13">
      <c r="M336" s="586"/>
    </row>
    <row r="337" spans="13:13">
      <c r="M337" s="586"/>
    </row>
    <row r="338" spans="13:13">
      <c r="M338" s="586"/>
    </row>
    <row r="339" spans="13:13">
      <c r="M339" s="586"/>
    </row>
    <row r="340" spans="13:13">
      <c r="M340" s="586"/>
    </row>
    <row r="341" spans="13:13">
      <c r="M341" s="586"/>
    </row>
    <row r="342" spans="13:13">
      <c r="M342" s="586"/>
    </row>
    <row r="343" spans="13:13">
      <c r="M343" s="586"/>
    </row>
    <row r="344" spans="13:13">
      <c r="M344" s="586"/>
    </row>
    <row r="345" spans="13:13">
      <c r="M345" s="586"/>
    </row>
    <row r="346" spans="13:13">
      <c r="M346" s="586"/>
    </row>
    <row r="347" spans="13:13">
      <c r="M347" s="586"/>
    </row>
    <row r="348" spans="13:13">
      <c r="M348" s="586"/>
    </row>
    <row r="349" spans="13:13">
      <c r="M349" s="586"/>
    </row>
    <row r="350" spans="13:13">
      <c r="M350" s="586"/>
    </row>
    <row r="351" spans="13:13">
      <c r="M351" s="586"/>
    </row>
    <row r="352" spans="13:13">
      <c r="M352" s="586"/>
    </row>
    <row r="353" spans="13:13">
      <c r="M353" s="586"/>
    </row>
    <row r="354" spans="13:13">
      <c r="M354" s="586"/>
    </row>
    <row r="355" spans="13:13">
      <c r="M355" s="586"/>
    </row>
    <row r="356" spans="13:13">
      <c r="M356" s="586"/>
    </row>
    <row r="357" spans="13:13">
      <c r="M357" s="586"/>
    </row>
    <row r="358" spans="13:13">
      <c r="M358" s="586"/>
    </row>
    <row r="359" spans="13:13">
      <c r="M359" s="586"/>
    </row>
    <row r="360" spans="13:13">
      <c r="M360" s="586"/>
    </row>
    <row r="361" spans="13:13">
      <c r="M361" s="586"/>
    </row>
    <row r="362" spans="13:13">
      <c r="M362" s="586"/>
    </row>
    <row r="363" spans="13:13">
      <c r="M363" s="586"/>
    </row>
    <row r="364" spans="13:13">
      <c r="M364" s="586"/>
    </row>
    <row r="365" spans="13:13">
      <c r="M365" s="586"/>
    </row>
    <row r="366" spans="13:13">
      <c r="M366" s="586"/>
    </row>
    <row r="367" spans="13:13">
      <c r="M367" s="586"/>
    </row>
    <row r="368" spans="13:13">
      <c r="M368" s="586"/>
    </row>
    <row r="369" spans="13:13">
      <c r="M369" s="586"/>
    </row>
    <row r="370" spans="13:13">
      <c r="M370" s="586"/>
    </row>
    <row r="371" spans="13:13">
      <c r="M371" s="586"/>
    </row>
    <row r="372" spans="13:13">
      <c r="M372" s="586"/>
    </row>
    <row r="373" spans="13:13">
      <c r="M373" s="586"/>
    </row>
    <row r="374" spans="13:13">
      <c r="M374" s="586"/>
    </row>
    <row r="375" spans="13:13">
      <c r="M375" s="586"/>
    </row>
    <row r="376" spans="13:13">
      <c r="M376" s="586"/>
    </row>
    <row r="377" spans="13:13">
      <c r="M377" s="586"/>
    </row>
    <row r="378" spans="13:13">
      <c r="M378" s="586"/>
    </row>
    <row r="379" spans="13:13">
      <c r="M379" s="586"/>
    </row>
    <row r="380" spans="13:13">
      <c r="M380" s="586"/>
    </row>
    <row r="381" spans="13:13">
      <c r="M381" s="586"/>
    </row>
    <row r="382" spans="13:13">
      <c r="M382" s="586"/>
    </row>
    <row r="383" spans="13:13">
      <c r="M383" s="586"/>
    </row>
    <row r="384" spans="13:13">
      <c r="M384" s="586"/>
    </row>
    <row r="385" spans="13:13">
      <c r="M385" s="586"/>
    </row>
    <row r="386" spans="13:13">
      <c r="M386" s="586"/>
    </row>
    <row r="387" spans="13:13">
      <c r="M387" s="586"/>
    </row>
    <row r="388" spans="13:13">
      <c r="M388" s="586"/>
    </row>
    <row r="389" spans="13:13">
      <c r="M389" s="586"/>
    </row>
    <row r="390" spans="13:13">
      <c r="M390" s="586"/>
    </row>
    <row r="391" spans="13:13">
      <c r="M391" s="586"/>
    </row>
    <row r="392" spans="13:13">
      <c r="M392" s="586"/>
    </row>
    <row r="393" spans="13:13">
      <c r="M393" s="586"/>
    </row>
    <row r="394" spans="13:13">
      <c r="M394" s="586"/>
    </row>
    <row r="395" spans="13:13">
      <c r="M395" s="586"/>
    </row>
    <row r="396" spans="13:13">
      <c r="M396" s="586"/>
    </row>
    <row r="397" spans="13:13">
      <c r="M397" s="586"/>
    </row>
    <row r="398" spans="13:13">
      <c r="M398" s="586"/>
    </row>
    <row r="399" spans="13:13">
      <c r="M399" s="586"/>
    </row>
    <row r="400" spans="13:13">
      <c r="M400" s="586"/>
    </row>
    <row r="401" spans="13:13">
      <c r="M401" s="586"/>
    </row>
    <row r="402" spans="13:13">
      <c r="M402" s="586"/>
    </row>
    <row r="403" spans="13:13">
      <c r="M403" s="586"/>
    </row>
    <row r="404" spans="13:13">
      <c r="M404" s="586"/>
    </row>
    <row r="405" spans="13:13">
      <c r="M405" s="586"/>
    </row>
    <row r="406" spans="13:13">
      <c r="M406" s="586"/>
    </row>
    <row r="407" spans="13:13">
      <c r="M407" s="586"/>
    </row>
    <row r="408" spans="13:13">
      <c r="M408" s="586"/>
    </row>
    <row r="409" spans="13:13">
      <c r="M409" s="586"/>
    </row>
    <row r="410" spans="13:13">
      <c r="M410" s="586"/>
    </row>
    <row r="411" spans="13:13">
      <c r="M411" s="586"/>
    </row>
    <row r="412" spans="13:13">
      <c r="M412" s="586"/>
    </row>
    <row r="413" spans="13:13">
      <c r="M413" s="586"/>
    </row>
    <row r="414" spans="13:13">
      <c r="M414" s="586"/>
    </row>
    <row r="415" spans="13:13">
      <c r="M415" s="586"/>
    </row>
    <row r="416" spans="13:13">
      <c r="M416" s="586"/>
    </row>
    <row r="417" spans="13:13">
      <c r="M417" s="586"/>
    </row>
    <row r="418" spans="13:13">
      <c r="M418" s="586"/>
    </row>
    <row r="419" spans="13:13">
      <c r="M419" s="586"/>
    </row>
    <row r="420" spans="13:13">
      <c r="M420" s="586"/>
    </row>
    <row r="421" spans="13:13">
      <c r="M421" s="586"/>
    </row>
    <row r="422" spans="13:13">
      <c r="M422" s="586"/>
    </row>
    <row r="423" spans="13:13">
      <c r="M423" s="586"/>
    </row>
    <row r="424" spans="13:13">
      <c r="M424" s="586"/>
    </row>
    <row r="425" spans="13:13">
      <c r="M425" s="586"/>
    </row>
    <row r="426" spans="13:13">
      <c r="M426" s="586"/>
    </row>
    <row r="427" spans="13:13">
      <c r="M427" s="586"/>
    </row>
    <row r="428" spans="13:13">
      <c r="M428" s="586"/>
    </row>
    <row r="429" spans="13:13">
      <c r="M429" s="586"/>
    </row>
    <row r="430" spans="13:13">
      <c r="M430" s="586"/>
    </row>
    <row r="431" spans="13:13">
      <c r="M431" s="586"/>
    </row>
    <row r="432" spans="13:13">
      <c r="M432" s="586"/>
    </row>
    <row r="433" spans="13:13">
      <c r="M433" s="586"/>
    </row>
    <row r="434" spans="13:13">
      <c r="M434" s="586"/>
    </row>
    <row r="435" spans="13:13">
      <c r="M435" s="586"/>
    </row>
    <row r="436" spans="13:13">
      <c r="M436" s="586"/>
    </row>
    <row r="437" spans="13:13">
      <c r="M437" s="586"/>
    </row>
    <row r="438" spans="13:13">
      <c r="M438" s="586"/>
    </row>
    <row r="439" spans="13:13">
      <c r="M439" s="586"/>
    </row>
    <row r="440" spans="13:13">
      <c r="M440" s="586"/>
    </row>
    <row r="441" spans="13:13">
      <c r="M441" s="586"/>
    </row>
    <row r="442" spans="13:13">
      <c r="M442" s="586"/>
    </row>
    <row r="443" spans="13:13">
      <c r="M443" s="586"/>
    </row>
    <row r="444" spans="13:13">
      <c r="M444" s="586"/>
    </row>
    <row r="445" spans="13:13">
      <c r="M445" s="586"/>
    </row>
    <row r="446" spans="13:13">
      <c r="M446" s="586"/>
    </row>
    <row r="447" spans="13:13">
      <c r="M447" s="586"/>
    </row>
    <row r="448" spans="13:13">
      <c r="M448" s="586"/>
    </row>
    <row r="449" spans="13:13">
      <c r="M449" s="586"/>
    </row>
    <row r="450" spans="13:13">
      <c r="M450" s="586"/>
    </row>
    <row r="451" spans="13:13">
      <c r="M451" s="586"/>
    </row>
    <row r="452" spans="13:13">
      <c r="M452" s="586"/>
    </row>
    <row r="453" spans="13:13">
      <c r="M453" s="586"/>
    </row>
    <row r="454" spans="13:13">
      <c r="M454" s="586"/>
    </row>
    <row r="455" spans="13:13">
      <c r="M455" s="586"/>
    </row>
    <row r="456" spans="13:13">
      <c r="M456" s="586"/>
    </row>
    <row r="457" spans="13:13">
      <c r="M457" s="586"/>
    </row>
    <row r="458" spans="13:13">
      <c r="M458" s="586"/>
    </row>
    <row r="459" spans="13:13">
      <c r="M459" s="586"/>
    </row>
    <row r="460" spans="13:13">
      <c r="M460" s="586"/>
    </row>
    <row r="461" spans="13:13">
      <c r="M461" s="586"/>
    </row>
    <row r="462" spans="13:13">
      <c r="M462" s="586"/>
    </row>
    <row r="463" spans="13:13">
      <c r="M463" s="586"/>
    </row>
    <row r="464" spans="13:13">
      <c r="M464" s="586"/>
    </row>
    <row r="465" spans="13:13">
      <c r="M465" s="586"/>
    </row>
    <row r="466" spans="13:13">
      <c r="M466" s="586"/>
    </row>
    <row r="467" spans="13:13">
      <c r="M467" s="586"/>
    </row>
    <row r="468" spans="13:13">
      <c r="M468" s="586"/>
    </row>
    <row r="469" spans="13:13">
      <c r="M469" s="586"/>
    </row>
    <row r="470" spans="13:13">
      <c r="M470" s="586"/>
    </row>
    <row r="471" spans="13:13">
      <c r="M471" s="586"/>
    </row>
    <row r="472" spans="13:13">
      <c r="M472" s="586"/>
    </row>
    <row r="473" spans="13:13">
      <c r="M473" s="586"/>
    </row>
    <row r="474" spans="13:13">
      <c r="M474" s="586"/>
    </row>
    <row r="475" spans="13:13">
      <c r="M475" s="586"/>
    </row>
    <row r="476" spans="13:13">
      <c r="M476" s="586"/>
    </row>
    <row r="477" spans="13:13">
      <c r="M477" s="586"/>
    </row>
    <row r="478" spans="13:13">
      <c r="M478" s="586"/>
    </row>
    <row r="479" spans="13:13">
      <c r="M479" s="586"/>
    </row>
    <row r="480" spans="13:13">
      <c r="M480" s="586"/>
    </row>
    <row r="481" spans="13:13">
      <c r="M481" s="586"/>
    </row>
    <row r="482" spans="13:13">
      <c r="M482" s="586"/>
    </row>
    <row r="483" spans="13:13">
      <c r="M483" s="586"/>
    </row>
    <row r="484" spans="13:13">
      <c r="M484" s="586"/>
    </row>
    <row r="485" spans="13:13">
      <c r="M485" s="586"/>
    </row>
    <row r="486" spans="13:13">
      <c r="M486" s="586"/>
    </row>
    <row r="487" spans="13:13">
      <c r="M487" s="586"/>
    </row>
    <row r="488" spans="13:13">
      <c r="M488" s="586"/>
    </row>
    <row r="489" spans="13:13">
      <c r="M489" s="586"/>
    </row>
    <row r="490" spans="13:13">
      <c r="M490" s="586"/>
    </row>
    <row r="491" spans="13:13">
      <c r="M491" s="586"/>
    </row>
    <row r="492" spans="13:13">
      <c r="M492" s="586"/>
    </row>
    <row r="493" spans="13:13">
      <c r="M493" s="586"/>
    </row>
    <row r="494" spans="13:13">
      <c r="M494" s="586"/>
    </row>
    <row r="495" spans="13:13">
      <c r="M495" s="586"/>
    </row>
    <row r="496" spans="13:13">
      <c r="M496" s="586"/>
    </row>
    <row r="497" spans="13:13">
      <c r="M497" s="586"/>
    </row>
    <row r="498" spans="13:13">
      <c r="M498" s="586"/>
    </row>
    <row r="499" spans="13:13">
      <c r="M499" s="586"/>
    </row>
    <row r="500" spans="13:13">
      <c r="M500" s="586"/>
    </row>
    <row r="501" spans="13:13">
      <c r="M501" s="586"/>
    </row>
    <row r="502" spans="13:13">
      <c r="M502" s="586"/>
    </row>
    <row r="503" spans="13:13">
      <c r="M503" s="586"/>
    </row>
    <row r="504" spans="13:13">
      <c r="M504" s="586"/>
    </row>
    <row r="505" spans="13:13">
      <c r="M505" s="586"/>
    </row>
    <row r="506" spans="13:13">
      <c r="M506" s="586"/>
    </row>
    <row r="507" spans="13:13">
      <c r="M507" s="586"/>
    </row>
    <row r="508" spans="13:13">
      <c r="M508" s="586"/>
    </row>
    <row r="509" spans="13:13">
      <c r="M509" s="586"/>
    </row>
    <row r="510" spans="13:13">
      <c r="M510" s="586"/>
    </row>
    <row r="511" spans="13:13">
      <c r="M511" s="586"/>
    </row>
    <row r="512" spans="13:13">
      <c r="M512" s="586"/>
    </row>
    <row r="513" spans="13:13">
      <c r="M513" s="586"/>
    </row>
    <row r="514" spans="13:13">
      <c r="M514" s="586"/>
    </row>
    <row r="515" spans="13:13">
      <c r="M515" s="586"/>
    </row>
    <row r="516" spans="13:13">
      <c r="M516" s="586"/>
    </row>
    <row r="517" spans="13:13">
      <c r="M517" s="586"/>
    </row>
    <row r="518" spans="13:13">
      <c r="M518" s="586"/>
    </row>
    <row r="519" spans="13:13">
      <c r="M519" s="586"/>
    </row>
    <row r="520" spans="13:13">
      <c r="M520" s="586"/>
    </row>
    <row r="521" spans="13:13">
      <c r="M521" s="586"/>
    </row>
    <row r="522" spans="13:13">
      <c r="M522" s="586"/>
    </row>
    <row r="523" spans="13:13">
      <c r="M523" s="586"/>
    </row>
    <row r="524" spans="13:13">
      <c r="M524" s="586"/>
    </row>
    <row r="525" spans="13:13">
      <c r="M525" s="586"/>
    </row>
    <row r="526" spans="13:13">
      <c r="M526" s="586"/>
    </row>
    <row r="527" spans="13:13">
      <c r="M527" s="586"/>
    </row>
    <row r="528" spans="13:13">
      <c r="M528" s="586"/>
    </row>
    <row r="529" spans="13:13">
      <c r="M529" s="586"/>
    </row>
    <row r="530" spans="13:13">
      <c r="M530" s="586"/>
    </row>
    <row r="531" spans="13:13">
      <c r="M531" s="586"/>
    </row>
    <row r="532" spans="13:13">
      <c r="M532" s="586"/>
    </row>
    <row r="533" spans="13:13">
      <c r="M533" s="586"/>
    </row>
    <row r="534" spans="13:13">
      <c r="M534" s="586"/>
    </row>
    <row r="535" spans="13:13">
      <c r="M535" s="586"/>
    </row>
    <row r="536" spans="13:13">
      <c r="M536" s="586"/>
    </row>
    <row r="537" spans="13:13">
      <c r="M537" s="586"/>
    </row>
    <row r="538" spans="13:13">
      <c r="M538" s="586"/>
    </row>
    <row r="539" spans="13:13">
      <c r="M539" s="586"/>
    </row>
    <row r="540" spans="13:13">
      <c r="M540" s="586"/>
    </row>
    <row r="541" spans="13:13">
      <c r="M541" s="586"/>
    </row>
    <row r="542" spans="13:13">
      <c r="M542" s="586"/>
    </row>
    <row r="543" spans="13:13">
      <c r="M543" s="586"/>
    </row>
    <row r="544" spans="13:13">
      <c r="M544" s="586"/>
    </row>
    <row r="545" spans="13:13">
      <c r="M545" s="586"/>
    </row>
    <row r="546" spans="13:13">
      <c r="M546" s="586"/>
    </row>
    <row r="547" spans="13:13">
      <c r="M547" s="586"/>
    </row>
    <row r="548" spans="13:13">
      <c r="M548" s="586"/>
    </row>
    <row r="549" spans="13:13">
      <c r="M549" s="586"/>
    </row>
    <row r="550" spans="13:13">
      <c r="M550" s="586"/>
    </row>
    <row r="551" spans="13:13">
      <c r="M551" s="586"/>
    </row>
    <row r="552" spans="13:13">
      <c r="M552" s="586"/>
    </row>
    <row r="553" spans="13:13">
      <c r="M553" s="586"/>
    </row>
    <row r="554" spans="13:13">
      <c r="M554" s="586"/>
    </row>
    <row r="555" spans="13:13">
      <c r="M555" s="586"/>
    </row>
    <row r="556" spans="13:13">
      <c r="M556" s="586"/>
    </row>
    <row r="557" spans="13:13">
      <c r="M557" s="586"/>
    </row>
    <row r="558" spans="13:13">
      <c r="M558" s="586"/>
    </row>
    <row r="559" spans="13:13">
      <c r="M559" s="586"/>
    </row>
    <row r="560" spans="13:13">
      <c r="M560" s="586"/>
    </row>
    <row r="561" spans="13:13">
      <c r="M561" s="586"/>
    </row>
    <row r="562" spans="13:13">
      <c r="M562" s="586"/>
    </row>
    <row r="563" spans="13:13">
      <c r="M563" s="586"/>
    </row>
    <row r="564" spans="13:13">
      <c r="M564" s="586"/>
    </row>
    <row r="565" spans="13:13">
      <c r="M565" s="586"/>
    </row>
    <row r="566" spans="13:13">
      <c r="M566" s="586"/>
    </row>
    <row r="567" spans="13:13">
      <c r="M567" s="586"/>
    </row>
    <row r="568" spans="13:13">
      <c r="M568" s="586"/>
    </row>
    <row r="569" spans="13:13">
      <c r="M569" s="586"/>
    </row>
    <row r="570" spans="13:13">
      <c r="M570" s="586"/>
    </row>
    <row r="571" spans="13:13">
      <c r="M571" s="586"/>
    </row>
    <row r="572" spans="13:13">
      <c r="M572" s="586"/>
    </row>
    <row r="573" spans="13:13">
      <c r="M573" s="586"/>
    </row>
    <row r="574" spans="13:13">
      <c r="M574" s="586"/>
    </row>
    <row r="575" spans="13:13">
      <c r="M575" s="586"/>
    </row>
    <row r="576" spans="13:13">
      <c r="M576" s="586"/>
    </row>
    <row r="577" spans="13:13">
      <c r="M577" s="586"/>
    </row>
    <row r="578" spans="13:13">
      <c r="M578" s="586"/>
    </row>
    <row r="579" spans="13:13">
      <c r="M579" s="586"/>
    </row>
    <row r="580" spans="13:13">
      <c r="M580" s="586"/>
    </row>
    <row r="581" spans="13:13">
      <c r="M581" s="586"/>
    </row>
    <row r="582" spans="13:13">
      <c r="M582" s="586"/>
    </row>
    <row r="583" spans="13:13">
      <c r="M583" s="586"/>
    </row>
    <row r="584" spans="13:13">
      <c r="M584" s="586"/>
    </row>
    <row r="585" spans="13:13">
      <c r="M585" s="586"/>
    </row>
    <row r="586" spans="13:13">
      <c r="M586" s="586"/>
    </row>
    <row r="587" spans="13:13">
      <c r="M587" s="586"/>
    </row>
    <row r="588" spans="13:13">
      <c r="M588" s="586"/>
    </row>
    <row r="589" spans="13:13">
      <c r="M589" s="586"/>
    </row>
    <row r="590" spans="13:13">
      <c r="M590" s="586"/>
    </row>
    <row r="591" spans="13:13">
      <c r="M591" s="586"/>
    </row>
    <row r="592" spans="13:13">
      <c r="M592" s="586"/>
    </row>
    <row r="593" spans="13:13">
      <c r="M593" s="586"/>
    </row>
    <row r="594" spans="13:13">
      <c r="M594" s="586"/>
    </row>
    <row r="595" spans="13:13">
      <c r="M595" s="586"/>
    </row>
    <row r="596" spans="13:13">
      <c r="M596" s="586"/>
    </row>
    <row r="597" spans="13:13">
      <c r="M597" s="586"/>
    </row>
    <row r="598" spans="13:13">
      <c r="M598" s="586"/>
    </row>
    <row r="599" spans="13:13">
      <c r="M599" s="586"/>
    </row>
    <row r="600" spans="13:13">
      <c r="M600" s="586"/>
    </row>
    <row r="601" spans="13:13">
      <c r="M601" s="586"/>
    </row>
    <row r="602" spans="13:13">
      <c r="M602" s="586"/>
    </row>
    <row r="603" spans="13:13">
      <c r="M603" s="586"/>
    </row>
    <row r="604" spans="13:13">
      <c r="M604" s="586"/>
    </row>
    <row r="605" spans="13:13">
      <c r="M605" s="586"/>
    </row>
    <row r="606" spans="13:13">
      <c r="M606" s="586"/>
    </row>
    <row r="607" spans="13:13">
      <c r="M607" s="586"/>
    </row>
    <row r="608" spans="13:13">
      <c r="M608" s="586"/>
    </row>
    <row r="609" spans="13:13">
      <c r="M609" s="586"/>
    </row>
    <row r="610" spans="13:13">
      <c r="M610" s="586"/>
    </row>
    <row r="611" spans="13:13">
      <c r="M611" s="586"/>
    </row>
    <row r="612" spans="13:13">
      <c r="M612" s="586"/>
    </row>
    <row r="613" spans="13:13">
      <c r="M613" s="586"/>
    </row>
    <row r="614" spans="13:13">
      <c r="M614" s="586"/>
    </row>
    <row r="615" spans="13:13">
      <c r="M615" s="586"/>
    </row>
    <row r="616" spans="13:13">
      <c r="M616" s="586"/>
    </row>
    <row r="617" spans="13:13">
      <c r="M617" s="586"/>
    </row>
    <row r="618" spans="13:13">
      <c r="M618" s="586"/>
    </row>
    <row r="619" spans="13:13">
      <c r="M619" s="586"/>
    </row>
    <row r="620" spans="13:13">
      <c r="M620" s="586"/>
    </row>
    <row r="621" spans="13:13">
      <c r="M621" s="586"/>
    </row>
    <row r="622" spans="13:13">
      <c r="M622" s="586"/>
    </row>
    <row r="623" spans="13:13">
      <c r="M623" s="586"/>
    </row>
    <row r="624" spans="13:13">
      <c r="M624" s="586"/>
    </row>
    <row r="625" spans="13:13">
      <c r="M625" s="586"/>
    </row>
    <row r="626" spans="13:13">
      <c r="M626" s="586"/>
    </row>
    <row r="627" spans="13:13">
      <c r="M627" s="586"/>
    </row>
    <row r="628" spans="13:13">
      <c r="M628" s="586"/>
    </row>
    <row r="629" spans="13:13">
      <c r="M629" s="586"/>
    </row>
    <row r="630" spans="13:13">
      <c r="M630" s="586"/>
    </row>
    <row r="631" spans="13:13">
      <c r="M631" s="586"/>
    </row>
    <row r="632" spans="13:13">
      <c r="M632" s="586"/>
    </row>
    <row r="633" spans="13:13">
      <c r="M633" s="586"/>
    </row>
    <row r="634" spans="13:13">
      <c r="M634" s="586"/>
    </row>
    <row r="635" spans="13:13">
      <c r="M635" s="586"/>
    </row>
    <row r="636" spans="13:13">
      <c r="M636" s="586"/>
    </row>
    <row r="637" spans="13:13">
      <c r="M637" s="586"/>
    </row>
    <row r="638" spans="13:13">
      <c r="M638" s="586"/>
    </row>
    <row r="639" spans="13:13">
      <c r="M639" s="586"/>
    </row>
    <row r="640" spans="13:13">
      <c r="M640" s="586"/>
    </row>
    <row r="641" spans="13:13">
      <c r="M641" s="586"/>
    </row>
    <row r="642" spans="13:13">
      <c r="M642" s="586"/>
    </row>
  </sheetData>
  <mergeCells count="4">
    <mergeCell ref="F3:J3"/>
    <mergeCell ref="L3:N3"/>
    <mergeCell ref="A1:N1"/>
    <mergeCell ref="B3:D3"/>
  </mergeCells>
  <pageMargins left="0.75" right="0.75" top="1" bottom="1" header="0.5" footer="0.5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5845-CB8C-483E-BBF4-E674C6290EAD}">
  <sheetPr>
    <pageSetUpPr fitToPage="1"/>
  </sheetPr>
  <dimension ref="A1:AQ1053"/>
  <sheetViews>
    <sheetView showGridLines="0" zoomScaleNormal="100" workbookViewId="0">
      <pane ySplit="1" topLeftCell="A2" activePane="bottomLeft" state="frozen"/>
      <selection pane="bottomLeft" activeCell="H6" sqref="H6"/>
    </sheetView>
  </sheetViews>
  <sheetFormatPr defaultColWidth="8.7109375" defaultRowHeight="16.5"/>
  <cols>
    <col min="1" max="1" width="5.85546875" style="1" customWidth="1"/>
    <col min="2" max="2" width="35.140625" style="15" customWidth="1"/>
    <col min="3" max="3" width="25.5703125" style="1" customWidth="1"/>
    <col min="4" max="4" width="17.7109375" style="1" customWidth="1"/>
    <col min="5" max="5" width="17" style="1" customWidth="1"/>
    <col min="6" max="6" width="30.7109375" style="16" customWidth="1"/>
    <col min="7" max="7" width="19" style="13" customWidth="1"/>
    <col min="8" max="8" width="23.85546875" style="1" customWidth="1"/>
    <col min="9" max="9" width="10.140625" style="2" bestFit="1" customWidth="1"/>
    <col min="10" max="10" width="8.7109375" style="277" customWidth="1"/>
    <col min="11" max="11" width="10.42578125" style="277" customWidth="1"/>
    <col min="12" max="12" width="8.7109375" style="277"/>
    <col min="13" max="13" width="11.85546875" style="277" bestFit="1" customWidth="1"/>
    <col min="14" max="14" width="8.7109375" style="277"/>
    <col min="15" max="15" width="11.85546875" style="277" bestFit="1" customWidth="1"/>
    <col min="16" max="16" width="8.7109375" style="277"/>
    <col min="17" max="18" width="11.85546875" style="277" bestFit="1" customWidth="1"/>
    <col min="19" max="19" width="8.7109375" style="277"/>
    <col min="20" max="43" width="8.7109375" style="2"/>
    <col min="44" max="16384" width="8.7109375" style="1"/>
  </cols>
  <sheetData>
    <row r="1" spans="1:19" s="44" customFormat="1" ht="38.25" customHeight="1">
      <c r="A1" s="43"/>
      <c r="B1" s="679" t="s">
        <v>4463</v>
      </c>
      <c r="C1" s="679"/>
      <c r="D1" s="679"/>
      <c r="E1" s="679"/>
      <c r="F1" s="679"/>
      <c r="G1" s="679"/>
      <c r="J1" s="275"/>
      <c r="K1" s="275"/>
      <c r="L1" s="275"/>
      <c r="M1" s="275"/>
      <c r="N1" s="275"/>
      <c r="O1" s="275"/>
      <c r="P1" s="275"/>
      <c r="Q1" s="275"/>
      <c r="R1" s="275"/>
      <c r="S1" s="275"/>
    </row>
    <row r="2" spans="1:19" s="8" customFormat="1" ht="20.25" customHeight="1">
      <c r="A2" s="9"/>
      <c r="B2" s="19"/>
      <c r="F2" s="10"/>
      <c r="G2" s="10"/>
      <c r="H2" s="227"/>
      <c r="J2" s="276"/>
      <c r="K2" s="276"/>
      <c r="L2" s="276"/>
      <c r="M2" s="276"/>
      <c r="N2" s="276"/>
      <c r="O2" s="276"/>
      <c r="P2" s="276"/>
      <c r="Q2" s="276"/>
      <c r="R2" s="276"/>
      <c r="S2" s="276"/>
    </row>
    <row r="3" spans="1:19" s="8" customFormat="1" ht="28.5" customHeight="1">
      <c r="A3" s="9"/>
      <c r="B3" s="425" t="s">
        <v>4418</v>
      </c>
      <c r="C3" s="425" t="s">
        <v>4419</v>
      </c>
      <c r="D3" s="425" t="s">
        <v>4420</v>
      </c>
      <c r="E3" s="425" t="s">
        <v>4421</v>
      </c>
      <c r="F3" s="425" t="s">
        <v>4422</v>
      </c>
      <c r="G3" s="425" t="s">
        <v>4423</v>
      </c>
      <c r="H3" s="227"/>
      <c r="J3" s="276"/>
      <c r="K3" s="276"/>
      <c r="L3" s="276"/>
      <c r="M3" s="276"/>
      <c r="N3" s="276"/>
      <c r="O3" s="276"/>
      <c r="P3" s="276"/>
      <c r="Q3" s="276"/>
      <c r="R3" s="276"/>
      <c r="S3" s="276"/>
    </row>
    <row r="4" spans="1:19" s="8" customFormat="1" ht="38.25" customHeight="1">
      <c r="A4" s="9"/>
      <c r="B4" s="422" t="s">
        <v>4819</v>
      </c>
      <c r="C4" s="424">
        <v>874</v>
      </c>
      <c r="D4" s="427">
        <f>G895</f>
        <v>179916</v>
      </c>
      <c r="E4" s="424" t="s">
        <v>4424</v>
      </c>
      <c r="F4" s="424" t="s">
        <v>4425</v>
      </c>
      <c r="G4" s="448" t="s">
        <v>4426</v>
      </c>
      <c r="H4" s="426"/>
      <c r="J4" s="276"/>
      <c r="K4" s="276"/>
      <c r="L4" s="276"/>
      <c r="M4" s="276"/>
      <c r="N4" s="276"/>
      <c r="O4" s="276"/>
      <c r="P4" s="276"/>
      <c r="Q4" s="276"/>
      <c r="R4" s="276"/>
      <c r="S4" s="276"/>
    </row>
    <row r="5" spans="1:19" s="8" customFormat="1" ht="63" customHeight="1">
      <c r="A5" s="9"/>
      <c r="B5" s="422" t="s">
        <v>4427</v>
      </c>
      <c r="C5" s="424">
        <v>87</v>
      </c>
      <c r="D5" s="428">
        <f>G985</f>
        <v>18767.7</v>
      </c>
      <c r="E5" s="424" t="s">
        <v>4428</v>
      </c>
      <c r="F5" s="424" t="s">
        <v>4438</v>
      </c>
      <c r="G5" s="449" t="s">
        <v>4429</v>
      </c>
      <c r="H5" s="227"/>
      <c r="J5" s="276"/>
      <c r="K5" s="276"/>
      <c r="L5" s="276"/>
      <c r="M5" s="276"/>
      <c r="N5" s="276"/>
      <c r="O5" s="276"/>
      <c r="P5" s="276"/>
      <c r="Q5" s="276"/>
      <c r="R5" s="276"/>
      <c r="S5" s="276"/>
    </row>
    <row r="6" spans="1:19" s="8" customFormat="1" ht="34.5" customHeight="1">
      <c r="A6" s="9"/>
      <c r="B6" s="422" t="s">
        <v>4803</v>
      </c>
      <c r="C6" s="424">
        <v>16</v>
      </c>
      <c r="D6" s="424"/>
      <c r="E6" s="424" t="s">
        <v>4428</v>
      </c>
      <c r="F6" s="424" t="s">
        <v>4430</v>
      </c>
      <c r="G6" s="464" t="s">
        <v>4431</v>
      </c>
      <c r="H6" s="227"/>
      <c r="J6" s="276"/>
      <c r="K6" s="276"/>
      <c r="L6" s="276"/>
      <c r="M6" s="276"/>
      <c r="N6" s="276"/>
      <c r="O6" s="276"/>
      <c r="P6" s="276"/>
      <c r="Q6" s="276"/>
      <c r="R6" s="276"/>
      <c r="S6" s="276"/>
    </row>
    <row r="7" spans="1:19" s="8" customFormat="1" ht="35.25" customHeight="1">
      <c r="A7" s="9"/>
      <c r="B7" s="422" t="s">
        <v>4432</v>
      </c>
      <c r="C7" s="424">
        <v>16</v>
      </c>
      <c r="D7" s="424"/>
      <c r="E7" s="424" t="s">
        <v>4428</v>
      </c>
      <c r="F7" s="424" t="s">
        <v>4433</v>
      </c>
      <c r="G7" s="475" t="s">
        <v>4434</v>
      </c>
      <c r="H7" s="227"/>
      <c r="J7" s="276"/>
      <c r="K7" s="276"/>
      <c r="L7" s="276"/>
      <c r="M7" s="276"/>
      <c r="N7" s="276"/>
      <c r="O7" s="276"/>
      <c r="P7" s="276"/>
      <c r="Q7" s="276"/>
      <c r="R7" s="276"/>
      <c r="S7" s="276"/>
    </row>
    <row r="8" spans="1:19" s="8" customFormat="1" ht="35.25" customHeight="1">
      <c r="A8" s="9"/>
      <c r="B8" s="422" t="s">
        <v>4435</v>
      </c>
      <c r="C8" s="424">
        <v>977</v>
      </c>
      <c r="D8" s="476">
        <f>SUM(D4:D5)</f>
        <v>198683.7</v>
      </c>
      <c r="E8" s="424" t="s">
        <v>4436</v>
      </c>
      <c r="F8" s="424" t="s">
        <v>4437</v>
      </c>
      <c r="G8" s="424"/>
      <c r="H8" s="227"/>
      <c r="J8" s="276"/>
      <c r="K8" s="276"/>
      <c r="L8" s="276"/>
      <c r="M8" s="276"/>
      <c r="N8" s="276"/>
      <c r="O8" s="276"/>
      <c r="P8" s="276"/>
      <c r="Q8" s="276"/>
      <c r="R8" s="276"/>
      <c r="S8" s="276"/>
    </row>
    <row r="9" spans="1:19" s="8" customFormat="1" ht="28.5" customHeight="1">
      <c r="A9" s="9"/>
      <c r="B9" s="19"/>
      <c r="F9" s="10"/>
      <c r="G9" s="10"/>
      <c r="H9" s="227"/>
      <c r="J9" s="276"/>
      <c r="K9" s="276"/>
      <c r="L9" s="276"/>
      <c r="M9" s="276"/>
      <c r="N9" s="276"/>
      <c r="O9" s="276"/>
      <c r="P9" s="276"/>
      <c r="Q9" s="276"/>
      <c r="R9" s="276"/>
      <c r="S9" s="276"/>
    </row>
    <row r="10" spans="1:19" s="8" customFormat="1" ht="28.5" customHeight="1">
      <c r="A10" s="9"/>
      <c r="B10" s="680" t="s">
        <v>1625</v>
      </c>
      <c r="C10" s="681"/>
      <c r="D10" s="681"/>
      <c r="E10" s="681"/>
      <c r="F10" s="681"/>
      <c r="G10" s="681"/>
      <c r="H10" s="682"/>
      <c r="J10" s="276"/>
      <c r="K10" s="276"/>
      <c r="L10" s="276"/>
      <c r="M10" s="276"/>
      <c r="N10" s="276"/>
      <c r="O10" s="276"/>
      <c r="P10" s="276"/>
      <c r="Q10" s="276"/>
      <c r="R10" s="276"/>
      <c r="S10" s="276"/>
    </row>
    <row r="11" spans="1:19" s="8" customFormat="1" ht="25.5" customHeight="1">
      <c r="A11" s="9"/>
      <c r="B11" s="483" t="s">
        <v>4802</v>
      </c>
      <c r="C11" s="12"/>
      <c r="D11" s="317"/>
      <c r="F11" s="10"/>
      <c r="G11" s="10"/>
      <c r="H11" s="477"/>
      <c r="J11" s="276"/>
      <c r="K11" s="276"/>
      <c r="L11" s="276"/>
      <c r="M11" s="276"/>
      <c r="N11" s="276"/>
      <c r="O11" s="276"/>
      <c r="P11" s="276"/>
      <c r="Q11" s="276"/>
      <c r="R11" s="276"/>
      <c r="S11" s="276"/>
    </row>
    <row r="12" spans="1:19" s="8" customFormat="1" ht="28.5" customHeight="1">
      <c r="A12" s="9"/>
      <c r="B12" s="484" t="s">
        <v>4815</v>
      </c>
      <c r="C12" s="12"/>
      <c r="D12" s="317"/>
      <c r="F12" s="10"/>
      <c r="G12" s="10"/>
      <c r="H12" s="255"/>
      <c r="J12" s="276"/>
      <c r="K12" s="276"/>
      <c r="L12" s="276"/>
      <c r="M12" s="276"/>
      <c r="N12" s="276"/>
      <c r="O12" s="276"/>
      <c r="P12" s="276"/>
      <c r="Q12" s="276"/>
      <c r="R12" s="276"/>
      <c r="S12" s="276"/>
    </row>
    <row r="13" spans="1:19" s="8" customFormat="1" ht="28.5" customHeight="1">
      <c r="A13" s="9"/>
      <c r="B13" s="544" t="s">
        <v>4804</v>
      </c>
      <c r="C13" s="12"/>
      <c r="D13" s="317"/>
      <c r="F13" s="10"/>
      <c r="G13" s="10"/>
      <c r="H13" s="255"/>
      <c r="J13" s="276"/>
      <c r="K13" s="276"/>
      <c r="L13" s="276"/>
      <c r="M13" s="276"/>
      <c r="N13" s="276"/>
      <c r="O13" s="276"/>
      <c r="P13" s="276"/>
      <c r="Q13" s="276"/>
      <c r="R13" s="276"/>
      <c r="S13" s="276"/>
    </row>
    <row r="14" spans="1:19" s="8" customFormat="1" ht="28.5" customHeight="1">
      <c r="A14" s="9"/>
      <c r="B14" s="544" t="s">
        <v>4805</v>
      </c>
      <c r="F14" s="10"/>
      <c r="G14" s="10"/>
      <c r="H14" s="255"/>
      <c r="J14" s="276"/>
      <c r="K14" s="276"/>
      <c r="L14" s="276"/>
      <c r="M14" s="276"/>
      <c r="N14" s="276"/>
      <c r="O14" s="276"/>
      <c r="P14" s="276"/>
      <c r="Q14" s="276"/>
      <c r="R14" s="276"/>
      <c r="S14" s="276"/>
    </row>
    <row r="15" spans="1:19" s="8" customFormat="1" ht="28.5" customHeight="1">
      <c r="A15" s="9"/>
      <c r="B15" s="485" t="s">
        <v>4439</v>
      </c>
      <c r="F15" s="10"/>
      <c r="G15" s="10"/>
      <c r="H15" s="255"/>
      <c r="J15" s="276"/>
      <c r="K15" s="276"/>
      <c r="L15" s="276"/>
      <c r="M15" s="276"/>
      <c r="N15" s="276"/>
      <c r="O15" s="276"/>
      <c r="P15" s="276"/>
      <c r="Q15" s="276"/>
      <c r="R15" s="276"/>
      <c r="S15" s="276"/>
    </row>
    <row r="16" spans="1:19" s="8" customFormat="1" ht="28.5" customHeight="1">
      <c r="A16" s="9"/>
      <c r="B16" s="606" t="s">
        <v>4818</v>
      </c>
      <c r="F16" s="10"/>
      <c r="G16" s="10"/>
      <c r="H16" s="255"/>
      <c r="J16" s="276"/>
      <c r="K16" s="276"/>
      <c r="L16" s="276"/>
      <c r="M16" s="276"/>
      <c r="N16" s="276"/>
      <c r="O16" s="276"/>
      <c r="P16" s="276"/>
      <c r="Q16" s="276"/>
      <c r="R16" s="276"/>
      <c r="S16" s="276"/>
    </row>
    <row r="17" spans="1:19" s="8" customFormat="1" ht="28.5" customHeight="1">
      <c r="A17" s="9"/>
      <c r="B17" s="486" t="s">
        <v>4817</v>
      </c>
      <c r="C17" s="487"/>
      <c r="D17" s="487"/>
      <c r="E17" s="487"/>
      <c r="F17" s="488"/>
      <c r="G17" s="488"/>
      <c r="H17" s="478"/>
      <c r="J17" s="228"/>
      <c r="K17" s="228"/>
      <c r="L17" s="228"/>
      <c r="M17" s="228"/>
      <c r="N17" s="228"/>
      <c r="O17" s="228"/>
      <c r="P17" s="228"/>
      <c r="Q17" s="228"/>
      <c r="R17" s="228"/>
      <c r="S17" s="228"/>
    </row>
    <row r="18" spans="1:19" s="8" customFormat="1" ht="28.5" customHeight="1">
      <c r="A18" s="9"/>
      <c r="B18" s="19"/>
      <c r="F18" s="10"/>
      <c r="G18" s="10"/>
      <c r="J18" s="228"/>
      <c r="K18" s="228"/>
      <c r="L18" s="228"/>
      <c r="M18" s="228"/>
      <c r="N18" s="228"/>
      <c r="O18" s="228"/>
      <c r="P18" s="228"/>
      <c r="Q18" s="228"/>
      <c r="R18" s="228"/>
      <c r="S18" s="228"/>
    </row>
    <row r="19" spans="1:19" ht="30" customHeight="1">
      <c r="A19" s="683" t="s">
        <v>4820</v>
      </c>
      <c r="B19" s="684"/>
      <c r="C19" s="684"/>
      <c r="D19" s="684"/>
      <c r="E19" s="684"/>
      <c r="F19" s="684"/>
      <c r="G19" s="684"/>
      <c r="H19" s="685"/>
      <c r="I19" s="6"/>
      <c r="J19" s="278"/>
      <c r="K19" s="278"/>
    </row>
    <row r="20" spans="1:19" s="8" customFormat="1" ht="51" customHeight="1">
      <c r="A20" s="22" t="s">
        <v>0</v>
      </c>
      <c r="B20" s="22" t="s">
        <v>52</v>
      </c>
      <c r="C20" s="22" t="s">
        <v>1</v>
      </c>
      <c r="D20" s="22" t="s">
        <v>2</v>
      </c>
      <c r="E20" s="22" t="s">
        <v>3</v>
      </c>
      <c r="F20" s="23" t="s">
        <v>4</v>
      </c>
      <c r="G20" s="23" t="s">
        <v>1046</v>
      </c>
      <c r="H20" s="23" t="s">
        <v>5</v>
      </c>
      <c r="J20" s="228"/>
      <c r="K20" s="228"/>
      <c r="L20" s="228"/>
      <c r="M20" s="228"/>
      <c r="N20" s="228"/>
      <c r="O20" s="228"/>
      <c r="P20" s="228"/>
      <c r="Q20" s="228"/>
      <c r="R20" s="228"/>
      <c r="S20" s="228"/>
    </row>
    <row r="21" spans="1:19" s="2" customFormat="1" ht="18" customHeight="1">
      <c r="A21" s="429">
        <v>1</v>
      </c>
      <c r="B21" s="430" t="s">
        <v>832</v>
      </c>
      <c r="C21" s="429" t="s">
        <v>26</v>
      </c>
      <c r="D21" s="429" t="s">
        <v>10</v>
      </c>
      <c r="E21" s="429" t="s">
        <v>13</v>
      </c>
      <c r="F21" s="27">
        <v>125</v>
      </c>
      <c r="G21" s="27">
        <f t="shared" ref="G21:G26" si="0">F21</f>
        <v>125</v>
      </c>
      <c r="H21" s="429"/>
      <c r="J21" s="277"/>
      <c r="K21" s="277"/>
      <c r="L21" s="277"/>
      <c r="M21" s="277"/>
      <c r="N21" s="277"/>
      <c r="O21" s="277"/>
      <c r="P21" s="277"/>
      <c r="Q21" s="277"/>
      <c r="R21" s="277"/>
      <c r="S21" s="277"/>
    </row>
    <row r="22" spans="1:19" s="2" customFormat="1" ht="18" customHeight="1">
      <c r="A22" s="429">
        <v>2</v>
      </c>
      <c r="B22" s="430" t="s">
        <v>172</v>
      </c>
      <c r="C22" s="429" t="s">
        <v>18</v>
      </c>
      <c r="D22" s="429" t="s">
        <v>10</v>
      </c>
      <c r="E22" s="429" t="s">
        <v>8</v>
      </c>
      <c r="F22" s="27">
        <v>125</v>
      </c>
      <c r="G22" s="27">
        <f t="shared" si="0"/>
        <v>125</v>
      </c>
      <c r="H22" s="429"/>
      <c r="J22" s="277"/>
      <c r="K22" s="277"/>
      <c r="L22" s="277"/>
      <c r="M22" s="277"/>
      <c r="N22" s="277"/>
      <c r="O22" s="277"/>
      <c r="P22" s="277"/>
      <c r="Q22" s="277"/>
      <c r="R22" s="277"/>
      <c r="S22" s="277"/>
    </row>
    <row r="23" spans="1:19" s="2" customFormat="1" ht="33">
      <c r="A23" s="429">
        <v>3</v>
      </c>
      <c r="B23" s="430" t="s">
        <v>140</v>
      </c>
      <c r="C23" s="429" t="s">
        <v>12</v>
      </c>
      <c r="D23" s="429" t="s">
        <v>7</v>
      </c>
      <c r="E23" s="429" t="s">
        <v>13</v>
      </c>
      <c r="F23" s="27">
        <v>132</v>
      </c>
      <c r="G23" s="27">
        <f t="shared" si="0"/>
        <v>132</v>
      </c>
      <c r="H23" s="429"/>
      <c r="J23" s="277"/>
      <c r="K23" s="277"/>
      <c r="L23" s="277"/>
      <c r="M23" s="277"/>
      <c r="N23" s="277"/>
      <c r="O23" s="277"/>
      <c r="P23" s="277"/>
      <c r="Q23" s="277"/>
      <c r="R23" s="277"/>
      <c r="S23" s="277"/>
    </row>
    <row r="24" spans="1:19" s="2" customFormat="1">
      <c r="A24" s="429">
        <v>4</v>
      </c>
      <c r="B24" s="430" t="s">
        <v>521</v>
      </c>
      <c r="C24" s="429" t="s">
        <v>12</v>
      </c>
      <c r="D24" s="429" t="s">
        <v>7</v>
      </c>
      <c r="E24" s="429" t="s">
        <v>8</v>
      </c>
      <c r="F24" s="27">
        <v>135</v>
      </c>
      <c r="G24" s="27">
        <f t="shared" si="0"/>
        <v>135</v>
      </c>
      <c r="H24" s="429"/>
      <c r="J24" s="277"/>
      <c r="K24" s="277"/>
      <c r="L24" s="277"/>
      <c r="M24" s="277"/>
      <c r="N24" s="277"/>
      <c r="O24" s="277"/>
      <c r="P24" s="277"/>
      <c r="Q24" s="277"/>
      <c r="R24" s="277"/>
      <c r="S24" s="277"/>
    </row>
    <row r="25" spans="1:19" s="6" customFormat="1">
      <c r="A25" s="429">
        <v>5</v>
      </c>
      <c r="B25" s="430" t="s">
        <v>152</v>
      </c>
      <c r="C25" s="429"/>
      <c r="D25" s="429" t="s">
        <v>10</v>
      </c>
      <c r="E25" s="429" t="s">
        <v>20</v>
      </c>
      <c r="F25" s="27">
        <v>160</v>
      </c>
      <c r="G25" s="27">
        <f t="shared" si="0"/>
        <v>160</v>
      </c>
      <c r="H25" s="429"/>
      <c r="I25" s="2"/>
      <c r="J25" s="277"/>
      <c r="K25" s="277"/>
      <c r="L25" s="278"/>
      <c r="M25" s="278"/>
      <c r="N25" s="278"/>
      <c r="O25" s="278"/>
      <c r="P25" s="278"/>
      <c r="Q25" s="278"/>
      <c r="R25" s="278"/>
      <c r="S25" s="278"/>
    </row>
    <row r="26" spans="1:19" s="2" customFormat="1" ht="16.5" customHeight="1">
      <c r="A26" s="429">
        <v>6</v>
      </c>
      <c r="B26" s="430" t="s">
        <v>896</v>
      </c>
      <c r="C26" s="429"/>
      <c r="D26" s="429"/>
      <c r="E26" s="431" t="s">
        <v>8</v>
      </c>
      <c r="F26" s="432">
        <v>160</v>
      </c>
      <c r="G26" s="27">
        <f t="shared" si="0"/>
        <v>160</v>
      </c>
      <c r="H26" s="429"/>
      <c r="J26" s="277"/>
      <c r="K26" s="277"/>
      <c r="L26" s="277"/>
      <c r="M26" s="277"/>
      <c r="N26" s="277"/>
      <c r="O26" s="277"/>
      <c r="P26" s="277"/>
      <c r="Q26" s="277"/>
      <c r="R26" s="277"/>
      <c r="S26" s="277"/>
    </row>
    <row r="27" spans="1:19" s="6" customFormat="1">
      <c r="A27" s="429">
        <v>7</v>
      </c>
      <c r="B27" s="430" t="s">
        <v>572</v>
      </c>
      <c r="C27" s="429" t="s">
        <v>15</v>
      </c>
      <c r="D27" s="429" t="s">
        <v>10</v>
      </c>
      <c r="E27" s="429" t="s">
        <v>11</v>
      </c>
      <c r="F27" s="27">
        <v>190</v>
      </c>
      <c r="G27" s="27">
        <v>180</v>
      </c>
      <c r="H27" s="429"/>
      <c r="I27" s="2"/>
      <c r="J27" s="277"/>
      <c r="K27" s="277"/>
      <c r="L27" s="277"/>
      <c r="M27" s="277"/>
      <c r="N27" s="277"/>
      <c r="O27" s="277"/>
      <c r="P27" s="277"/>
      <c r="Q27" s="277"/>
      <c r="R27" s="277"/>
      <c r="S27" s="277"/>
    </row>
    <row r="28" spans="1:19" s="2" customFormat="1">
      <c r="A28" s="429">
        <v>8</v>
      </c>
      <c r="B28" s="430" t="s">
        <v>815</v>
      </c>
      <c r="C28" s="429" t="s">
        <v>16</v>
      </c>
      <c r="D28" s="429" t="s">
        <v>7</v>
      </c>
      <c r="E28" s="429" t="s">
        <v>11</v>
      </c>
      <c r="F28" s="27">
        <v>190</v>
      </c>
      <c r="G28" s="27">
        <v>180</v>
      </c>
      <c r="H28" s="429"/>
      <c r="J28" s="277"/>
      <c r="K28" s="277"/>
      <c r="L28" s="277"/>
      <c r="M28" s="277"/>
      <c r="N28" s="277"/>
      <c r="O28" s="277"/>
      <c r="P28" s="277"/>
      <c r="Q28" s="277"/>
      <c r="R28" s="277"/>
      <c r="S28" s="277"/>
    </row>
    <row r="29" spans="1:19" s="2" customFormat="1">
      <c r="A29" s="429">
        <v>9</v>
      </c>
      <c r="B29" s="430" t="s">
        <v>57</v>
      </c>
      <c r="C29" s="429" t="s">
        <v>12</v>
      </c>
      <c r="D29" s="429" t="s">
        <v>7</v>
      </c>
      <c r="E29" s="429" t="s">
        <v>13</v>
      </c>
      <c r="F29" s="27">
        <v>190</v>
      </c>
      <c r="G29" s="27">
        <v>180</v>
      </c>
      <c r="H29" s="429"/>
      <c r="J29" s="277"/>
      <c r="K29" s="277"/>
      <c r="L29" s="277"/>
      <c r="M29" s="277"/>
      <c r="N29" s="277"/>
      <c r="O29" s="277"/>
      <c r="P29" s="277"/>
      <c r="Q29" s="277"/>
      <c r="R29" s="277"/>
      <c r="S29" s="277"/>
    </row>
    <row r="30" spans="1:19" s="2" customFormat="1">
      <c r="A30" s="429">
        <v>10</v>
      </c>
      <c r="B30" s="430" t="s">
        <v>72</v>
      </c>
      <c r="C30" s="429" t="s">
        <v>14</v>
      </c>
      <c r="D30" s="429" t="s">
        <v>7</v>
      </c>
      <c r="E30" s="429" t="s">
        <v>13</v>
      </c>
      <c r="F30" s="27">
        <v>190</v>
      </c>
      <c r="G30" s="27">
        <v>180</v>
      </c>
      <c r="H30" s="429"/>
      <c r="J30" s="277"/>
      <c r="K30" s="277"/>
      <c r="L30" s="277"/>
      <c r="M30" s="277"/>
      <c r="N30" s="277"/>
      <c r="O30" s="277"/>
      <c r="P30" s="277"/>
      <c r="Q30" s="277"/>
      <c r="R30" s="277"/>
      <c r="S30" s="277"/>
    </row>
    <row r="31" spans="1:19" s="2" customFormat="1" ht="33">
      <c r="A31" s="429">
        <v>11</v>
      </c>
      <c r="B31" s="430" t="s">
        <v>103</v>
      </c>
      <c r="C31" s="429" t="s">
        <v>14</v>
      </c>
      <c r="D31" s="429" t="s">
        <v>10</v>
      </c>
      <c r="E31" s="429" t="s">
        <v>13</v>
      </c>
      <c r="F31" s="27">
        <v>190</v>
      </c>
      <c r="G31" s="27">
        <v>180</v>
      </c>
      <c r="H31" s="429"/>
      <c r="J31" s="277"/>
      <c r="K31" s="277"/>
      <c r="L31" s="277"/>
      <c r="M31" s="277"/>
      <c r="N31" s="277"/>
      <c r="O31" s="277"/>
      <c r="P31" s="277"/>
      <c r="Q31" s="277"/>
      <c r="R31" s="277"/>
      <c r="S31" s="277"/>
    </row>
    <row r="32" spans="1:19" s="2" customFormat="1" ht="33">
      <c r="A32" s="429">
        <v>12</v>
      </c>
      <c r="B32" s="430" t="s">
        <v>142</v>
      </c>
      <c r="C32" s="429" t="s">
        <v>6</v>
      </c>
      <c r="D32" s="429" t="s">
        <v>10</v>
      </c>
      <c r="E32" s="429" t="s">
        <v>13</v>
      </c>
      <c r="F32" s="27">
        <v>190</v>
      </c>
      <c r="G32" s="27">
        <v>180</v>
      </c>
      <c r="H32" s="429"/>
      <c r="J32" s="277"/>
      <c r="K32" s="277"/>
      <c r="L32" s="277"/>
      <c r="M32" s="277"/>
      <c r="N32" s="277"/>
      <c r="O32" s="277"/>
      <c r="P32" s="277"/>
      <c r="Q32" s="277"/>
      <c r="R32" s="277"/>
      <c r="S32" s="277"/>
    </row>
    <row r="33" spans="1:19" s="2" customFormat="1" ht="33">
      <c r="A33" s="429">
        <v>13</v>
      </c>
      <c r="B33" s="430" t="s">
        <v>312</v>
      </c>
      <c r="C33" s="429" t="s">
        <v>18</v>
      </c>
      <c r="D33" s="429" t="s">
        <v>7</v>
      </c>
      <c r="E33" s="429" t="s">
        <v>13</v>
      </c>
      <c r="F33" s="27">
        <v>190</v>
      </c>
      <c r="G33" s="27">
        <v>180</v>
      </c>
      <c r="H33" s="429"/>
      <c r="J33" s="277"/>
      <c r="K33" s="277"/>
      <c r="L33" s="277"/>
      <c r="M33" s="277"/>
      <c r="N33" s="277"/>
      <c r="O33" s="277"/>
      <c r="P33" s="277"/>
      <c r="Q33" s="277"/>
      <c r="R33" s="277"/>
      <c r="S33" s="277"/>
    </row>
    <row r="34" spans="1:19" s="2" customFormat="1">
      <c r="A34" s="429">
        <v>14</v>
      </c>
      <c r="B34" s="430" t="s">
        <v>337</v>
      </c>
      <c r="C34" s="429" t="s">
        <v>12</v>
      </c>
      <c r="D34" s="429" t="s">
        <v>7</v>
      </c>
      <c r="E34" s="429" t="s">
        <v>13</v>
      </c>
      <c r="F34" s="27">
        <v>190</v>
      </c>
      <c r="G34" s="27">
        <v>180</v>
      </c>
      <c r="H34" s="429"/>
      <c r="J34" s="277"/>
      <c r="K34" s="277"/>
      <c r="L34" s="277"/>
      <c r="M34" s="277"/>
      <c r="N34" s="277"/>
      <c r="O34" s="277"/>
      <c r="P34" s="277"/>
      <c r="Q34" s="277"/>
      <c r="R34" s="277"/>
      <c r="S34" s="277"/>
    </row>
    <row r="35" spans="1:19" s="2" customFormat="1" ht="33">
      <c r="A35" s="429">
        <v>15</v>
      </c>
      <c r="B35" s="430" t="s">
        <v>370</v>
      </c>
      <c r="C35" s="429" t="s">
        <v>14</v>
      </c>
      <c r="D35" s="429" t="s">
        <v>7</v>
      </c>
      <c r="E35" s="429" t="s">
        <v>13</v>
      </c>
      <c r="F35" s="27">
        <v>190</v>
      </c>
      <c r="G35" s="27">
        <v>180</v>
      </c>
      <c r="H35" s="429"/>
      <c r="J35" s="277"/>
      <c r="K35" s="277"/>
      <c r="L35" s="277"/>
      <c r="M35" s="277"/>
      <c r="N35" s="277"/>
      <c r="O35" s="277"/>
      <c r="P35" s="277"/>
      <c r="Q35" s="277"/>
      <c r="R35" s="277"/>
      <c r="S35" s="277"/>
    </row>
    <row r="36" spans="1:19" s="2" customFormat="1">
      <c r="A36" s="429">
        <v>16</v>
      </c>
      <c r="B36" s="430" t="s">
        <v>394</v>
      </c>
      <c r="C36" s="429" t="s">
        <v>12</v>
      </c>
      <c r="D36" s="429" t="s">
        <v>7</v>
      </c>
      <c r="E36" s="429" t="s">
        <v>13</v>
      </c>
      <c r="F36" s="27">
        <v>190</v>
      </c>
      <c r="G36" s="27">
        <v>180</v>
      </c>
      <c r="H36" s="429"/>
      <c r="J36" s="277"/>
      <c r="K36" s="277"/>
      <c r="L36" s="277"/>
      <c r="M36" s="277"/>
      <c r="N36" s="277"/>
      <c r="O36" s="277"/>
      <c r="P36" s="277"/>
      <c r="Q36" s="277"/>
      <c r="R36" s="277"/>
      <c r="S36" s="277"/>
    </row>
    <row r="37" spans="1:19" s="2" customFormat="1">
      <c r="A37" s="429">
        <v>17</v>
      </c>
      <c r="B37" s="430" t="s">
        <v>468</v>
      </c>
      <c r="C37" s="429" t="s">
        <v>18</v>
      </c>
      <c r="D37" s="429" t="s">
        <v>10</v>
      </c>
      <c r="E37" s="429" t="s">
        <v>13</v>
      </c>
      <c r="F37" s="27">
        <v>190</v>
      </c>
      <c r="G37" s="27">
        <v>180</v>
      </c>
      <c r="H37" s="429"/>
      <c r="J37" s="277"/>
      <c r="K37" s="277"/>
      <c r="L37" s="277"/>
      <c r="M37" s="277"/>
      <c r="N37" s="277"/>
      <c r="O37" s="277"/>
      <c r="P37" s="277"/>
      <c r="Q37" s="277"/>
      <c r="R37" s="277"/>
      <c r="S37" s="277"/>
    </row>
    <row r="38" spans="1:19" s="2" customFormat="1">
      <c r="A38" s="429">
        <v>18</v>
      </c>
      <c r="B38" s="430" t="s">
        <v>538</v>
      </c>
      <c r="C38" s="429" t="s">
        <v>12</v>
      </c>
      <c r="D38" s="429" t="s">
        <v>7</v>
      </c>
      <c r="E38" s="429" t="s">
        <v>13</v>
      </c>
      <c r="F38" s="27">
        <v>190</v>
      </c>
      <c r="G38" s="27">
        <v>180</v>
      </c>
      <c r="H38" s="429"/>
      <c r="J38" s="277"/>
      <c r="K38" s="277"/>
      <c r="L38" s="277"/>
      <c r="M38" s="277"/>
      <c r="N38" s="277"/>
      <c r="O38" s="277"/>
      <c r="P38" s="277"/>
      <c r="Q38" s="277"/>
      <c r="R38" s="277"/>
      <c r="S38" s="277"/>
    </row>
    <row r="39" spans="1:19" s="2" customFormat="1">
      <c r="A39" s="429">
        <v>19</v>
      </c>
      <c r="B39" s="430" t="s">
        <v>597</v>
      </c>
      <c r="C39" s="429" t="s">
        <v>14</v>
      </c>
      <c r="D39" s="429" t="s">
        <v>7</v>
      </c>
      <c r="E39" s="429" t="s">
        <v>13</v>
      </c>
      <c r="F39" s="27">
        <v>190</v>
      </c>
      <c r="G39" s="27">
        <v>180</v>
      </c>
      <c r="H39" s="429"/>
      <c r="J39" s="277"/>
      <c r="K39" s="277"/>
      <c r="L39" s="277"/>
      <c r="M39" s="277"/>
      <c r="N39" s="277"/>
      <c r="O39" s="277"/>
      <c r="P39" s="277"/>
      <c r="Q39" s="277"/>
      <c r="R39" s="277"/>
      <c r="S39" s="277"/>
    </row>
    <row r="40" spans="1:19" s="2" customFormat="1" ht="33">
      <c r="A40" s="429">
        <v>20</v>
      </c>
      <c r="B40" s="430" t="s">
        <v>609</v>
      </c>
      <c r="C40" s="429" t="s">
        <v>18</v>
      </c>
      <c r="D40" s="429" t="s">
        <v>7</v>
      </c>
      <c r="E40" s="429" t="s">
        <v>13</v>
      </c>
      <c r="F40" s="27">
        <v>190</v>
      </c>
      <c r="G40" s="27">
        <v>180</v>
      </c>
      <c r="H40" s="429"/>
      <c r="J40" s="277"/>
      <c r="K40" s="277"/>
      <c r="L40" s="277"/>
      <c r="M40" s="277"/>
      <c r="N40" s="277"/>
      <c r="O40" s="277"/>
      <c r="P40" s="277"/>
      <c r="Q40" s="277"/>
      <c r="R40" s="277"/>
      <c r="S40" s="277"/>
    </row>
    <row r="41" spans="1:19" s="2" customFormat="1">
      <c r="A41" s="429">
        <v>21</v>
      </c>
      <c r="B41" s="430" t="s">
        <v>618</v>
      </c>
      <c r="C41" s="429" t="s">
        <v>14</v>
      </c>
      <c r="D41" s="429" t="s">
        <v>7</v>
      </c>
      <c r="E41" s="429" t="s">
        <v>13</v>
      </c>
      <c r="F41" s="27">
        <v>190</v>
      </c>
      <c r="G41" s="27">
        <v>180</v>
      </c>
      <c r="H41" s="429"/>
      <c r="J41" s="277"/>
      <c r="K41" s="277"/>
      <c r="L41" s="277"/>
      <c r="M41" s="277"/>
      <c r="N41" s="277"/>
      <c r="O41" s="277"/>
      <c r="P41" s="277"/>
      <c r="Q41" s="277"/>
      <c r="R41" s="277"/>
      <c r="S41" s="277"/>
    </row>
    <row r="42" spans="1:19" s="2" customFormat="1" ht="33">
      <c r="A42" s="429">
        <v>22</v>
      </c>
      <c r="B42" s="430" t="s">
        <v>625</v>
      </c>
      <c r="C42" s="429" t="s">
        <v>14</v>
      </c>
      <c r="D42" s="429" t="s">
        <v>7</v>
      </c>
      <c r="E42" s="429" t="s">
        <v>13</v>
      </c>
      <c r="F42" s="27">
        <v>190</v>
      </c>
      <c r="G42" s="27">
        <v>180</v>
      </c>
      <c r="H42" s="429"/>
      <c r="J42" s="277"/>
      <c r="K42" s="277"/>
      <c r="L42" s="277"/>
      <c r="M42" s="277"/>
      <c r="N42" s="277"/>
      <c r="O42" s="277"/>
      <c r="P42" s="277"/>
      <c r="Q42" s="277"/>
      <c r="R42" s="277"/>
      <c r="S42" s="277"/>
    </row>
    <row r="43" spans="1:19" s="2" customFormat="1">
      <c r="A43" s="429">
        <v>23</v>
      </c>
      <c r="B43" s="430" t="s">
        <v>626</v>
      </c>
      <c r="C43" s="429" t="s">
        <v>16</v>
      </c>
      <c r="D43" s="429" t="s">
        <v>7</v>
      </c>
      <c r="E43" s="429" t="s">
        <v>13</v>
      </c>
      <c r="F43" s="27">
        <v>190</v>
      </c>
      <c r="G43" s="27">
        <v>180</v>
      </c>
      <c r="H43" s="429"/>
      <c r="J43" s="277"/>
      <c r="K43" s="277"/>
      <c r="L43" s="277"/>
      <c r="M43" s="277"/>
      <c r="N43" s="277"/>
      <c r="O43" s="277"/>
      <c r="P43" s="277"/>
      <c r="Q43" s="277"/>
      <c r="R43" s="277"/>
      <c r="S43" s="277"/>
    </row>
    <row r="44" spans="1:19" s="2" customFormat="1">
      <c r="A44" s="429">
        <v>24</v>
      </c>
      <c r="B44" s="430" t="s">
        <v>641</v>
      </c>
      <c r="C44" s="429" t="s">
        <v>15</v>
      </c>
      <c r="D44" s="429" t="s">
        <v>10</v>
      </c>
      <c r="E44" s="429" t="s">
        <v>13</v>
      </c>
      <c r="F44" s="27">
        <v>190</v>
      </c>
      <c r="G44" s="27">
        <v>180</v>
      </c>
      <c r="H44" s="429"/>
      <c r="J44" s="277"/>
      <c r="K44" s="277"/>
      <c r="L44" s="277"/>
      <c r="M44" s="277"/>
      <c r="N44" s="277"/>
      <c r="O44" s="277"/>
      <c r="P44" s="277"/>
      <c r="Q44" s="277"/>
      <c r="R44" s="277"/>
      <c r="S44" s="277"/>
    </row>
    <row r="45" spans="1:19" s="2" customFormat="1" ht="33">
      <c r="A45" s="429">
        <v>25</v>
      </c>
      <c r="B45" s="430" t="s">
        <v>667</v>
      </c>
      <c r="C45" s="429" t="s">
        <v>14</v>
      </c>
      <c r="D45" s="429" t="s">
        <v>10</v>
      </c>
      <c r="E45" s="429" t="s">
        <v>13</v>
      </c>
      <c r="F45" s="27">
        <v>190</v>
      </c>
      <c r="G45" s="27">
        <v>180</v>
      </c>
      <c r="H45" s="429"/>
      <c r="J45" s="277"/>
      <c r="K45" s="277"/>
      <c r="L45" s="277"/>
      <c r="M45" s="277"/>
      <c r="N45" s="277"/>
      <c r="O45" s="277"/>
      <c r="P45" s="277"/>
      <c r="Q45" s="277"/>
      <c r="R45" s="277"/>
      <c r="S45" s="277"/>
    </row>
    <row r="46" spans="1:19" s="2" customFormat="1" ht="33">
      <c r="A46" s="429">
        <v>26</v>
      </c>
      <c r="B46" s="430" t="s">
        <v>846</v>
      </c>
      <c r="C46" s="429" t="s">
        <v>14</v>
      </c>
      <c r="D46" s="429" t="s">
        <v>7</v>
      </c>
      <c r="E46" s="429" t="s">
        <v>13</v>
      </c>
      <c r="F46" s="27">
        <v>190</v>
      </c>
      <c r="G46" s="27">
        <v>180</v>
      </c>
      <c r="H46" s="429"/>
      <c r="J46" s="277"/>
      <c r="K46" s="277"/>
      <c r="L46" s="277"/>
      <c r="M46" s="277"/>
      <c r="N46" s="277"/>
      <c r="O46" s="277"/>
      <c r="P46" s="277"/>
      <c r="Q46" s="277"/>
      <c r="R46" s="277"/>
      <c r="S46" s="277"/>
    </row>
    <row r="47" spans="1:19" s="2" customFormat="1">
      <c r="A47" s="429">
        <v>27</v>
      </c>
      <c r="B47" s="430" t="s">
        <v>892</v>
      </c>
      <c r="C47" s="429" t="s">
        <v>12</v>
      </c>
      <c r="D47" s="429" t="s">
        <v>7</v>
      </c>
      <c r="E47" s="429" t="s">
        <v>13</v>
      </c>
      <c r="F47" s="27">
        <v>190</v>
      </c>
      <c r="G47" s="27">
        <v>180</v>
      </c>
      <c r="H47" s="429"/>
      <c r="J47" s="277"/>
      <c r="K47" s="277"/>
      <c r="L47" s="277"/>
      <c r="M47" s="277"/>
      <c r="N47" s="277"/>
      <c r="O47" s="277"/>
      <c r="P47" s="277"/>
      <c r="Q47" s="277"/>
      <c r="R47" s="277"/>
      <c r="S47" s="277"/>
    </row>
    <row r="48" spans="1:19" s="2" customFormat="1">
      <c r="A48" s="429">
        <v>28</v>
      </c>
      <c r="B48" s="430" t="s">
        <v>915</v>
      </c>
      <c r="C48" s="429" t="s">
        <v>14</v>
      </c>
      <c r="D48" s="429" t="s">
        <v>10</v>
      </c>
      <c r="E48" s="429" t="s">
        <v>13</v>
      </c>
      <c r="F48" s="27">
        <v>190</v>
      </c>
      <c r="G48" s="27">
        <v>180</v>
      </c>
      <c r="H48" s="429"/>
      <c r="J48" s="277"/>
      <c r="K48" s="277"/>
      <c r="L48" s="277"/>
      <c r="M48" s="277"/>
      <c r="N48" s="277"/>
      <c r="O48" s="277"/>
      <c r="P48" s="277"/>
      <c r="Q48" s="277"/>
      <c r="R48" s="277"/>
      <c r="S48" s="277"/>
    </row>
    <row r="49" spans="1:19" s="2" customFormat="1">
      <c r="A49" s="429">
        <v>29</v>
      </c>
      <c r="B49" s="430" t="s">
        <v>866</v>
      </c>
      <c r="C49" s="429" t="s">
        <v>12</v>
      </c>
      <c r="D49" s="429" t="s">
        <v>7</v>
      </c>
      <c r="E49" s="429" t="s">
        <v>13</v>
      </c>
      <c r="F49" s="27">
        <v>180</v>
      </c>
      <c r="G49" s="31">
        <f>F49</f>
        <v>180</v>
      </c>
      <c r="H49" s="429"/>
      <c r="J49" s="277"/>
      <c r="K49" s="277"/>
      <c r="L49" s="278"/>
      <c r="M49" s="278"/>
      <c r="N49" s="278"/>
      <c r="O49" s="278"/>
      <c r="P49" s="278"/>
      <c r="Q49" s="278"/>
      <c r="R49" s="278"/>
      <c r="S49" s="278"/>
    </row>
    <row r="50" spans="1:19" s="2" customFormat="1" ht="33">
      <c r="A50" s="429">
        <v>30</v>
      </c>
      <c r="B50" s="430" t="s">
        <v>100</v>
      </c>
      <c r="C50" s="429" t="s">
        <v>6</v>
      </c>
      <c r="D50" s="429" t="s">
        <v>10</v>
      </c>
      <c r="E50" s="429" t="s">
        <v>13</v>
      </c>
      <c r="F50" s="27">
        <v>190</v>
      </c>
      <c r="G50" s="27">
        <v>180</v>
      </c>
      <c r="H50" s="429"/>
      <c r="J50" s="277"/>
      <c r="K50" s="277"/>
      <c r="L50" s="277"/>
      <c r="M50" s="277"/>
      <c r="N50" s="277"/>
      <c r="O50" s="277"/>
      <c r="P50" s="277"/>
      <c r="Q50" s="277"/>
      <c r="R50" s="277"/>
      <c r="S50" s="277"/>
    </row>
    <row r="51" spans="1:19" s="2" customFormat="1">
      <c r="A51" s="429">
        <v>31</v>
      </c>
      <c r="B51" s="430" t="s">
        <v>117</v>
      </c>
      <c r="C51" s="429" t="s">
        <v>18</v>
      </c>
      <c r="D51" s="429" t="s">
        <v>10</v>
      </c>
      <c r="E51" s="429" t="s">
        <v>13</v>
      </c>
      <c r="F51" s="27">
        <v>190</v>
      </c>
      <c r="G51" s="27">
        <v>180</v>
      </c>
      <c r="H51" s="429"/>
      <c r="J51" s="277"/>
      <c r="K51" s="277"/>
      <c r="L51" s="277"/>
      <c r="M51" s="277"/>
      <c r="N51" s="277"/>
      <c r="O51" s="277"/>
      <c r="P51" s="277"/>
      <c r="Q51" s="277"/>
      <c r="R51" s="277"/>
      <c r="S51" s="277"/>
    </row>
    <row r="52" spans="1:19" s="2" customFormat="1" ht="33">
      <c r="A52" s="429">
        <v>32</v>
      </c>
      <c r="B52" s="430" t="s">
        <v>139</v>
      </c>
      <c r="C52" s="429" t="s">
        <v>18</v>
      </c>
      <c r="D52" s="429" t="s">
        <v>7</v>
      </c>
      <c r="E52" s="429" t="s">
        <v>13</v>
      </c>
      <c r="F52" s="27">
        <v>190</v>
      </c>
      <c r="G52" s="27">
        <v>180</v>
      </c>
      <c r="H52" s="429"/>
      <c r="J52" s="277"/>
      <c r="K52" s="277"/>
      <c r="L52" s="277"/>
      <c r="M52" s="277"/>
      <c r="N52" s="277"/>
      <c r="O52" s="277"/>
      <c r="P52" s="277"/>
      <c r="Q52" s="277"/>
      <c r="R52" s="277"/>
      <c r="S52" s="277"/>
    </row>
    <row r="53" spans="1:19" s="2" customFormat="1">
      <c r="A53" s="429">
        <v>33</v>
      </c>
      <c r="B53" s="430" t="s">
        <v>144</v>
      </c>
      <c r="C53" s="429" t="s">
        <v>15</v>
      </c>
      <c r="D53" s="429" t="s">
        <v>7</v>
      </c>
      <c r="E53" s="429" t="s">
        <v>13</v>
      </c>
      <c r="F53" s="27">
        <v>190</v>
      </c>
      <c r="G53" s="27">
        <v>180</v>
      </c>
      <c r="H53" s="429"/>
      <c r="J53" s="277"/>
      <c r="K53" s="277"/>
      <c r="L53" s="277"/>
      <c r="M53" s="277"/>
      <c r="N53" s="277"/>
      <c r="O53" s="277"/>
      <c r="P53" s="277"/>
      <c r="Q53" s="277"/>
      <c r="R53" s="277"/>
      <c r="S53" s="277"/>
    </row>
    <row r="54" spans="1:19" s="2" customFormat="1">
      <c r="A54" s="429">
        <v>34</v>
      </c>
      <c r="B54" s="430" t="s">
        <v>147</v>
      </c>
      <c r="C54" s="429" t="s">
        <v>14</v>
      </c>
      <c r="D54" s="429" t="s">
        <v>7</v>
      </c>
      <c r="E54" s="429" t="s">
        <v>13</v>
      </c>
      <c r="F54" s="27">
        <v>190</v>
      </c>
      <c r="G54" s="27">
        <v>180</v>
      </c>
      <c r="H54" s="429"/>
      <c r="J54" s="277"/>
      <c r="K54" s="277"/>
      <c r="L54" s="277"/>
      <c r="M54" s="277"/>
      <c r="N54" s="277"/>
      <c r="O54" s="277"/>
      <c r="P54" s="277"/>
      <c r="Q54" s="277"/>
      <c r="R54" s="277"/>
      <c r="S54" s="277"/>
    </row>
    <row r="55" spans="1:19" s="2" customFormat="1">
      <c r="A55" s="429">
        <v>35</v>
      </c>
      <c r="B55" s="430" t="s">
        <v>157</v>
      </c>
      <c r="C55" s="429" t="s">
        <v>18</v>
      </c>
      <c r="D55" s="429" t="s">
        <v>7</v>
      </c>
      <c r="E55" s="429" t="s">
        <v>13</v>
      </c>
      <c r="F55" s="27">
        <v>190</v>
      </c>
      <c r="G55" s="27">
        <v>180</v>
      </c>
      <c r="H55" s="429"/>
      <c r="J55" s="277"/>
      <c r="K55" s="277"/>
      <c r="L55" s="277"/>
      <c r="M55" s="277"/>
      <c r="N55" s="277"/>
      <c r="O55" s="277"/>
      <c r="P55" s="277"/>
      <c r="Q55" s="277"/>
      <c r="R55" s="277"/>
      <c r="S55" s="277"/>
    </row>
    <row r="56" spans="1:19" s="2" customFormat="1">
      <c r="A56" s="429">
        <v>36</v>
      </c>
      <c r="B56" s="430" t="s">
        <v>178</v>
      </c>
      <c r="C56" s="429" t="s">
        <v>12</v>
      </c>
      <c r="D56" s="429" t="s">
        <v>7</v>
      </c>
      <c r="E56" s="429" t="s">
        <v>13</v>
      </c>
      <c r="F56" s="27">
        <v>190</v>
      </c>
      <c r="G56" s="27">
        <v>180</v>
      </c>
      <c r="H56" s="429"/>
      <c r="J56" s="277"/>
      <c r="K56" s="277"/>
      <c r="L56" s="277"/>
      <c r="M56" s="277"/>
      <c r="N56" s="277"/>
      <c r="O56" s="277"/>
      <c r="P56" s="277"/>
      <c r="Q56" s="277"/>
      <c r="R56" s="277"/>
      <c r="S56" s="277"/>
    </row>
    <row r="57" spans="1:19" s="2" customFormat="1">
      <c r="A57" s="429">
        <v>37</v>
      </c>
      <c r="B57" s="430" t="s">
        <v>179</v>
      </c>
      <c r="C57" s="429" t="s">
        <v>18</v>
      </c>
      <c r="D57" s="429" t="s">
        <v>10</v>
      </c>
      <c r="E57" s="429" t="s">
        <v>13</v>
      </c>
      <c r="F57" s="27">
        <v>190</v>
      </c>
      <c r="G57" s="27">
        <v>180</v>
      </c>
      <c r="H57" s="429"/>
      <c r="J57" s="277"/>
      <c r="K57" s="277"/>
      <c r="L57" s="277"/>
      <c r="M57" s="277"/>
      <c r="N57" s="277"/>
      <c r="O57" s="277"/>
      <c r="P57" s="277"/>
      <c r="Q57" s="277"/>
      <c r="R57" s="277"/>
      <c r="S57" s="277"/>
    </row>
    <row r="58" spans="1:19" s="2" customFormat="1">
      <c r="A58" s="429">
        <v>38</v>
      </c>
      <c r="B58" s="430" t="s">
        <v>210</v>
      </c>
      <c r="C58" s="429" t="s">
        <v>6</v>
      </c>
      <c r="D58" s="429" t="s">
        <v>10</v>
      </c>
      <c r="E58" s="429" t="s">
        <v>13</v>
      </c>
      <c r="F58" s="27">
        <v>190</v>
      </c>
      <c r="G58" s="27">
        <v>180</v>
      </c>
      <c r="H58" s="429"/>
      <c r="J58" s="277"/>
      <c r="K58" s="277"/>
      <c r="L58" s="277"/>
      <c r="M58" s="277"/>
      <c r="N58" s="277"/>
      <c r="O58" s="277"/>
      <c r="P58" s="277"/>
      <c r="Q58" s="277"/>
      <c r="R58" s="277"/>
      <c r="S58" s="277"/>
    </row>
    <row r="59" spans="1:19" s="2" customFormat="1">
      <c r="A59" s="429">
        <v>39</v>
      </c>
      <c r="B59" s="430" t="s">
        <v>226</v>
      </c>
      <c r="C59" s="429" t="s">
        <v>18</v>
      </c>
      <c r="D59" s="429" t="s">
        <v>7</v>
      </c>
      <c r="E59" s="429" t="s">
        <v>13</v>
      </c>
      <c r="F59" s="27">
        <v>190</v>
      </c>
      <c r="G59" s="27">
        <v>180</v>
      </c>
      <c r="H59" s="429"/>
      <c r="J59" s="277"/>
      <c r="K59" s="277"/>
      <c r="L59" s="277"/>
      <c r="M59" s="277"/>
      <c r="N59" s="277"/>
      <c r="O59" s="277"/>
      <c r="P59" s="277"/>
      <c r="Q59" s="277"/>
      <c r="R59" s="277"/>
      <c r="S59" s="277"/>
    </row>
    <row r="60" spans="1:19" s="2" customFormat="1">
      <c r="A60" s="429">
        <v>40</v>
      </c>
      <c r="B60" s="430" t="s">
        <v>239</v>
      </c>
      <c r="C60" s="429" t="s">
        <v>18</v>
      </c>
      <c r="D60" s="429" t="s">
        <v>10</v>
      </c>
      <c r="E60" s="429" t="s">
        <v>13</v>
      </c>
      <c r="F60" s="27">
        <v>190</v>
      </c>
      <c r="G60" s="27">
        <v>180</v>
      </c>
      <c r="H60" s="429"/>
      <c r="J60" s="277"/>
      <c r="K60" s="277"/>
      <c r="L60" s="277"/>
      <c r="M60" s="277"/>
      <c r="N60" s="277"/>
      <c r="O60" s="277"/>
      <c r="P60" s="277"/>
      <c r="Q60" s="277"/>
      <c r="R60" s="277"/>
      <c r="S60" s="277"/>
    </row>
    <row r="61" spans="1:19" s="2" customFormat="1" ht="33">
      <c r="A61" s="429">
        <v>41</v>
      </c>
      <c r="B61" s="430" t="s">
        <v>310</v>
      </c>
      <c r="C61" s="429" t="s">
        <v>15</v>
      </c>
      <c r="D61" s="429" t="s">
        <v>10</v>
      </c>
      <c r="E61" s="429" t="s">
        <v>13</v>
      </c>
      <c r="F61" s="27">
        <v>190</v>
      </c>
      <c r="G61" s="27">
        <v>180</v>
      </c>
      <c r="H61" s="429"/>
      <c r="J61" s="277"/>
      <c r="K61" s="277"/>
      <c r="L61" s="277"/>
      <c r="M61" s="277"/>
      <c r="N61" s="277"/>
      <c r="O61" s="277"/>
      <c r="P61" s="277"/>
      <c r="Q61" s="277"/>
      <c r="R61" s="277"/>
      <c r="S61" s="277"/>
    </row>
    <row r="62" spans="1:19" s="2" customFormat="1">
      <c r="A62" s="429">
        <v>42</v>
      </c>
      <c r="B62" s="430" t="s">
        <v>311</v>
      </c>
      <c r="C62" s="429" t="s">
        <v>14</v>
      </c>
      <c r="D62" s="429" t="s">
        <v>7</v>
      </c>
      <c r="E62" s="429" t="s">
        <v>13</v>
      </c>
      <c r="F62" s="27">
        <v>190</v>
      </c>
      <c r="G62" s="27">
        <v>180</v>
      </c>
      <c r="H62" s="429"/>
      <c r="J62" s="277"/>
      <c r="K62" s="277"/>
      <c r="L62" s="277"/>
      <c r="M62" s="277"/>
      <c r="N62" s="277"/>
      <c r="O62" s="277"/>
      <c r="P62" s="277"/>
      <c r="Q62" s="277"/>
      <c r="R62" s="277"/>
      <c r="S62" s="277"/>
    </row>
    <row r="63" spans="1:19" s="2" customFormat="1">
      <c r="A63" s="429">
        <v>43</v>
      </c>
      <c r="B63" s="430" t="s">
        <v>316</v>
      </c>
      <c r="C63" s="429" t="s">
        <v>6</v>
      </c>
      <c r="D63" s="429" t="s">
        <v>7</v>
      </c>
      <c r="E63" s="429" t="s">
        <v>13</v>
      </c>
      <c r="F63" s="27">
        <v>190</v>
      </c>
      <c r="G63" s="27">
        <v>180</v>
      </c>
      <c r="H63" s="429"/>
      <c r="J63" s="277"/>
      <c r="K63" s="277"/>
      <c r="L63" s="277"/>
      <c r="M63" s="277"/>
      <c r="N63" s="277"/>
      <c r="O63" s="277"/>
      <c r="P63" s="277"/>
      <c r="Q63" s="277"/>
      <c r="R63" s="277"/>
      <c r="S63" s="277"/>
    </row>
    <row r="64" spans="1:19" s="2" customFormat="1">
      <c r="A64" s="429">
        <v>44</v>
      </c>
      <c r="B64" s="430" t="s">
        <v>317</v>
      </c>
      <c r="C64" s="429" t="s">
        <v>14</v>
      </c>
      <c r="D64" s="429" t="s">
        <v>7</v>
      </c>
      <c r="E64" s="429" t="s">
        <v>13</v>
      </c>
      <c r="F64" s="27">
        <v>190</v>
      </c>
      <c r="G64" s="27">
        <v>180</v>
      </c>
      <c r="H64" s="429"/>
      <c r="J64" s="277"/>
      <c r="K64" s="277"/>
      <c r="L64" s="277"/>
      <c r="M64" s="277"/>
      <c r="N64" s="277"/>
      <c r="O64" s="277"/>
      <c r="P64" s="277"/>
      <c r="Q64" s="277"/>
      <c r="R64" s="277"/>
      <c r="S64" s="277"/>
    </row>
    <row r="65" spans="1:19" s="2" customFormat="1">
      <c r="A65" s="429">
        <v>45</v>
      </c>
      <c r="B65" s="430" t="s">
        <v>319</v>
      </c>
      <c r="C65" s="429" t="s">
        <v>14</v>
      </c>
      <c r="D65" s="429" t="s">
        <v>10</v>
      </c>
      <c r="E65" s="429" t="s">
        <v>13</v>
      </c>
      <c r="F65" s="27">
        <v>190</v>
      </c>
      <c r="G65" s="27">
        <v>180</v>
      </c>
      <c r="H65" s="429"/>
      <c r="J65" s="277"/>
      <c r="K65" s="277"/>
      <c r="L65" s="277"/>
      <c r="M65" s="277"/>
      <c r="N65" s="277"/>
      <c r="O65" s="277"/>
      <c r="P65" s="277"/>
      <c r="Q65" s="277"/>
      <c r="R65" s="277"/>
      <c r="S65" s="277"/>
    </row>
    <row r="66" spans="1:19" s="2" customFormat="1" ht="33">
      <c r="A66" s="429">
        <v>46</v>
      </c>
      <c r="B66" s="430" t="s">
        <v>327</v>
      </c>
      <c r="C66" s="429" t="s">
        <v>14</v>
      </c>
      <c r="D66" s="429" t="s">
        <v>7</v>
      </c>
      <c r="E66" s="429" t="s">
        <v>13</v>
      </c>
      <c r="F66" s="27">
        <v>190</v>
      </c>
      <c r="G66" s="27">
        <v>180</v>
      </c>
      <c r="H66" s="429"/>
      <c r="J66" s="277"/>
      <c r="K66" s="277"/>
      <c r="L66" s="277"/>
      <c r="M66" s="277"/>
      <c r="N66" s="277"/>
      <c r="O66" s="277"/>
      <c r="P66" s="277"/>
      <c r="Q66" s="277"/>
      <c r="R66" s="277"/>
      <c r="S66" s="277"/>
    </row>
    <row r="67" spans="1:19" s="2" customFormat="1">
      <c r="A67" s="429">
        <v>47</v>
      </c>
      <c r="B67" s="430" t="s">
        <v>330</v>
      </c>
      <c r="C67" s="429" t="s">
        <v>14</v>
      </c>
      <c r="D67" s="429" t="s">
        <v>7</v>
      </c>
      <c r="E67" s="429" t="s">
        <v>13</v>
      </c>
      <c r="F67" s="27">
        <v>190</v>
      </c>
      <c r="G67" s="27">
        <v>180</v>
      </c>
      <c r="H67" s="429"/>
      <c r="J67" s="277"/>
      <c r="K67" s="277"/>
      <c r="L67" s="277"/>
      <c r="M67" s="277"/>
      <c r="N67" s="277"/>
      <c r="O67" s="277"/>
      <c r="P67" s="277"/>
      <c r="Q67" s="277"/>
      <c r="R67" s="277"/>
      <c r="S67" s="277"/>
    </row>
    <row r="68" spans="1:19" s="2" customFormat="1">
      <c r="A68" s="429">
        <v>48</v>
      </c>
      <c r="B68" s="430" t="s">
        <v>332</v>
      </c>
      <c r="C68" s="429" t="s">
        <v>15</v>
      </c>
      <c r="D68" s="429" t="s">
        <v>10</v>
      </c>
      <c r="E68" s="429" t="s">
        <v>13</v>
      </c>
      <c r="F68" s="27">
        <v>190</v>
      </c>
      <c r="G68" s="27">
        <v>180</v>
      </c>
      <c r="H68" s="429"/>
      <c r="J68" s="277"/>
      <c r="K68" s="277"/>
      <c r="L68" s="277"/>
      <c r="M68" s="277"/>
      <c r="N68" s="277"/>
      <c r="O68" s="277"/>
      <c r="P68" s="277"/>
      <c r="Q68" s="277"/>
      <c r="R68" s="277"/>
      <c r="S68" s="277"/>
    </row>
    <row r="69" spans="1:19" s="2" customFormat="1">
      <c r="A69" s="429">
        <v>49</v>
      </c>
      <c r="B69" s="430" t="s">
        <v>347</v>
      </c>
      <c r="C69" s="429" t="s">
        <v>18</v>
      </c>
      <c r="D69" s="429" t="s">
        <v>7</v>
      </c>
      <c r="E69" s="429" t="s">
        <v>13</v>
      </c>
      <c r="F69" s="27">
        <v>190</v>
      </c>
      <c r="G69" s="27">
        <v>180</v>
      </c>
      <c r="H69" s="429"/>
      <c r="J69" s="277"/>
      <c r="K69" s="277"/>
      <c r="L69" s="277"/>
      <c r="M69" s="277"/>
      <c r="N69" s="277"/>
      <c r="O69" s="277"/>
      <c r="P69" s="277"/>
      <c r="Q69" s="277"/>
      <c r="R69" s="277"/>
      <c r="S69" s="277"/>
    </row>
    <row r="70" spans="1:19" s="2" customFormat="1">
      <c r="A70" s="429">
        <v>50</v>
      </c>
      <c r="B70" s="430" t="s">
        <v>356</v>
      </c>
      <c r="C70" s="429" t="s">
        <v>18</v>
      </c>
      <c r="D70" s="429" t="s">
        <v>7</v>
      </c>
      <c r="E70" s="429" t="s">
        <v>13</v>
      </c>
      <c r="F70" s="27">
        <v>190</v>
      </c>
      <c r="G70" s="27">
        <v>180</v>
      </c>
      <c r="H70" s="429"/>
      <c r="J70" s="277"/>
      <c r="K70" s="277"/>
      <c r="L70" s="277"/>
      <c r="M70" s="277"/>
      <c r="N70" s="277"/>
      <c r="O70" s="277"/>
      <c r="P70" s="277"/>
      <c r="Q70" s="277"/>
      <c r="R70" s="277"/>
      <c r="S70" s="277"/>
    </row>
    <row r="71" spans="1:19" s="2" customFormat="1" ht="33">
      <c r="A71" s="429">
        <v>51</v>
      </c>
      <c r="B71" s="430" t="s">
        <v>361</v>
      </c>
      <c r="C71" s="429" t="s">
        <v>6</v>
      </c>
      <c r="D71" s="429" t="s">
        <v>10</v>
      </c>
      <c r="E71" s="429" t="s">
        <v>13</v>
      </c>
      <c r="F71" s="27">
        <v>190</v>
      </c>
      <c r="G71" s="27">
        <v>180</v>
      </c>
      <c r="H71" s="429"/>
      <c r="J71" s="277"/>
      <c r="K71" s="277"/>
      <c r="L71" s="277"/>
      <c r="M71" s="277"/>
      <c r="N71" s="277"/>
      <c r="O71" s="277"/>
      <c r="P71" s="277"/>
      <c r="Q71" s="277"/>
      <c r="R71" s="277"/>
      <c r="S71" s="277"/>
    </row>
    <row r="72" spans="1:19" s="2" customFormat="1">
      <c r="A72" s="429">
        <v>52</v>
      </c>
      <c r="B72" s="430" t="s">
        <v>362</v>
      </c>
      <c r="C72" s="429" t="s">
        <v>15</v>
      </c>
      <c r="D72" s="429" t="s">
        <v>10</v>
      </c>
      <c r="E72" s="429" t="s">
        <v>13</v>
      </c>
      <c r="F72" s="27">
        <v>190</v>
      </c>
      <c r="G72" s="27">
        <v>180</v>
      </c>
      <c r="H72" s="429"/>
      <c r="J72" s="277"/>
      <c r="K72" s="277"/>
      <c r="L72" s="277"/>
      <c r="M72" s="277"/>
      <c r="N72" s="277"/>
      <c r="O72" s="277"/>
      <c r="P72" s="277"/>
      <c r="Q72" s="277"/>
      <c r="R72" s="277"/>
      <c r="S72" s="277"/>
    </row>
    <row r="73" spans="1:19" s="2" customFormat="1" ht="33">
      <c r="A73" s="429">
        <v>53</v>
      </c>
      <c r="B73" s="430" t="s">
        <v>364</v>
      </c>
      <c r="C73" s="429" t="s">
        <v>15</v>
      </c>
      <c r="D73" s="429" t="s">
        <v>27</v>
      </c>
      <c r="E73" s="429" t="s">
        <v>13</v>
      </c>
      <c r="F73" s="27">
        <v>190</v>
      </c>
      <c r="G73" s="27">
        <v>180</v>
      </c>
      <c r="H73" s="429"/>
      <c r="J73" s="277"/>
      <c r="K73" s="277"/>
      <c r="L73" s="277"/>
      <c r="M73" s="277"/>
      <c r="N73" s="277"/>
      <c r="O73" s="277"/>
      <c r="P73" s="277"/>
      <c r="Q73" s="277"/>
      <c r="R73" s="277"/>
      <c r="S73" s="277"/>
    </row>
    <row r="74" spans="1:19" s="2" customFormat="1">
      <c r="A74" s="429">
        <v>54</v>
      </c>
      <c r="B74" s="430" t="s">
        <v>366</v>
      </c>
      <c r="C74" s="429" t="s">
        <v>6</v>
      </c>
      <c r="D74" s="429" t="s">
        <v>7</v>
      </c>
      <c r="E74" s="429" t="s">
        <v>13</v>
      </c>
      <c r="F74" s="27">
        <v>190</v>
      </c>
      <c r="G74" s="27">
        <v>180</v>
      </c>
      <c r="H74" s="429"/>
      <c r="J74" s="277"/>
      <c r="K74" s="277"/>
      <c r="L74" s="277"/>
      <c r="M74" s="277"/>
      <c r="N74" s="277"/>
      <c r="O74" s="277"/>
      <c r="P74" s="277"/>
      <c r="Q74" s="277"/>
      <c r="R74" s="277"/>
      <c r="S74" s="277"/>
    </row>
    <row r="75" spans="1:19" s="2" customFormat="1" ht="33">
      <c r="A75" s="429">
        <v>55</v>
      </c>
      <c r="B75" s="430" t="s">
        <v>432</v>
      </c>
      <c r="C75" s="429" t="s">
        <v>14</v>
      </c>
      <c r="D75" s="429" t="s">
        <v>7</v>
      </c>
      <c r="E75" s="429" t="s">
        <v>13</v>
      </c>
      <c r="F75" s="27">
        <v>190</v>
      </c>
      <c r="G75" s="27">
        <v>180</v>
      </c>
      <c r="H75" s="429"/>
      <c r="J75" s="277"/>
      <c r="K75" s="277"/>
      <c r="L75" s="277"/>
      <c r="M75" s="277"/>
      <c r="N75" s="277"/>
      <c r="O75" s="277"/>
      <c r="P75" s="277"/>
      <c r="Q75" s="277"/>
      <c r="R75" s="277"/>
      <c r="S75" s="277"/>
    </row>
    <row r="76" spans="1:19" s="2" customFormat="1" ht="33">
      <c r="A76" s="429">
        <v>56</v>
      </c>
      <c r="B76" s="430" t="s">
        <v>436</v>
      </c>
      <c r="C76" s="429" t="s">
        <v>14</v>
      </c>
      <c r="D76" s="429" t="s">
        <v>7</v>
      </c>
      <c r="E76" s="429" t="s">
        <v>13</v>
      </c>
      <c r="F76" s="27">
        <v>190</v>
      </c>
      <c r="G76" s="27">
        <v>180</v>
      </c>
      <c r="H76" s="429"/>
      <c r="J76" s="277"/>
      <c r="K76" s="277"/>
      <c r="L76" s="277"/>
      <c r="M76" s="277"/>
      <c r="N76" s="277"/>
      <c r="O76" s="277"/>
      <c r="P76" s="277"/>
      <c r="Q76" s="277"/>
      <c r="R76" s="277"/>
      <c r="S76" s="277"/>
    </row>
    <row r="77" spans="1:19" s="8" customFormat="1">
      <c r="A77" s="429">
        <v>57</v>
      </c>
      <c r="B77" s="430" t="s">
        <v>439</v>
      </c>
      <c r="C77" s="429" t="s">
        <v>6</v>
      </c>
      <c r="D77" s="429" t="s">
        <v>10</v>
      </c>
      <c r="E77" s="429" t="s">
        <v>13</v>
      </c>
      <c r="F77" s="27">
        <v>190</v>
      </c>
      <c r="G77" s="27">
        <v>180</v>
      </c>
      <c r="H77" s="429"/>
      <c r="I77" s="2"/>
      <c r="J77" s="277"/>
      <c r="K77" s="277"/>
      <c r="L77" s="277"/>
      <c r="M77" s="277"/>
      <c r="N77" s="277"/>
      <c r="O77" s="277"/>
      <c r="P77" s="277"/>
      <c r="Q77" s="277"/>
      <c r="R77" s="277"/>
      <c r="S77" s="277"/>
    </row>
    <row r="78" spans="1:19" s="8" customFormat="1" ht="33">
      <c r="A78" s="429">
        <v>58</v>
      </c>
      <c r="B78" s="430" t="s">
        <v>443</v>
      </c>
      <c r="C78" s="429" t="s">
        <v>18</v>
      </c>
      <c r="D78" s="429" t="s">
        <v>7</v>
      </c>
      <c r="E78" s="429" t="s">
        <v>13</v>
      </c>
      <c r="F78" s="27">
        <v>190</v>
      </c>
      <c r="G78" s="27">
        <v>180</v>
      </c>
      <c r="H78" s="429"/>
      <c r="I78" s="2"/>
      <c r="J78" s="277"/>
      <c r="K78" s="277"/>
      <c r="L78" s="277"/>
      <c r="M78" s="277"/>
      <c r="N78" s="277"/>
      <c r="O78" s="277"/>
      <c r="P78" s="277"/>
      <c r="Q78" s="277"/>
      <c r="R78" s="277"/>
      <c r="S78" s="277"/>
    </row>
    <row r="79" spans="1:19" s="8" customFormat="1" ht="33">
      <c r="A79" s="429">
        <v>59</v>
      </c>
      <c r="B79" s="430" t="s">
        <v>448</v>
      </c>
      <c r="C79" s="429" t="s">
        <v>14</v>
      </c>
      <c r="D79" s="429" t="s">
        <v>7</v>
      </c>
      <c r="E79" s="429" t="s">
        <v>13</v>
      </c>
      <c r="F79" s="27">
        <v>190</v>
      </c>
      <c r="G79" s="27">
        <v>180</v>
      </c>
      <c r="H79" s="429"/>
      <c r="I79" s="2"/>
      <c r="J79" s="277"/>
      <c r="K79" s="277"/>
      <c r="L79" s="277"/>
      <c r="M79" s="277"/>
      <c r="N79" s="277"/>
      <c r="O79" s="277"/>
      <c r="P79" s="277"/>
      <c r="Q79" s="277"/>
      <c r="R79" s="277"/>
      <c r="S79" s="277"/>
    </row>
    <row r="80" spans="1:19" s="8" customFormat="1" ht="33">
      <c r="A80" s="429">
        <v>60</v>
      </c>
      <c r="B80" s="430" t="s">
        <v>547</v>
      </c>
      <c r="C80" s="429" t="s">
        <v>14</v>
      </c>
      <c r="D80" s="429" t="s">
        <v>10</v>
      </c>
      <c r="E80" s="429" t="s">
        <v>13</v>
      </c>
      <c r="F80" s="27">
        <v>190</v>
      </c>
      <c r="G80" s="27">
        <v>180</v>
      </c>
      <c r="H80" s="429"/>
      <c r="I80" s="2"/>
      <c r="J80" s="277"/>
      <c r="K80" s="277"/>
      <c r="L80" s="277"/>
      <c r="M80" s="277"/>
      <c r="N80" s="277"/>
      <c r="O80" s="277"/>
      <c r="P80" s="277"/>
      <c r="Q80" s="277"/>
      <c r="R80" s="277"/>
      <c r="S80" s="277"/>
    </row>
    <row r="81" spans="1:19" s="2" customFormat="1">
      <c r="A81" s="429">
        <v>61</v>
      </c>
      <c r="B81" s="430" t="s">
        <v>548</v>
      </c>
      <c r="C81" s="429" t="s">
        <v>14</v>
      </c>
      <c r="D81" s="429" t="s">
        <v>10</v>
      </c>
      <c r="E81" s="429" t="s">
        <v>13</v>
      </c>
      <c r="F81" s="27">
        <v>190</v>
      </c>
      <c r="G81" s="27">
        <v>180</v>
      </c>
      <c r="H81" s="429"/>
      <c r="J81" s="277"/>
      <c r="K81" s="277"/>
      <c r="L81" s="277"/>
      <c r="M81" s="277"/>
      <c r="N81" s="277"/>
      <c r="O81" s="277"/>
      <c r="P81" s="277"/>
      <c r="Q81" s="277"/>
      <c r="R81" s="277"/>
      <c r="S81" s="277"/>
    </row>
    <row r="82" spans="1:19" s="2" customFormat="1">
      <c r="A82" s="429">
        <v>62</v>
      </c>
      <c r="B82" s="430" t="s">
        <v>550</v>
      </c>
      <c r="C82" s="429" t="s">
        <v>12</v>
      </c>
      <c r="D82" s="429" t="s">
        <v>7</v>
      </c>
      <c r="E82" s="429" t="s">
        <v>13</v>
      </c>
      <c r="F82" s="27">
        <v>190</v>
      </c>
      <c r="G82" s="27">
        <v>180</v>
      </c>
      <c r="H82" s="429"/>
      <c r="J82" s="277"/>
      <c r="K82" s="277"/>
      <c r="L82" s="277"/>
      <c r="M82" s="277"/>
      <c r="N82" s="277"/>
      <c r="O82" s="277"/>
      <c r="P82" s="277"/>
      <c r="Q82" s="277"/>
      <c r="R82" s="277"/>
      <c r="S82" s="277"/>
    </row>
    <row r="83" spans="1:19" s="2" customFormat="1">
      <c r="A83" s="429">
        <v>63</v>
      </c>
      <c r="B83" s="430" t="s">
        <v>555</v>
      </c>
      <c r="C83" s="429" t="s">
        <v>14</v>
      </c>
      <c r="D83" s="429" t="s">
        <v>10</v>
      </c>
      <c r="E83" s="429" t="s">
        <v>13</v>
      </c>
      <c r="F83" s="27">
        <v>190</v>
      </c>
      <c r="G83" s="27">
        <v>180</v>
      </c>
      <c r="H83" s="429"/>
      <c r="J83" s="277"/>
      <c r="K83" s="277"/>
      <c r="L83" s="277"/>
      <c r="M83" s="277"/>
      <c r="N83" s="277"/>
      <c r="O83" s="277"/>
      <c r="P83" s="277"/>
      <c r="Q83" s="277"/>
      <c r="R83" s="277"/>
      <c r="S83" s="277"/>
    </row>
    <row r="84" spans="1:19" s="2" customFormat="1">
      <c r="A84" s="429">
        <v>64</v>
      </c>
      <c r="B84" s="430" t="s">
        <v>589</v>
      </c>
      <c r="C84" s="429" t="s">
        <v>15</v>
      </c>
      <c r="D84" s="429" t="s">
        <v>10</v>
      </c>
      <c r="E84" s="429" t="s">
        <v>13</v>
      </c>
      <c r="F84" s="27">
        <v>190</v>
      </c>
      <c r="G84" s="27">
        <v>180</v>
      </c>
      <c r="H84" s="429"/>
      <c r="J84" s="277"/>
      <c r="K84" s="277"/>
      <c r="L84" s="277"/>
      <c r="M84" s="277"/>
      <c r="N84" s="277"/>
      <c r="O84" s="277"/>
      <c r="P84" s="277"/>
      <c r="Q84" s="277"/>
      <c r="R84" s="277"/>
      <c r="S84" s="277"/>
    </row>
    <row r="85" spans="1:19" s="2" customFormat="1">
      <c r="A85" s="429">
        <v>65</v>
      </c>
      <c r="B85" s="430" t="s">
        <v>594</v>
      </c>
      <c r="C85" s="429" t="s">
        <v>14</v>
      </c>
      <c r="D85" s="429" t="s">
        <v>7</v>
      </c>
      <c r="E85" s="429" t="s">
        <v>13</v>
      </c>
      <c r="F85" s="27">
        <v>190</v>
      </c>
      <c r="G85" s="27">
        <v>180</v>
      </c>
      <c r="H85" s="429"/>
      <c r="J85" s="277"/>
      <c r="K85" s="277"/>
      <c r="L85" s="277"/>
      <c r="M85" s="277"/>
      <c r="N85" s="277"/>
      <c r="O85" s="277"/>
      <c r="P85" s="277"/>
      <c r="Q85" s="277"/>
      <c r="R85" s="277"/>
      <c r="S85" s="277"/>
    </row>
    <row r="86" spans="1:19" s="2" customFormat="1">
      <c r="A86" s="429">
        <v>66</v>
      </c>
      <c r="B86" s="430" t="s">
        <v>595</v>
      </c>
      <c r="C86" s="429" t="s">
        <v>18</v>
      </c>
      <c r="D86" s="429" t="s">
        <v>10</v>
      </c>
      <c r="E86" s="429" t="s">
        <v>13</v>
      </c>
      <c r="F86" s="27">
        <v>190</v>
      </c>
      <c r="G86" s="27">
        <v>180</v>
      </c>
      <c r="H86" s="429"/>
      <c r="J86" s="277"/>
      <c r="K86" s="277"/>
      <c r="L86" s="277"/>
      <c r="M86" s="277"/>
      <c r="N86" s="277"/>
      <c r="O86" s="277"/>
      <c r="P86" s="277"/>
      <c r="Q86" s="277"/>
      <c r="R86" s="277"/>
      <c r="S86" s="277"/>
    </row>
    <row r="87" spans="1:19" s="2" customFormat="1" ht="33">
      <c r="A87" s="429">
        <v>67</v>
      </c>
      <c r="B87" s="430" t="s">
        <v>605</v>
      </c>
      <c r="C87" s="429" t="s">
        <v>18</v>
      </c>
      <c r="D87" s="429" t="s">
        <v>7</v>
      </c>
      <c r="E87" s="429" t="s">
        <v>13</v>
      </c>
      <c r="F87" s="27">
        <v>190</v>
      </c>
      <c r="G87" s="27">
        <v>180</v>
      </c>
      <c r="H87" s="429"/>
      <c r="J87" s="277"/>
      <c r="K87" s="277"/>
      <c r="L87" s="277"/>
      <c r="M87" s="277"/>
      <c r="N87" s="277"/>
      <c r="O87" s="277"/>
      <c r="P87" s="277"/>
      <c r="Q87" s="277"/>
      <c r="R87" s="277"/>
      <c r="S87" s="277"/>
    </row>
    <row r="88" spans="1:19" s="2" customFormat="1" ht="33">
      <c r="A88" s="429">
        <v>68</v>
      </c>
      <c r="B88" s="430" t="s">
        <v>650</v>
      </c>
      <c r="C88" s="429" t="s">
        <v>14</v>
      </c>
      <c r="D88" s="429" t="s">
        <v>7</v>
      </c>
      <c r="E88" s="429" t="s">
        <v>13</v>
      </c>
      <c r="F88" s="27">
        <v>190</v>
      </c>
      <c r="G88" s="27">
        <v>180</v>
      </c>
      <c r="H88" s="429"/>
      <c r="J88" s="277"/>
      <c r="K88" s="277"/>
      <c r="L88" s="277"/>
      <c r="M88" s="277"/>
      <c r="N88" s="277"/>
      <c r="O88" s="277"/>
      <c r="P88" s="277"/>
      <c r="Q88" s="277"/>
      <c r="R88" s="277"/>
      <c r="S88" s="277"/>
    </row>
    <row r="89" spans="1:19" s="2" customFormat="1" ht="16.5" customHeight="1">
      <c r="A89" s="429">
        <v>69</v>
      </c>
      <c r="B89" s="430" t="s">
        <v>687</v>
      </c>
      <c r="C89" s="429" t="s">
        <v>18</v>
      </c>
      <c r="D89" s="429" t="s">
        <v>7</v>
      </c>
      <c r="E89" s="429" t="s">
        <v>13</v>
      </c>
      <c r="F89" s="27">
        <v>190</v>
      </c>
      <c r="G89" s="27">
        <v>180</v>
      </c>
      <c r="H89" s="429"/>
      <c r="J89" s="277"/>
      <c r="K89" s="277"/>
      <c r="L89" s="277"/>
      <c r="M89" s="277"/>
      <c r="N89" s="277"/>
      <c r="O89" s="277"/>
      <c r="P89" s="277"/>
      <c r="Q89" s="277"/>
      <c r="R89" s="277"/>
      <c r="S89" s="277"/>
    </row>
    <row r="90" spans="1:19" s="6" customFormat="1">
      <c r="A90" s="429">
        <v>70</v>
      </c>
      <c r="B90" s="430" t="s">
        <v>719</v>
      </c>
      <c r="C90" s="429" t="s">
        <v>6</v>
      </c>
      <c r="D90" s="429" t="s">
        <v>7</v>
      </c>
      <c r="E90" s="429" t="s">
        <v>13</v>
      </c>
      <c r="F90" s="27">
        <v>190</v>
      </c>
      <c r="G90" s="27">
        <v>180</v>
      </c>
      <c r="H90" s="429"/>
      <c r="I90" s="2"/>
      <c r="J90" s="277"/>
      <c r="K90" s="277"/>
      <c r="L90" s="277"/>
      <c r="M90" s="277"/>
      <c r="N90" s="277"/>
      <c r="O90" s="277"/>
      <c r="P90" s="277"/>
      <c r="Q90" s="277"/>
      <c r="R90" s="277"/>
      <c r="S90" s="277"/>
    </row>
    <row r="91" spans="1:19" s="2" customFormat="1" ht="33">
      <c r="A91" s="429">
        <v>71</v>
      </c>
      <c r="B91" s="430" t="s">
        <v>779</v>
      </c>
      <c r="C91" s="429" t="s">
        <v>15</v>
      </c>
      <c r="D91" s="429" t="s">
        <v>10</v>
      </c>
      <c r="E91" s="429" t="s">
        <v>13</v>
      </c>
      <c r="F91" s="27">
        <v>190</v>
      </c>
      <c r="G91" s="27">
        <v>180</v>
      </c>
      <c r="H91" s="429"/>
      <c r="J91" s="277"/>
      <c r="K91" s="277"/>
      <c r="L91" s="277"/>
      <c r="M91" s="277"/>
      <c r="N91" s="277"/>
      <c r="O91" s="277"/>
      <c r="P91" s="277"/>
      <c r="Q91" s="277"/>
      <c r="R91" s="277"/>
      <c r="S91" s="277"/>
    </row>
    <row r="92" spans="1:19" s="2" customFormat="1">
      <c r="A92" s="429">
        <v>72</v>
      </c>
      <c r="B92" s="430" t="s">
        <v>824</v>
      </c>
      <c r="C92" s="429" t="s">
        <v>18</v>
      </c>
      <c r="D92" s="429" t="s">
        <v>7</v>
      </c>
      <c r="E92" s="429" t="s">
        <v>13</v>
      </c>
      <c r="F92" s="27">
        <v>190</v>
      </c>
      <c r="G92" s="27">
        <v>180</v>
      </c>
      <c r="H92" s="429"/>
      <c r="J92" s="277"/>
      <c r="K92" s="277"/>
      <c r="L92" s="277"/>
      <c r="M92" s="277"/>
      <c r="N92" s="277"/>
      <c r="O92" s="277"/>
      <c r="P92" s="277"/>
      <c r="Q92" s="277"/>
      <c r="R92" s="277"/>
      <c r="S92" s="277"/>
    </row>
    <row r="93" spans="1:19" s="2" customFormat="1">
      <c r="A93" s="429">
        <v>73</v>
      </c>
      <c r="B93" s="430" t="s">
        <v>827</v>
      </c>
      <c r="C93" s="429" t="s">
        <v>12</v>
      </c>
      <c r="D93" s="429" t="s">
        <v>7</v>
      </c>
      <c r="E93" s="429" t="s">
        <v>13</v>
      </c>
      <c r="F93" s="27">
        <v>190</v>
      </c>
      <c r="G93" s="27">
        <v>180</v>
      </c>
      <c r="H93" s="429"/>
      <c r="J93" s="277"/>
      <c r="K93" s="277"/>
      <c r="L93" s="277"/>
      <c r="M93" s="277"/>
      <c r="N93" s="277"/>
      <c r="O93" s="277"/>
      <c r="P93" s="277"/>
      <c r="Q93" s="277"/>
      <c r="R93" s="277"/>
      <c r="S93" s="277"/>
    </row>
    <row r="94" spans="1:19" s="2" customFormat="1">
      <c r="A94" s="429">
        <v>74</v>
      </c>
      <c r="B94" s="430" t="s">
        <v>829</v>
      </c>
      <c r="C94" s="429" t="s">
        <v>14</v>
      </c>
      <c r="D94" s="429" t="s">
        <v>10</v>
      </c>
      <c r="E94" s="429" t="s">
        <v>13</v>
      </c>
      <c r="F94" s="27">
        <v>190</v>
      </c>
      <c r="G94" s="27">
        <v>180</v>
      </c>
      <c r="H94" s="429"/>
      <c r="J94" s="277"/>
      <c r="K94" s="277"/>
      <c r="L94" s="277"/>
      <c r="M94" s="277"/>
      <c r="N94" s="277"/>
      <c r="O94" s="277"/>
      <c r="P94" s="277"/>
      <c r="Q94" s="277"/>
      <c r="R94" s="277"/>
      <c r="S94" s="277"/>
    </row>
    <row r="95" spans="1:19" s="2" customFormat="1" ht="16.5" customHeight="1">
      <c r="A95" s="429">
        <v>75</v>
      </c>
      <c r="B95" s="430" t="s">
        <v>837</v>
      </c>
      <c r="C95" s="429" t="s">
        <v>15</v>
      </c>
      <c r="D95" s="429" t="s">
        <v>7</v>
      </c>
      <c r="E95" s="429" t="s">
        <v>13</v>
      </c>
      <c r="F95" s="27">
        <v>190</v>
      </c>
      <c r="G95" s="27">
        <v>180</v>
      </c>
      <c r="H95" s="429"/>
      <c r="J95" s="277"/>
      <c r="K95" s="277"/>
      <c r="L95" s="277"/>
      <c r="M95" s="277"/>
      <c r="N95" s="277"/>
      <c r="O95" s="277"/>
      <c r="P95" s="277"/>
      <c r="Q95" s="277"/>
      <c r="R95" s="277"/>
      <c r="S95" s="277"/>
    </row>
    <row r="96" spans="1:19" s="2" customFormat="1" ht="33" customHeight="1">
      <c r="A96" s="429">
        <v>76</v>
      </c>
      <c r="B96" s="430" t="s">
        <v>841</v>
      </c>
      <c r="C96" s="429" t="s">
        <v>18</v>
      </c>
      <c r="D96" s="429" t="s">
        <v>7</v>
      </c>
      <c r="E96" s="429" t="s">
        <v>13</v>
      </c>
      <c r="F96" s="27">
        <v>190</v>
      </c>
      <c r="G96" s="27">
        <v>180</v>
      </c>
      <c r="H96" s="429"/>
      <c r="J96" s="277"/>
      <c r="K96" s="277"/>
      <c r="L96" s="277"/>
      <c r="M96" s="277"/>
      <c r="N96" s="277"/>
      <c r="O96" s="277"/>
      <c r="P96" s="277"/>
      <c r="Q96" s="277"/>
      <c r="R96" s="277"/>
      <c r="S96" s="277"/>
    </row>
    <row r="97" spans="1:19" s="2" customFormat="1">
      <c r="A97" s="429">
        <v>77</v>
      </c>
      <c r="B97" s="430" t="s">
        <v>851</v>
      </c>
      <c r="C97" s="429" t="s">
        <v>15</v>
      </c>
      <c r="D97" s="429" t="s">
        <v>10</v>
      </c>
      <c r="E97" s="429" t="s">
        <v>13</v>
      </c>
      <c r="F97" s="27">
        <v>190</v>
      </c>
      <c r="G97" s="27">
        <v>180</v>
      </c>
      <c r="H97" s="429"/>
      <c r="J97" s="277"/>
      <c r="K97" s="277"/>
      <c r="L97" s="277"/>
      <c r="M97" s="277"/>
      <c r="N97" s="277"/>
      <c r="O97" s="277"/>
      <c r="P97" s="277"/>
      <c r="Q97" s="277"/>
      <c r="R97" s="277"/>
      <c r="S97" s="277"/>
    </row>
    <row r="98" spans="1:19" s="2" customFormat="1" ht="33" customHeight="1">
      <c r="A98" s="429">
        <v>78</v>
      </c>
      <c r="B98" s="430" t="s">
        <v>859</v>
      </c>
      <c r="C98" s="429" t="s">
        <v>12</v>
      </c>
      <c r="D98" s="429" t="s">
        <v>7</v>
      </c>
      <c r="E98" s="429" t="s">
        <v>13</v>
      </c>
      <c r="F98" s="27">
        <v>190</v>
      </c>
      <c r="G98" s="27">
        <v>180</v>
      </c>
      <c r="H98" s="429"/>
      <c r="J98" s="277"/>
      <c r="K98" s="277"/>
      <c r="L98" s="277"/>
      <c r="M98" s="277"/>
      <c r="N98" s="277"/>
      <c r="O98" s="277"/>
      <c r="P98" s="277"/>
      <c r="Q98" s="277"/>
      <c r="R98" s="277"/>
      <c r="S98" s="277"/>
    </row>
    <row r="99" spans="1:19" s="2" customFormat="1">
      <c r="A99" s="429">
        <v>79</v>
      </c>
      <c r="B99" s="430" t="s">
        <v>865</v>
      </c>
      <c r="C99" s="429" t="s">
        <v>15</v>
      </c>
      <c r="D99" s="429" t="s">
        <v>10</v>
      </c>
      <c r="E99" s="429" t="s">
        <v>13</v>
      </c>
      <c r="F99" s="27">
        <v>190</v>
      </c>
      <c r="G99" s="27">
        <v>180</v>
      </c>
      <c r="H99" s="429"/>
      <c r="J99" s="277"/>
      <c r="K99" s="277"/>
      <c r="L99" s="277"/>
      <c r="M99" s="277"/>
      <c r="N99" s="277"/>
      <c r="O99" s="277"/>
      <c r="P99" s="277"/>
      <c r="Q99" s="277"/>
      <c r="R99" s="277"/>
      <c r="S99" s="277"/>
    </row>
    <row r="100" spans="1:19" s="2" customFormat="1">
      <c r="A100" s="429">
        <v>80</v>
      </c>
      <c r="B100" s="430" t="s">
        <v>887</v>
      </c>
      <c r="C100" s="429" t="s">
        <v>14</v>
      </c>
      <c r="D100" s="429" t="s">
        <v>7</v>
      </c>
      <c r="E100" s="429" t="s">
        <v>13</v>
      </c>
      <c r="F100" s="27">
        <v>190</v>
      </c>
      <c r="G100" s="27">
        <v>180</v>
      </c>
      <c r="H100" s="429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</row>
    <row r="101" spans="1:19" s="2" customFormat="1" ht="33">
      <c r="A101" s="429">
        <v>81</v>
      </c>
      <c r="B101" s="430" t="s">
        <v>903</v>
      </c>
      <c r="C101" s="429" t="s">
        <v>14</v>
      </c>
      <c r="D101" s="429" t="s">
        <v>7</v>
      </c>
      <c r="E101" s="429" t="s">
        <v>13</v>
      </c>
      <c r="F101" s="27">
        <v>190</v>
      </c>
      <c r="G101" s="27">
        <v>180</v>
      </c>
      <c r="H101" s="429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</row>
    <row r="102" spans="1:19" s="2" customFormat="1" ht="16.5" customHeight="1">
      <c r="A102" s="429">
        <v>82</v>
      </c>
      <c r="B102" s="430" t="s">
        <v>988</v>
      </c>
      <c r="C102" s="429" t="s">
        <v>12</v>
      </c>
      <c r="D102" s="429" t="s">
        <v>7</v>
      </c>
      <c r="E102" s="429" t="s">
        <v>13</v>
      </c>
      <c r="F102" s="27">
        <v>190</v>
      </c>
      <c r="G102" s="27">
        <v>180</v>
      </c>
      <c r="H102" s="429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</row>
    <row r="103" spans="1:19" s="2" customFormat="1" ht="33">
      <c r="A103" s="429">
        <v>83</v>
      </c>
      <c r="B103" s="430" t="s">
        <v>994</v>
      </c>
      <c r="C103" s="429" t="s">
        <v>14</v>
      </c>
      <c r="D103" s="429" t="s">
        <v>7</v>
      </c>
      <c r="E103" s="429" t="s">
        <v>13</v>
      </c>
      <c r="F103" s="27">
        <v>190</v>
      </c>
      <c r="G103" s="27">
        <v>180</v>
      </c>
      <c r="H103" s="429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</row>
    <row r="104" spans="1:19" s="2" customFormat="1" ht="16.5" customHeight="1">
      <c r="A104" s="429">
        <v>84</v>
      </c>
      <c r="B104" s="430" t="s">
        <v>1000</v>
      </c>
      <c r="C104" s="429" t="s">
        <v>14</v>
      </c>
      <c r="D104" s="429" t="s">
        <v>7</v>
      </c>
      <c r="E104" s="429" t="s">
        <v>13</v>
      </c>
      <c r="F104" s="27">
        <v>190</v>
      </c>
      <c r="G104" s="27">
        <v>180</v>
      </c>
      <c r="H104" s="429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</row>
    <row r="105" spans="1:19" s="6" customFormat="1">
      <c r="A105" s="429">
        <v>85</v>
      </c>
      <c r="B105" s="430" t="s">
        <v>1009</v>
      </c>
      <c r="C105" s="429" t="s">
        <v>18</v>
      </c>
      <c r="D105" s="429" t="s">
        <v>10</v>
      </c>
      <c r="E105" s="429" t="s">
        <v>13</v>
      </c>
      <c r="F105" s="27">
        <v>190</v>
      </c>
      <c r="G105" s="27">
        <v>180</v>
      </c>
      <c r="H105" s="429"/>
      <c r="I105" s="2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</row>
    <row r="106" spans="1:19" s="2" customFormat="1">
      <c r="A106" s="429">
        <v>86</v>
      </c>
      <c r="B106" s="430" t="s">
        <v>637</v>
      </c>
      <c r="C106" s="429" t="s">
        <v>12</v>
      </c>
      <c r="D106" s="429" t="s">
        <v>7</v>
      </c>
      <c r="E106" s="429" t="s">
        <v>8</v>
      </c>
      <c r="F106" s="27">
        <v>190</v>
      </c>
      <c r="G106" s="27">
        <v>180</v>
      </c>
      <c r="H106" s="429"/>
      <c r="J106" s="277"/>
      <c r="K106" s="277"/>
      <c r="L106" s="278"/>
      <c r="M106" s="278"/>
      <c r="N106" s="278"/>
      <c r="O106" s="278"/>
      <c r="P106" s="278"/>
      <c r="Q106" s="278"/>
      <c r="R106" s="278"/>
      <c r="S106" s="278"/>
    </row>
    <row r="107" spans="1:19" s="2" customFormat="1">
      <c r="A107" s="429">
        <v>87</v>
      </c>
      <c r="B107" s="430" t="s">
        <v>66</v>
      </c>
      <c r="C107" s="429" t="s">
        <v>15</v>
      </c>
      <c r="D107" s="429" t="s">
        <v>7</v>
      </c>
      <c r="E107" s="429" t="s">
        <v>8</v>
      </c>
      <c r="F107" s="27">
        <v>190</v>
      </c>
      <c r="G107" s="27">
        <v>180</v>
      </c>
      <c r="H107" s="429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</row>
    <row r="108" spans="1:19" s="6" customFormat="1">
      <c r="A108" s="429">
        <v>88</v>
      </c>
      <c r="B108" s="430" t="s">
        <v>78</v>
      </c>
      <c r="C108" s="429" t="s">
        <v>12</v>
      </c>
      <c r="D108" s="429" t="s">
        <v>7</v>
      </c>
      <c r="E108" s="429" t="s">
        <v>8</v>
      </c>
      <c r="F108" s="27">
        <v>190</v>
      </c>
      <c r="G108" s="27">
        <v>180</v>
      </c>
      <c r="H108" s="429"/>
      <c r="I108" s="2"/>
      <c r="J108" s="277"/>
      <c r="K108" s="277"/>
      <c r="L108" s="277"/>
      <c r="M108" s="277"/>
      <c r="N108" s="277"/>
      <c r="O108" s="277"/>
      <c r="P108" s="277"/>
      <c r="Q108" s="277"/>
      <c r="R108" s="277"/>
      <c r="S108" s="277"/>
    </row>
    <row r="109" spans="1:19" s="2" customFormat="1">
      <c r="A109" s="429">
        <v>89</v>
      </c>
      <c r="B109" s="430" t="s">
        <v>120</v>
      </c>
      <c r="C109" s="429" t="s">
        <v>18</v>
      </c>
      <c r="D109" s="429" t="s">
        <v>7</v>
      </c>
      <c r="E109" s="429" t="s">
        <v>8</v>
      </c>
      <c r="F109" s="27">
        <v>190</v>
      </c>
      <c r="G109" s="27">
        <v>180</v>
      </c>
      <c r="H109" s="429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</row>
    <row r="110" spans="1:19" s="2" customFormat="1" ht="33">
      <c r="A110" s="429">
        <v>90</v>
      </c>
      <c r="B110" s="430" t="s">
        <v>206</v>
      </c>
      <c r="C110" s="429" t="s">
        <v>12</v>
      </c>
      <c r="D110" s="429" t="s">
        <v>7</v>
      </c>
      <c r="E110" s="429" t="s">
        <v>8</v>
      </c>
      <c r="F110" s="27">
        <v>190</v>
      </c>
      <c r="G110" s="27">
        <v>180</v>
      </c>
      <c r="H110" s="429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</row>
    <row r="111" spans="1:19" s="2" customFormat="1" ht="33">
      <c r="A111" s="429">
        <v>91</v>
      </c>
      <c r="B111" s="430" t="s">
        <v>295</v>
      </c>
      <c r="C111" s="429" t="s">
        <v>18</v>
      </c>
      <c r="D111" s="429" t="s">
        <v>7</v>
      </c>
      <c r="E111" s="429" t="s">
        <v>8</v>
      </c>
      <c r="F111" s="27">
        <v>190</v>
      </c>
      <c r="G111" s="27">
        <v>180</v>
      </c>
      <c r="H111" s="429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</row>
    <row r="112" spans="1:19" s="2" customFormat="1">
      <c r="A112" s="429">
        <v>92</v>
      </c>
      <c r="B112" s="430" t="s">
        <v>346</v>
      </c>
      <c r="C112" s="429" t="s">
        <v>18</v>
      </c>
      <c r="D112" s="429" t="s">
        <v>7</v>
      </c>
      <c r="E112" s="429" t="s">
        <v>8</v>
      </c>
      <c r="F112" s="27">
        <v>190</v>
      </c>
      <c r="G112" s="27">
        <v>180</v>
      </c>
      <c r="H112" s="429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</row>
    <row r="113" spans="1:19" s="2" customFormat="1">
      <c r="A113" s="429">
        <v>93</v>
      </c>
      <c r="B113" s="430" t="s">
        <v>350</v>
      </c>
      <c r="C113" s="429" t="s">
        <v>6</v>
      </c>
      <c r="D113" s="429" t="s">
        <v>7</v>
      </c>
      <c r="E113" s="429" t="s">
        <v>8</v>
      </c>
      <c r="F113" s="27">
        <v>190</v>
      </c>
      <c r="G113" s="27">
        <v>180</v>
      </c>
      <c r="H113" s="429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</row>
    <row r="114" spans="1:19" s="2" customFormat="1">
      <c r="A114" s="429">
        <v>94</v>
      </c>
      <c r="B114" s="430" t="s">
        <v>352</v>
      </c>
      <c r="C114" s="429" t="s">
        <v>18</v>
      </c>
      <c r="D114" s="429" t="s">
        <v>7</v>
      </c>
      <c r="E114" s="429" t="s">
        <v>8</v>
      </c>
      <c r="F114" s="27">
        <v>190</v>
      </c>
      <c r="G114" s="27">
        <v>180</v>
      </c>
      <c r="H114" s="429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</row>
    <row r="115" spans="1:19" s="2" customFormat="1">
      <c r="A115" s="429">
        <v>95</v>
      </c>
      <c r="B115" s="430" t="s">
        <v>388</v>
      </c>
      <c r="C115" s="429" t="s">
        <v>6</v>
      </c>
      <c r="D115" s="429" t="s">
        <v>7</v>
      </c>
      <c r="E115" s="429" t="s">
        <v>8</v>
      </c>
      <c r="F115" s="27">
        <v>190</v>
      </c>
      <c r="G115" s="27">
        <v>180</v>
      </c>
      <c r="H115" s="429"/>
      <c r="J115" s="277"/>
      <c r="K115" s="277"/>
      <c r="L115" s="277"/>
      <c r="M115" s="277"/>
      <c r="N115" s="277"/>
      <c r="O115" s="277"/>
      <c r="P115" s="277"/>
      <c r="Q115" s="277"/>
      <c r="R115" s="277"/>
      <c r="S115" s="277"/>
    </row>
    <row r="116" spans="1:19" s="2" customFormat="1" ht="33">
      <c r="A116" s="429">
        <v>96</v>
      </c>
      <c r="B116" s="430" t="s">
        <v>409</v>
      </c>
      <c r="C116" s="429" t="s">
        <v>6</v>
      </c>
      <c r="D116" s="429" t="s">
        <v>10</v>
      </c>
      <c r="E116" s="429" t="s">
        <v>8</v>
      </c>
      <c r="F116" s="27">
        <v>190</v>
      </c>
      <c r="G116" s="27">
        <v>180</v>
      </c>
      <c r="H116" s="429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</row>
    <row r="117" spans="1:19" s="2" customFormat="1" ht="33">
      <c r="A117" s="429">
        <v>97</v>
      </c>
      <c r="B117" s="430" t="s">
        <v>438</v>
      </c>
      <c r="C117" s="429" t="s">
        <v>6</v>
      </c>
      <c r="D117" s="429" t="s">
        <v>7</v>
      </c>
      <c r="E117" s="429" t="s">
        <v>8</v>
      </c>
      <c r="F117" s="27">
        <v>190</v>
      </c>
      <c r="G117" s="27">
        <v>180</v>
      </c>
      <c r="H117" s="429"/>
      <c r="J117" s="277"/>
      <c r="K117" s="277"/>
      <c r="L117" s="277"/>
      <c r="M117" s="277"/>
      <c r="N117" s="277"/>
      <c r="O117" s="277"/>
      <c r="P117" s="277"/>
      <c r="Q117" s="277"/>
      <c r="R117" s="277"/>
      <c r="S117" s="277"/>
    </row>
    <row r="118" spans="1:19" s="2" customFormat="1" ht="33">
      <c r="A118" s="429">
        <v>98</v>
      </c>
      <c r="B118" s="430" t="s">
        <v>457</v>
      </c>
      <c r="C118" s="429" t="s">
        <v>6</v>
      </c>
      <c r="D118" s="429" t="s">
        <v>7</v>
      </c>
      <c r="E118" s="429" t="s">
        <v>8</v>
      </c>
      <c r="F118" s="27">
        <v>190</v>
      </c>
      <c r="G118" s="27">
        <v>180</v>
      </c>
      <c r="H118" s="429"/>
      <c r="J118" s="277"/>
      <c r="K118" s="277"/>
      <c r="L118" s="277"/>
      <c r="M118" s="277"/>
      <c r="N118" s="277"/>
      <c r="O118" s="277"/>
      <c r="P118" s="277"/>
      <c r="Q118" s="277"/>
      <c r="R118" s="277"/>
      <c r="S118" s="277"/>
    </row>
    <row r="119" spans="1:19" s="2" customFormat="1">
      <c r="A119" s="429">
        <v>99</v>
      </c>
      <c r="B119" s="430" t="s">
        <v>549</v>
      </c>
      <c r="C119" s="429" t="s">
        <v>6</v>
      </c>
      <c r="D119" s="429" t="s">
        <v>7</v>
      </c>
      <c r="E119" s="429" t="s">
        <v>8</v>
      </c>
      <c r="F119" s="27">
        <v>190</v>
      </c>
      <c r="G119" s="27">
        <v>180</v>
      </c>
      <c r="H119" s="429"/>
      <c r="J119" s="277"/>
      <c r="K119" s="277"/>
      <c r="L119" s="277"/>
      <c r="M119" s="277"/>
      <c r="N119" s="277"/>
      <c r="O119" s="277"/>
      <c r="P119" s="277"/>
      <c r="Q119" s="277"/>
      <c r="R119" s="277"/>
      <c r="S119" s="277"/>
    </row>
    <row r="120" spans="1:19" s="2" customFormat="1">
      <c r="A120" s="429">
        <v>100</v>
      </c>
      <c r="B120" s="430" t="s">
        <v>621</v>
      </c>
      <c r="C120" s="429" t="s">
        <v>6</v>
      </c>
      <c r="D120" s="429" t="s">
        <v>10</v>
      </c>
      <c r="E120" s="429" t="s">
        <v>8</v>
      </c>
      <c r="F120" s="27">
        <v>190</v>
      </c>
      <c r="G120" s="27">
        <v>180</v>
      </c>
      <c r="H120" s="429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</row>
    <row r="121" spans="1:19" s="2" customFormat="1">
      <c r="A121" s="429">
        <v>101</v>
      </c>
      <c r="B121" s="430" t="s">
        <v>632</v>
      </c>
      <c r="C121" s="429" t="s">
        <v>6</v>
      </c>
      <c r="D121" s="429" t="s">
        <v>7</v>
      </c>
      <c r="E121" s="429" t="s">
        <v>8</v>
      </c>
      <c r="F121" s="27">
        <v>190</v>
      </c>
      <c r="G121" s="27">
        <v>180</v>
      </c>
      <c r="H121" s="429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</row>
    <row r="122" spans="1:19" s="2" customFormat="1" ht="33">
      <c r="A122" s="429">
        <v>102</v>
      </c>
      <c r="B122" s="430" t="s">
        <v>659</v>
      </c>
      <c r="C122" s="429" t="s">
        <v>18</v>
      </c>
      <c r="D122" s="429" t="s">
        <v>7</v>
      </c>
      <c r="E122" s="429" t="s">
        <v>8</v>
      </c>
      <c r="F122" s="27">
        <v>190</v>
      </c>
      <c r="G122" s="27">
        <v>180</v>
      </c>
      <c r="H122" s="429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</row>
    <row r="123" spans="1:19" s="2" customFormat="1" ht="25.5" customHeight="1">
      <c r="A123" s="429">
        <v>103</v>
      </c>
      <c r="B123" s="430" t="s">
        <v>661</v>
      </c>
      <c r="C123" s="429" t="s">
        <v>18</v>
      </c>
      <c r="D123" s="429" t="s">
        <v>7</v>
      </c>
      <c r="E123" s="429" t="s">
        <v>8</v>
      </c>
      <c r="F123" s="27">
        <v>190</v>
      </c>
      <c r="G123" s="27">
        <v>180</v>
      </c>
      <c r="H123" s="429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</row>
    <row r="124" spans="1:19" s="2" customFormat="1" ht="29.25" customHeight="1">
      <c r="A124" s="429">
        <v>104</v>
      </c>
      <c r="B124" s="430" t="s">
        <v>689</v>
      </c>
      <c r="C124" s="429" t="s">
        <v>6</v>
      </c>
      <c r="D124" s="429" t="s">
        <v>7</v>
      </c>
      <c r="E124" s="429" t="s">
        <v>8</v>
      </c>
      <c r="F124" s="27">
        <v>190</v>
      </c>
      <c r="G124" s="27">
        <v>180</v>
      </c>
      <c r="H124" s="429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</row>
    <row r="125" spans="1:19" s="2" customFormat="1" ht="33">
      <c r="A125" s="429">
        <v>105</v>
      </c>
      <c r="B125" s="430" t="s">
        <v>729</v>
      </c>
      <c r="C125" s="429" t="s">
        <v>6</v>
      </c>
      <c r="D125" s="429" t="s">
        <v>10</v>
      </c>
      <c r="E125" s="429" t="s">
        <v>8</v>
      </c>
      <c r="F125" s="27">
        <v>190</v>
      </c>
      <c r="G125" s="27">
        <v>180</v>
      </c>
      <c r="H125" s="429"/>
      <c r="J125" s="277"/>
      <c r="K125" s="277"/>
      <c r="L125" s="277"/>
      <c r="M125" s="277"/>
      <c r="N125" s="277"/>
      <c r="O125" s="277"/>
      <c r="P125" s="277"/>
      <c r="Q125" s="277"/>
      <c r="R125" s="277"/>
      <c r="S125" s="277"/>
    </row>
    <row r="126" spans="1:19" s="2" customFormat="1" ht="33" customHeight="1">
      <c r="A126" s="429">
        <v>106</v>
      </c>
      <c r="B126" s="430" t="s">
        <v>745</v>
      </c>
      <c r="C126" s="429" t="s">
        <v>6</v>
      </c>
      <c r="D126" s="429" t="s">
        <v>7</v>
      </c>
      <c r="E126" s="429" t="s">
        <v>8</v>
      </c>
      <c r="F126" s="27">
        <v>190</v>
      </c>
      <c r="G126" s="27">
        <v>180</v>
      </c>
      <c r="H126" s="429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</row>
    <row r="127" spans="1:19" s="2" customFormat="1">
      <c r="A127" s="429">
        <v>107</v>
      </c>
      <c r="B127" s="430" t="s">
        <v>874</v>
      </c>
      <c r="C127" s="429" t="s">
        <v>6</v>
      </c>
      <c r="D127" s="429" t="s">
        <v>7</v>
      </c>
      <c r="E127" s="429" t="s">
        <v>8</v>
      </c>
      <c r="F127" s="27">
        <v>190</v>
      </c>
      <c r="G127" s="27">
        <v>180</v>
      </c>
      <c r="H127" s="429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</row>
    <row r="128" spans="1:19" s="2" customFormat="1" ht="24" customHeight="1">
      <c r="A128" s="429">
        <v>108</v>
      </c>
      <c r="B128" s="430" t="s">
        <v>885</v>
      </c>
      <c r="C128" s="429" t="s">
        <v>12</v>
      </c>
      <c r="D128" s="429" t="s">
        <v>7</v>
      </c>
      <c r="E128" s="429" t="s">
        <v>8</v>
      </c>
      <c r="F128" s="27">
        <v>190</v>
      </c>
      <c r="G128" s="27">
        <v>180</v>
      </c>
      <c r="H128" s="429"/>
      <c r="J128" s="277"/>
      <c r="K128" s="277"/>
      <c r="L128" s="277"/>
      <c r="M128" s="277"/>
      <c r="N128" s="277"/>
      <c r="O128" s="277"/>
      <c r="P128" s="277"/>
      <c r="Q128" s="277"/>
      <c r="R128" s="277"/>
      <c r="S128" s="277"/>
    </row>
    <row r="129" spans="1:19" s="2" customFormat="1">
      <c r="A129" s="429">
        <v>109</v>
      </c>
      <c r="B129" s="430" t="s">
        <v>946</v>
      </c>
      <c r="C129" s="429" t="s">
        <v>18</v>
      </c>
      <c r="D129" s="429" t="s">
        <v>7</v>
      </c>
      <c r="E129" s="429" t="s">
        <v>8</v>
      </c>
      <c r="F129" s="27">
        <v>190</v>
      </c>
      <c r="G129" s="27">
        <v>180</v>
      </c>
      <c r="H129" s="429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</row>
    <row r="130" spans="1:19" s="6" customFormat="1">
      <c r="A130" s="429">
        <v>110</v>
      </c>
      <c r="B130" s="430" t="s">
        <v>969</v>
      </c>
      <c r="C130" s="429" t="s">
        <v>6</v>
      </c>
      <c r="D130" s="429" t="s">
        <v>7</v>
      </c>
      <c r="E130" s="429" t="s">
        <v>8</v>
      </c>
      <c r="F130" s="27">
        <v>190</v>
      </c>
      <c r="G130" s="27">
        <v>180</v>
      </c>
      <c r="H130" s="429"/>
      <c r="I130" s="2"/>
      <c r="J130" s="277"/>
      <c r="K130" s="277"/>
      <c r="L130" s="277"/>
      <c r="M130" s="277"/>
      <c r="N130" s="277"/>
      <c r="O130" s="277"/>
      <c r="P130" s="277"/>
      <c r="Q130" s="277"/>
      <c r="R130" s="277"/>
      <c r="S130" s="277"/>
    </row>
    <row r="131" spans="1:19" s="6" customFormat="1">
      <c r="A131" s="429">
        <v>111</v>
      </c>
      <c r="B131" s="430" t="s">
        <v>984</v>
      </c>
      <c r="C131" s="429" t="s">
        <v>6</v>
      </c>
      <c r="D131" s="429" t="s">
        <v>10</v>
      </c>
      <c r="E131" s="429" t="s">
        <v>8</v>
      </c>
      <c r="F131" s="27">
        <v>190</v>
      </c>
      <c r="G131" s="27">
        <v>180</v>
      </c>
      <c r="H131" s="429"/>
      <c r="I131" s="2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</row>
    <row r="132" spans="1:19" s="2" customFormat="1">
      <c r="A132" s="429">
        <v>112</v>
      </c>
      <c r="B132" s="430" t="s">
        <v>1014</v>
      </c>
      <c r="C132" s="429" t="s">
        <v>15</v>
      </c>
      <c r="D132" s="429" t="s">
        <v>7</v>
      </c>
      <c r="E132" s="429" t="s">
        <v>8</v>
      </c>
      <c r="F132" s="27">
        <v>190</v>
      </c>
      <c r="G132" s="27">
        <v>180</v>
      </c>
      <c r="H132" s="429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</row>
    <row r="133" spans="1:19" s="2" customFormat="1">
      <c r="A133" s="429">
        <v>113</v>
      </c>
      <c r="B133" s="430" t="s">
        <v>1018</v>
      </c>
      <c r="C133" s="429" t="s">
        <v>12</v>
      </c>
      <c r="D133" s="429" t="s">
        <v>7</v>
      </c>
      <c r="E133" s="429" t="s">
        <v>8</v>
      </c>
      <c r="F133" s="27">
        <v>190</v>
      </c>
      <c r="G133" s="27">
        <v>180</v>
      </c>
      <c r="H133" s="429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</row>
    <row r="134" spans="1:19" s="6" customFormat="1" ht="16.5" customHeight="1">
      <c r="A134" s="429">
        <v>114</v>
      </c>
      <c r="B134" s="433" t="s">
        <v>71</v>
      </c>
      <c r="C134" s="434" t="s">
        <v>16</v>
      </c>
      <c r="D134" s="434" t="s">
        <v>7</v>
      </c>
      <c r="E134" s="434" t="s">
        <v>8</v>
      </c>
      <c r="F134" s="31">
        <v>180</v>
      </c>
      <c r="G134" s="31">
        <f t="shared" ref="G134:G197" si="1">F134</f>
        <v>180</v>
      </c>
      <c r="H134" s="434"/>
      <c r="I134" s="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</row>
    <row r="135" spans="1:19" s="2" customFormat="1" ht="21" customHeight="1">
      <c r="A135" s="429">
        <v>115</v>
      </c>
      <c r="B135" s="433" t="s">
        <v>613</v>
      </c>
      <c r="C135" s="434" t="s">
        <v>6</v>
      </c>
      <c r="D135" s="434" t="s">
        <v>7</v>
      </c>
      <c r="E135" s="434" t="s">
        <v>8</v>
      </c>
      <c r="F135" s="31">
        <v>180</v>
      </c>
      <c r="G135" s="31">
        <f t="shared" si="1"/>
        <v>180</v>
      </c>
      <c r="H135" s="434"/>
      <c r="I135" s="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</row>
    <row r="136" spans="1:19" s="2" customFormat="1">
      <c r="A136" s="429">
        <v>116</v>
      </c>
      <c r="B136" s="433" t="s">
        <v>1003</v>
      </c>
      <c r="C136" s="434" t="s">
        <v>14</v>
      </c>
      <c r="D136" s="434" t="s">
        <v>7</v>
      </c>
      <c r="E136" s="434" t="s">
        <v>8</v>
      </c>
      <c r="F136" s="435">
        <v>180</v>
      </c>
      <c r="G136" s="31">
        <f t="shared" si="1"/>
        <v>180</v>
      </c>
      <c r="H136" s="434"/>
      <c r="I136" s="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</row>
    <row r="137" spans="1:19" s="2" customFormat="1" ht="33">
      <c r="A137" s="429">
        <v>117</v>
      </c>
      <c r="B137" s="433" t="s">
        <v>759</v>
      </c>
      <c r="C137" s="434" t="s">
        <v>14</v>
      </c>
      <c r="D137" s="434" t="s">
        <v>7</v>
      </c>
      <c r="E137" s="434" t="s">
        <v>8</v>
      </c>
      <c r="F137" s="31">
        <v>180</v>
      </c>
      <c r="G137" s="31">
        <f t="shared" si="1"/>
        <v>180</v>
      </c>
      <c r="H137" s="434"/>
      <c r="I137" s="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</row>
    <row r="138" spans="1:19" s="2" customFormat="1" ht="33">
      <c r="A138" s="429">
        <v>118</v>
      </c>
      <c r="B138" s="430" t="s">
        <v>184</v>
      </c>
      <c r="C138" s="429" t="s">
        <v>14</v>
      </c>
      <c r="D138" s="429" t="s">
        <v>7</v>
      </c>
      <c r="E138" s="429" t="s">
        <v>8</v>
      </c>
      <c r="F138" s="27">
        <v>180</v>
      </c>
      <c r="G138" s="31">
        <f t="shared" si="1"/>
        <v>180</v>
      </c>
      <c r="H138" s="429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</row>
    <row r="139" spans="1:19" s="2" customFormat="1" ht="33">
      <c r="A139" s="429">
        <v>119</v>
      </c>
      <c r="B139" s="430" t="s">
        <v>193</v>
      </c>
      <c r="C139" s="429" t="s">
        <v>12</v>
      </c>
      <c r="D139" s="429" t="s">
        <v>7</v>
      </c>
      <c r="E139" s="429" t="s">
        <v>8</v>
      </c>
      <c r="F139" s="27">
        <v>180</v>
      </c>
      <c r="G139" s="31">
        <f t="shared" si="1"/>
        <v>180</v>
      </c>
      <c r="H139" s="429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</row>
    <row r="140" spans="1:19" s="2" customFormat="1" ht="24" customHeight="1">
      <c r="A140" s="429">
        <v>120</v>
      </c>
      <c r="B140" s="430" t="s">
        <v>198</v>
      </c>
      <c r="C140" s="429" t="s">
        <v>6</v>
      </c>
      <c r="D140" s="429"/>
      <c r="E140" s="429" t="s">
        <v>8</v>
      </c>
      <c r="F140" s="27">
        <v>180</v>
      </c>
      <c r="G140" s="31">
        <f t="shared" si="1"/>
        <v>180</v>
      </c>
      <c r="H140" s="429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</row>
    <row r="141" spans="1:19" s="2" customFormat="1" ht="18" customHeight="1">
      <c r="A141" s="429">
        <v>121</v>
      </c>
      <c r="B141" s="430" t="s">
        <v>230</v>
      </c>
      <c r="C141" s="429" t="s">
        <v>9</v>
      </c>
      <c r="D141" s="429" t="s">
        <v>7</v>
      </c>
      <c r="E141" s="429" t="s">
        <v>8</v>
      </c>
      <c r="F141" s="436">
        <v>180</v>
      </c>
      <c r="G141" s="31">
        <f t="shared" si="1"/>
        <v>180</v>
      </c>
      <c r="H141" s="429"/>
      <c r="J141" s="277"/>
      <c r="K141" s="277"/>
      <c r="L141" s="277"/>
      <c r="M141" s="277"/>
      <c r="N141" s="277"/>
      <c r="O141" s="277"/>
      <c r="P141" s="277"/>
      <c r="Q141" s="277"/>
      <c r="R141" s="277"/>
      <c r="S141" s="277"/>
    </row>
    <row r="142" spans="1:19" s="8" customFormat="1">
      <c r="A142" s="429">
        <v>122</v>
      </c>
      <c r="B142" s="430" t="s">
        <v>232</v>
      </c>
      <c r="C142" s="429" t="s">
        <v>14</v>
      </c>
      <c r="D142" s="429" t="s">
        <v>7</v>
      </c>
      <c r="E142" s="429" t="s">
        <v>8</v>
      </c>
      <c r="F142" s="27">
        <v>180</v>
      </c>
      <c r="G142" s="31">
        <f t="shared" si="1"/>
        <v>180</v>
      </c>
      <c r="H142" s="429"/>
      <c r="I142" s="2"/>
      <c r="J142" s="277"/>
      <c r="K142" s="277"/>
      <c r="L142" s="277"/>
      <c r="M142" s="277"/>
      <c r="N142" s="277"/>
      <c r="O142" s="277"/>
      <c r="P142" s="277"/>
      <c r="Q142" s="277"/>
      <c r="R142" s="277"/>
      <c r="S142" s="277"/>
    </row>
    <row r="143" spans="1:19" s="2" customFormat="1" ht="33">
      <c r="A143" s="429">
        <v>123</v>
      </c>
      <c r="B143" s="430" t="s">
        <v>235</v>
      </c>
      <c r="C143" s="429" t="s">
        <v>6</v>
      </c>
      <c r="D143" s="429" t="s">
        <v>7</v>
      </c>
      <c r="E143" s="429" t="s">
        <v>8</v>
      </c>
      <c r="F143" s="436">
        <v>180</v>
      </c>
      <c r="G143" s="31">
        <f t="shared" si="1"/>
        <v>180</v>
      </c>
      <c r="H143" s="429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</row>
    <row r="144" spans="1:19" s="2" customFormat="1" ht="33" customHeight="1">
      <c r="A144" s="429">
        <v>124</v>
      </c>
      <c r="B144" s="430" t="s">
        <v>242</v>
      </c>
      <c r="C144" s="429" t="s">
        <v>6</v>
      </c>
      <c r="D144" s="429" t="s">
        <v>7</v>
      </c>
      <c r="E144" s="429" t="s">
        <v>8</v>
      </c>
      <c r="F144" s="437">
        <v>180</v>
      </c>
      <c r="G144" s="31">
        <f t="shared" si="1"/>
        <v>180</v>
      </c>
      <c r="H144" s="429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</row>
    <row r="145" spans="1:19" s="2" customFormat="1" ht="33">
      <c r="A145" s="429">
        <v>125</v>
      </c>
      <c r="B145" s="430" t="s">
        <v>243</v>
      </c>
      <c r="C145" s="429" t="s">
        <v>6</v>
      </c>
      <c r="D145" s="429" t="s">
        <v>7</v>
      </c>
      <c r="E145" s="429" t="s">
        <v>8</v>
      </c>
      <c r="F145" s="436">
        <v>180</v>
      </c>
      <c r="G145" s="31">
        <f t="shared" si="1"/>
        <v>180</v>
      </c>
      <c r="H145" s="429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</row>
    <row r="146" spans="1:19" s="2" customFormat="1" ht="33" customHeight="1">
      <c r="A146" s="429">
        <v>126</v>
      </c>
      <c r="B146" s="430" t="s">
        <v>245</v>
      </c>
      <c r="C146" s="429"/>
      <c r="D146" s="429"/>
      <c r="E146" s="438" t="s">
        <v>8</v>
      </c>
      <c r="F146" s="27">
        <v>180</v>
      </c>
      <c r="G146" s="31">
        <f t="shared" si="1"/>
        <v>180</v>
      </c>
      <c r="H146" s="429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</row>
    <row r="147" spans="1:19" s="2" customFormat="1">
      <c r="A147" s="429">
        <v>127</v>
      </c>
      <c r="B147" s="430" t="s">
        <v>248</v>
      </c>
      <c r="C147" s="429" t="s">
        <v>18</v>
      </c>
      <c r="D147" s="429" t="s">
        <v>7</v>
      </c>
      <c r="E147" s="429" t="s">
        <v>8</v>
      </c>
      <c r="F147" s="27">
        <v>180</v>
      </c>
      <c r="G147" s="31">
        <f t="shared" si="1"/>
        <v>180</v>
      </c>
      <c r="H147" s="429"/>
      <c r="J147" s="277"/>
      <c r="K147" s="277"/>
      <c r="L147" s="278"/>
      <c r="M147" s="278"/>
      <c r="N147" s="278"/>
      <c r="O147" s="278"/>
      <c r="P147" s="278"/>
      <c r="Q147" s="278"/>
      <c r="R147" s="278"/>
      <c r="S147" s="278"/>
    </row>
    <row r="148" spans="1:19" s="2" customFormat="1">
      <c r="A148" s="429">
        <v>128</v>
      </c>
      <c r="B148" s="430" t="s">
        <v>256</v>
      </c>
      <c r="C148" s="429" t="s">
        <v>18</v>
      </c>
      <c r="D148" s="429" t="s">
        <v>7</v>
      </c>
      <c r="E148" s="429" t="s">
        <v>8</v>
      </c>
      <c r="F148" s="27">
        <v>180</v>
      </c>
      <c r="G148" s="31">
        <f t="shared" si="1"/>
        <v>180</v>
      </c>
      <c r="H148" s="429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</row>
    <row r="149" spans="1:19" s="2" customFormat="1" ht="33">
      <c r="A149" s="429">
        <v>129</v>
      </c>
      <c r="B149" s="430" t="s">
        <v>259</v>
      </c>
      <c r="C149" s="429" t="s">
        <v>14</v>
      </c>
      <c r="D149" s="429" t="s">
        <v>7</v>
      </c>
      <c r="E149" s="429" t="s">
        <v>8</v>
      </c>
      <c r="F149" s="436">
        <v>180</v>
      </c>
      <c r="G149" s="31">
        <f t="shared" si="1"/>
        <v>180</v>
      </c>
      <c r="H149" s="429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</row>
    <row r="150" spans="1:19" s="2" customFormat="1">
      <c r="A150" s="429">
        <v>130</v>
      </c>
      <c r="B150" s="430" t="s">
        <v>270</v>
      </c>
      <c r="C150" s="429" t="s">
        <v>12</v>
      </c>
      <c r="D150" s="429" t="s">
        <v>7</v>
      </c>
      <c r="E150" s="429" t="s">
        <v>8</v>
      </c>
      <c r="F150" s="27">
        <v>180</v>
      </c>
      <c r="G150" s="31">
        <f t="shared" si="1"/>
        <v>180</v>
      </c>
      <c r="H150" s="429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</row>
    <row r="151" spans="1:19" s="6" customFormat="1">
      <c r="A151" s="429">
        <v>131</v>
      </c>
      <c r="B151" s="430" t="s">
        <v>277</v>
      </c>
      <c r="C151" s="429" t="s">
        <v>9</v>
      </c>
      <c r="D151" s="429" t="s">
        <v>7</v>
      </c>
      <c r="E151" s="429" t="s">
        <v>8</v>
      </c>
      <c r="F151" s="436">
        <v>180</v>
      </c>
      <c r="G151" s="31">
        <f t="shared" si="1"/>
        <v>180</v>
      </c>
      <c r="H151" s="429"/>
      <c r="I151" s="2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</row>
    <row r="152" spans="1:19" s="2" customFormat="1" ht="33" customHeight="1">
      <c r="A152" s="429">
        <v>132</v>
      </c>
      <c r="B152" s="430" t="s">
        <v>282</v>
      </c>
      <c r="C152" s="429" t="s">
        <v>14</v>
      </c>
      <c r="D152" s="429" t="s">
        <v>7</v>
      </c>
      <c r="E152" s="438" t="s">
        <v>8</v>
      </c>
      <c r="F152" s="27">
        <v>180</v>
      </c>
      <c r="G152" s="31">
        <f t="shared" si="1"/>
        <v>180</v>
      </c>
      <c r="H152" s="429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</row>
    <row r="153" spans="1:19" s="2" customFormat="1" ht="16.5" customHeight="1">
      <c r="A153" s="429">
        <v>133</v>
      </c>
      <c r="B153" s="430" t="s">
        <v>283</v>
      </c>
      <c r="C153" s="429"/>
      <c r="D153" s="429"/>
      <c r="E153" s="438" t="s">
        <v>8</v>
      </c>
      <c r="F153" s="27">
        <v>180</v>
      </c>
      <c r="G153" s="31">
        <f t="shared" si="1"/>
        <v>180</v>
      </c>
      <c r="H153" s="429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</row>
    <row r="154" spans="1:19" s="2" customFormat="1" ht="33">
      <c r="A154" s="429">
        <v>134</v>
      </c>
      <c r="B154" s="430" t="s">
        <v>293</v>
      </c>
      <c r="C154" s="429" t="s">
        <v>9</v>
      </c>
      <c r="D154" s="429" t="s">
        <v>7</v>
      </c>
      <c r="E154" s="429" t="s">
        <v>8</v>
      </c>
      <c r="F154" s="27">
        <v>180</v>
      </c>
      <c r="G154" s="31">
        <f t="shared" si="1"/>
        <v>180</v>
      </c>
      <c r="H154" s="429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</row>
    <row r="155" spans="1:19" s="2" customFormat="1" ht="33" customHeight="1">
      <c r="A155" s="429">
        <v>135</v>
      </c>
      <c r="B155" s="430" t="s">
        <v>297</v>
      </c>
      <c r="C155" s="429"/>
      <c r="D155" s="429"/>
      <c r="E155" s="438" t="s">
        <v>8</v>
      </c>
      <c r="F155" s="27">
        <v>180</v>
      </c>
      <c r="G155" s="31">
        <f t="shared" si="1"/>
        <v>180</v>
      </c>
      <c r="H155" s="429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</row>
    <row r="156" spans="1:19" s="2" customFormat="1" ht="33">
      <c r="A156" s="429">
        <v>136</v>
      </c>
      <c r="B156" s="430" t="s">
        <v>299</v>
      </c>
      <c r="C156" s="429" t="s">
        <v>9</v>
      </c>
      <c r="D156" s="429" t="s">
        <v>7</v>
      </c>
      <c r="E156" s="429" t="s">
        <v>8</v>
      </c>
      <c r="F156" s="27">
        <v>180</v>
      </c>
      <c r="G156" s="31">
        <f t="shared" si="1"/>
        <v>180</v>
      </c>
      <c r="H156" s="429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</row>
    <row r="157" spans="1:19" s="2" customFormat="1" ht="33" customHeight="1">
      <c r="A157" s="429">
        <v>137</v>
      </c>
      <c r="B157" s="430" t="s">
        <v>305</v>
      </c>
      <c r="C157" s="429" t="s">
        <v>18</v>
      </c>
      <c r="D157" s="429" t="s">
        <v>7</v>
      </c>
      <c r="E157" s="429" t="s">
        <v>8</v>
      </c>
      <c r="F157" s="436">
        <v>180</v>
      </c>
      <c r="G157" s="31">
        <f t="shared" si="1"/>
        <v>180</v>
      </c>
      <c r="H157" s="429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</row>
    <row r="158" spans="1:19" s="2" customFormat="1" ht="33">
      <c r="A158" s="429">
        <v>138</v>
      </c>
      <c r="B158" s="430" t="s">
        <v>342</v>
      </c>
      <c r="C158" s="429" t="s">
        <v>6</v>
      </c>
      <c r="D158" s="429" t="s">
        <v>7</v>
      </c>
      <c r="E158" s="429" t="s">
        <v>8</v>
      </c>
      <c r="F158" s="436">
        <v>180</v>
      </c>
      <c r="G158" s="31">
        <f t="shared" si="1"/>
        <v>180</v>
      </c>
      <c r="H158" s="429"/>
      <c r="J158" s="277"/>
      <c r="K158" s="277"/>
      <c r="L158" s="277"/>
      <c r="M158" s="277"/>
      <c r="N158" s="277"/>
      <c r="O158" s="277"/>
      <c r="P158" s="277"/>
      <c r="Q158" s="277"/>
      <c r="R158" s="277"/>
      <c r="S158" s="277"/>
    </row>
    <row r="159" spans="1:19" s="2" customFormat="1" ht="33" customHeight="1">
      <c r="A159" s="429">
        <v>139</v>
      </c>
      <c r="B159" s="430" t="s">
        <v>355</v>
      </c>
      <c r="C159" s="429" t="s">
        <v>6</v>
      </c>
      <c r="D159" s="429" t="s">
        <v>7</v>
      </c>
      <c r="E159" s="431" t="s">
        <v>8</v>
      </c>
      <c r="F159" s="432">
        <v>180</v>
      </c>
      <c r="G159" s="31">
        <f t="shared" si="1"/>
        <v>180</v>
      </c>
      <c r="H159" s="429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</row>
    <row r="160" spans="1:19" s="2" customFormat="1">
      <c r="A160" s="429">
        <v>140</v>
      </c>
      <c r="B160" s="430" t="s">
        <v>357</v>
      </c>
      <c r="C160" s="429" t="s">
        <v>16</v>
      </c>
      <c r="D160" s="429" t="s">
        <v>7</v>
      </c>
      <c r="E160" s="429" t="s">
        <v>8</v>
      </c>
      <c r="F160" s="436">
        <v>180</v>
      </c>
      <c r="G160" s="31">
        <f t="shared" si="1"/>
        <v>180</v>
      </c>
      <c r="H160" s="429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</row>
    <row r="161" spans="1:19" s="2" customFormat="1" ht="33" customHeight="1">
      <c r="A161" s="429">
        <v>141</v>
      </c>
      <c r="B161" s="430" t="s">
        <v>363</v>
      </c>
      <c r="C161" s="429"/>
      <c r="D161" s="429"/>
      <c r="E161" s="431" t="s">
        <v>8</v>
      </c>
      <c r="F161" s="432">
        <v>180</v>
      </c>
      <c r="G161" s="31">
        <f t="shared" si="1"/>
        <v>180</v>
      </c>
      <c r="H161" s="429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</row>
    <row r="162" spans="1:19" s="2" customFormat="1" ht="33">
      <c r="A162" s="429">
        <v>142</v>
      </c>
      <c r="B162" s="430" t="s">
        <v>375</v>
      </c>
      <c r="C162" s="429" t="s">
        <v>6</v>
      </c>
      <c r="D162" s="429" t="s">
        <v>7</v>
      </c>
      <c r="E162" s="429" t="s">
        <v>8</v>
      </c>
      <c r="F162" s="436">
        <v>180</v>
      </c>
      <c r="G162" s="31">
        <f t="shared" si="1"/>
        <v>180</v>
      </c>
      <c r="H162" s="429"/>
      <c r="J162" s="277"/>
      <c r="K162" s="277"/>
      <c r="L162" s="278"/>
      <c r="M162" s="278"/>
      <c r="N162" s="278"/>
      <c r="O162" s="278"/>
      <c r="P162" s="278"/>
      <c r="Q162" s="278"/>
      <c r="R162" s="278"/>
      <c r="S162" s="278"/>
    </row>
    <row r="163" spans="1:19" s="2" customFormat="1">
      <c r="A163" s="429">
        <v>143</v>
      </c>
      <c r="B163" s="430" t="s">
        <v>377</v>
      </c>
      <c r="C163" s="429" t="s">
        <v>6</v>
      </c>
      <c r="D163" s="429" t="s">
        <v>7</v>
      </c>
      <c r="E163" s="429" t="s">
        <v>8</v>
      </c>
      <c r="F163" s="27">
        <v>180</v>
      </c>
      <c r="G163" s="31">
        <f t="shared" si="1"/>
        <v>180</v>
      </c>
      <c r="H163" s="429"/>
      <c r="J163" s="277"/>
      <c r="K163" s="277"/>
      <c r="L163" s="277"/>
      <c r="M163" s="277"/>
      <c r="N163" s="277"/>
      <c r="O163" s="277"/>
      <c r="P163" s="277"/>
      <c r="Q163" s="277"/>
      <c r="R163" s="277"/>
      <c r="S163" s="277"/>
    </row>
    <row r="164" spans="1:19" s="2" customFormat="1">
      <c r="A164" s="429">
        <v>144</v>
      </c>
      <c r="B164" s="430" t="s">
        <v>381</v>
      </c>
      <c r="C164" s="429" t="s">
        <v>6</v>
      </c>
      <c r="D164" s="429" t="s">
        <v>7</v>
      </c>
      <c r="E164" s="429" t="s">
        <v>8</v>
      </c>
      <c r="F164" s="27">
        <v>180</v>
      </c>
      <c r="G164" s="31">
        <f t="shared" si="1"/>
        <v>180</v>
      </c>
      <c r="H164" s="429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</row>
    <row r="165" spans="1:19" s="2" customFormat="1">
      <c r="A165" s="429">
        <v>145</v>
      </c>
      <c r="B165" s="430" t="s">
        <v>397</v>
      </c>
      <c r="C165" s="429" t="s">
        <v>15</v>
      </c>
      <c r="D165" s="429" t="s">
        <v>7</v>
      </c>
      <c r="E165" s="429" t="s">
        <v>8</v>
      </c>
      <c r="F165" s="436">
        <v>180</v>
      </c>
      <c r="G165" s="31">
        <f t="shared" si="1"/>
        <v>180</v>
      </c>
      <c r="H165" s="429"/>
      <c r="J165" s="277"/>
      <c r="K165" s="277"/>
      <c r="L165" s="278"/>
      <c r="M165" s="278"/>
      <c r="N165" s="278"/>
      <c r="O165" s="278"/>
      <c r="P165" s="278"/>
      <c r="Q165" s="278"/>
      <c r="R165" s="278"/>
      <c r="S165" s="278"/>
    </row>
    <row r="166" spans="1:19" s="2" customFormat="1">
      <c r="A166" s="429">
        <v>146</v>
      </c>
      <c r="B166" s="430" t="s">
        <v>411</v>
      </c>
      <c r="C166" s="429" t="s">
        <v>6</v>
      </c>
      <c r="D166" s="429" t="s">
        <v>7</v>
      </c>
      <c r="E166" s="429" t="s">
        <v>8</v>
      </c>
      <c r="F166" s="27">
        <v>180</v>
      </c>
      <c r="G166" s="31">
        <f t="shared" si="1"/>
        <v>180</v>
      </c>
      <c r="H166" s="429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</row>
    <row r="167" spans="1:19" s="2" customFormat="1" ht="33">
      <c r="A167" s="429">
        <v>147</v>
      </c>
      <c r="B167" s="430" t="s">
        <v>420</v>
      </c>
      <c r="C167" s="429" t="s">
        <v>14</v>
      </c>
      <c r="D167" s="429" t="s">
        <v>7</v>
      </c>
      <c r="E167" s="429" t="s">
        <v>8</v>
      </c>
      <c r="F167" s="436">
        <v>180</v>
      </c>
      <c r="G167" s="31">
        <f t="shared" si="1"/>
        <v>180</v>
      </c>
      <c r="H167" s="429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</row>
    <row r="168" spans="1:19" s="2" customFormat="1" ht="33" customHeight="1">
      <c r="A168" s="429">
        <v>148</v>
      </c>
      <c r="B168" s="430" t="s">
        <v>421</v>
      </c>
      <c r="C168" s="429" t="s">
        <v>14</v>
      </c>
      <c r="D168" s="429" t="s">
        <v>7</v>
      </c>
      <c r="E168" s="429" t="s">
        <v>8</v>
      </c>
      <c r="F168" s="27">
        <v>180</v>
      </c>
      <c r="G168" s="31">
        <f t="shared" si="1"/>
        <v>180</v>
      </c>
      <c r="H168" s="429"/>
      <c r="J168" s="277"/>
      <c r="K168" s="277"/>
      <c r="L168" s="277"/>
      <c r="M168" s="277"/>
      <c r="N168" s="277"/>
      <c r="O168" s="277"/>
      <c r="P168" s="277"/>
      <c r="Q168" s="277"/>
      <c r="R168" s="277"/>
      <c r="S168" s="277"/>
    </row>
    <row r="169" spans="1:19" s="2" customFormat="1">
      <c r="A169" s="429">
        <v>149</v>
      </c>
      <c r="B169" s="430" t="s">
        <v>428</v>
      </c>
      <c r="C169" s="429" t="s">
        <v>6</v>
      </c>
      <c r="D169" s="429" t="s">
        <v>10</v>
      </c>
      <c r="E169" s="429" t="s">
        <v>8</v>
      </c>
      <c r="F169" s="27">
        <v>180</v>
      </c>
      <c r="G169" s="31">
        <f t="shared" si="1"/>
        <v>180</v>
      </c>
      <c r="H169" s="429"/>
      <c r="J169" s="277"/>
      <c r="K169" s="277"/>
      <c r="L169" s="277"/>
      <c r="M169" s="277"/>
      <c r="N169" s="277"/>
      <c r="O169" s="277"/>
      <c r="P169" s="277"/>
      <c r="Q169" s="277"/>
      <c r="R169" s="277"/>
      <c r="S169" s="277"/>
    </row>
    <row r="170" spans="1:19" s="2" customFormat="1" ht="33" customHeight="1">
      <c r="A170" s="429">
        <v>150</v>
      </c>
      <c r="B170" s="430" t="s">
        <v>450</v>
      </c>
      <c r="C170" s="429" t="s">
        <v>6</v>
      </c>
      <c r="D170" s="429" t="s">
        <v>7</v>
      </c>
      <c r="E170" s="429" t="s">
        <v>8</v>
      </c>
      <c r="F170" s="436">
        <v>180</v>
      </c>
      <c r="G170" s="31">
        <f t="shared" si="1"/>
        <v>180</v>
      </c>
      <c r="H170" s="429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</row>
    <row r="171" spans="1:19" s="2" customFormat="1" ht="33">
      <c r="A171" s="429">
        <v>151</v>
      </c>
      <c r="B171" s="430" t="s">
        <v>717</v>
      </c>
      <c r="C171" s="429" t="s">
        <v>12</v>
      </c>
      <c r="D171" s="429" t="s">
        <v>7</v>
      </c>
      <c r="E171" s="429" t="s">
        <v>8</v>
      </c>
      <c r="F171" s="437">
        <v>180</v>
      </c>
      <c r="G171" s="31">
        <f t="shared" si="1"/>
        <v>180</v>
      </c>
      <c r="H171" s="429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</row>
    <row r="172" spans="1:19" s="2" customFormat="1" ht="16.5" customHeight="1">
      <c r="A172" s="429">
        <v>152</v>
      </c>
      <c r="B172" s="430" t="s">
        <v>723</v>
      </c>
      <c r="C172" s="429" t="s">
        <v>9</v>
      </c>
      <c r="D172" s="429" t="s">
        <v>7</v>
      </c>
      <c r="E172" s="429" t="s">
        <v>8</v>
      </c>
      <c r="F172" s="436">
        <v>180</v>
      </c>
      <c r="G172" s="31">
        <f t="shared" si="1"/>
        <v>180</v>
      </c>
      <c r="H172" s="429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</row>
    <row r="173" spans="1:19" s="2" customFormat="1" ht="16.5" customHeight="1">
      <c r="A173" s="429">
        <v>153</v>
      </c>
      <c r="B173" s="430" t="s">
        <v>739</v>
      </c>
      <c r="C173" s="429" t="s">
        <v>14</v>
      </c>
      <c r="D173" s="429" t="s">
        <v>7</v>
      </c>
      <c r="E173" s="429" t="s">
        <v>8</v>
      </c>
      <c r="F173" s="27">
        <v>180</v>
      </c>
      <c r="G173" s="31">
        <f t="shared" si="1"/>
        <v>180</v>
      </c>
      <c r="H173" s="429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</row>
    <row r="174" spans="1:19" s="2" customFormat="1">
      <c r="A174" s="429">
        <v>154</v>
      </c>
      <c r="B174" s="430" t="s">
        <v>746</v>
      </c>
      <c r="C174" s="429" t="s">
        <v>6</v>
      </c>
      <c r="D174" s="429" t="s">
        <v>7</v>
      </c>
      <c r="E174" s="429" t="s">
        <v>8</v>
      </c>
      <c r="F174" s="27">
        <v>180</v>
      </c>
      <c r="G174" s="31">
        <f t="shared" si="1"/>
        <v>180</v>
      </c>
      <c r="H174" s="429"/>
      <c r="J174" s="277"/>
      <c r="K174" s="277"/>
      <c r="L174" s="277"/>
      <c r="M174" s="277"/>
      <c r="N174" s="277"/>
      <c r="O174" s="277"/>
      <c r="P174" s="277"/>
      <c r="Q174" s="277"/>
      <c r="R174" s="277"/>
      <c r="S174" s="277"/>
    </row>
    <row r="175" spans="1:19" s="2" customFormat="1">
      <c r="A175" s="429">
        <v>155</v>
      </c>
      <c r="B175" s="430" t="s">
        <v>748</v>
      </c>
      <c r="C175" s="429" t="s">
        <v>16</v>
      </c>
      <c r="D175" s="429" t="s">
        <v>7</v>
      </c>
      <c r="E175" s="429" t="s">
        <v>8</v>
      </c>
      <c r="F175" s="27">
        <v>180</v>
      </c>
      <c r="G175" s="31">
        <f t="shared" si="1"/>
        <v>180</v>
      </c>
      <c r="H175" s="429"/>
      <c r="J175" s="277"/>
      <c r="K175" s="277"/>
      <c r="L175" s="277"/>
      <c r="M175" s="277"/>
      <c r="N175" s="277"/>
      <c r="O175" s="277"/>
      <c r="P175" s="277"/>
      <c r="Q175" s="277"/>
      <c r="R175" s="277"/>
      <c r="S175" s="277"/>
    </row>
    <row r="176" spans="1:19" s="2" customFormat="1" ht="33">
      <c r="A176" s="429">
        <v>156</v>
      </c>
      <c r="B176" s="430" t="s">
        <v>765</v>
      </c>
      <c r="C176" s="429" t="s">
        <v>18</v>
      </c>
      <c r="D176" s="429" t="s">
        <v>7</v>
      </c>
      <c r="E176" s="429" t="s">
        <v>8</v>
      </c>
      <c r="F176" s="27">
        <v>180</v>
      </c>
      <c r="G176" s="31">
        <f t="shared" si="1"/>
        <v>180</v>
      </c>
      <c r="H176" s="429"/>
      <c r="J176" s="277"/>
      <c r="K176" s="277"/>
      <c r="L176" s="277"/>
      <c r="M176" s="277"/>
      <c r="N176" s="277"/>
      <c r="O176" s="277"/>
      <c r="P176" s="277"/>
      <c r="Q176" s="277"/>
      <c r="R176" s="277"/>
      <c r="S176" s="277"/>
    </row>
    <row r="177" spans="1:19" s="2" customFormat="1" ht="33">
      <c r="A177" s="429">
        <v>157</v>
      </c>
      <c r="B177" s="430" t="s">
        <v>783</v>
      </c>
      <c r="C177" s="429" t="s">
        <v>6</v>
      </c>
      <c r="D177" s="429" t="s">
        <v>7</v>
      </c>
      <c r="E177" s="429" t="s">
        <v>8</v>
      </c>
      <c r="F177" s="436">
        <v>180</v>
      </c>
      <c r="G177" s="31">
        <f t="shared" si="1"/>
        <v>180</v>
      </c>
      <c r="H177" s="429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</row>
    <row r="178" spans="1:19" s="2" customFormat="1">
      <c r="A178" s="429">
        <v>158</v>
      </c>
      <c r="B178" s="430" t="s">
        <v>790</v>
      </c>
      <c r="C178" s="429" t="s">
        <v>18</v>
      </c>
      <c r="D178" s="429" t="s">
        <v>7</v>
      </c>
      <c r="E178" s="429" t="s">
        <v>8</v>
      </c>
      <c r="F178" s="27">
        <v>180</v>
      </c>
      <c r="G178" s="31">
        <f t="shared" si="1"/>
        <v>180</v>
      </c>
      <c r="H178" s="429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</row>
    <row r="179" spans="1:19" s="2" customFormat="1" ht="33">
      <c r="A179" s="429">
        <v>159</v>
      </c>
      <c r="B179" s="430" t="s">
        <v>803</v>
      </c>
      <c r="C179" s="429" t="s">
        <v>9</v>
      </c>
      <c r="D179" s="429" t="s">
        <v>7</v>
      </c>
      <c r="E179" s="429" t="s">
        <v>8</v>
      </c>
      <c r="F179" s="27">
        <v>180</v>
      </c>
      <c r="G179" s="31">
        <f t="shared" si="1"/>
        <v>180</v>
      </c>
      <c r="H179" s="429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</row>
    <row r="180" spans="1:19" s="2" customFormat="1">
      <c r="A180" s="429">
        <v>160</v>
      </c>
      <c r="B180" s="430" t="s">
        <v>805</v>
      </c>
      <c r="C180" s="429" t="s">
        <v>9</v>
      </c>
      <c r="D180" s="429" t="s">
        <v>7</v>
      </c>
      <c r="E180" s="429" t="s">
        <v>8</v>
      </c>
      <c r="F180" s="436">
        <v>180</v>
      </c>
      <c r="G180" s="31">
        <f t="shared" si="1"/>
        <v>180</v>
      </c>
      <c r="H180" s="429"/>
      <c r="J180" s="277"/>
      <c r="K180" s="277"/>
      <c r="L180" s="277"/>
      <c r="M180" s="277"/>
      <c r="N180" s="277"/>
      <c r="O180" s="277"/>
      <c r="P180" s="277"/>
      <c r="Q180" s="277"/>
      <c r="R180" s="277"/>
      <c r="S180" s="277"/>
    </row>
    <row r="181" spans="1:19" s="2" customFormat="1">
      <c r="A181" s="429">
        <v>161</v>
      </c>
      <c r="B181" s="430" t="s">
        <v>820</v>
      </c>
      <c r="C181" s="429" t="s">
        <v>18</v>
      </c>
      <c r="D181" s="429" t="s">
        <v>7</v>
      </c>
      <c r="E181" s="429" t="s">
        <v>8</v>
      </c>
      <c r="F181" s="27">
        <v>180</v>
      </c>
      <c r="G181" s="31">
        <f t="shared" si="1"/>
        <v>180</v>
      </c>
      <c r="H181" s="429"/>
      <c r="J181" s="277"/>
      <c r="K181" s="277"/>
      <c r="L181" s="277"/>
      <c r="M181" s="277"/>
      <c r="N181" s="277"/>
      <c r="O181" s="277"/>
      <c r="P181" s="277"/>
      <c r="Q181" s="277"/>
      <c r="R181" s="277"/>
      <c r="S181" s="277"/>
    </row>
    <row r="182" spans="1:19" s="2" customFormat="1">
      <c r="A182" s="429">
        <v>162</v>
      </c>
      <c r="B182" s="430" t="s">
        <v>833</v>
      </c>
      <c r="C182" s="429" t="s">
        <v>16</v>
      </c>
      <c r="D182" s="429" t="s">
        <v>7</v>
      </c>
      <c r="E182" s="429" t="s">
        <v>8</v>
      </c>
      <c r="F182" s="437">
        <v>180</v>
      </c>
      <c r="G182" s="31">
        <f t="shared" si="1"/>
        <v>180</v>
      </c>
      <c r="H182" s="429"/>
      <c r="J182" s="277"/>
      <c r="K182" s="277"/>
      <c r="L182" s="277"/>
      <c r="M182" s="277"/>
      <c r="N182" s="277"/>
      <c r="O182" s="277"/>
      <c r="P182" s="277"/>
      <c r="Q182" s="277"/>
      <c r="R182" s="277"/>
      <c r="S182" s="277"/>
    </row>
    <row r="183" spans="1:19" s="2" customFormat="1" ht="33" customHeight="1">
      <c r="A183" s="429">
        <v>163</v>
      </c>
      <c r="B183" s="430" t="s">
        <v>835</v>
      </c>
      <c r="C183" s="429" t="s">
        <v>16</v>
      </c>
      <c r="D183" s="429" t="s">
        <v>7</v>
      </c>
      <c r="E183" s="431" t="s">
        <v>8</v>
      </c>
      <c r="F183" s="439">
        <v>180</v>
      </c>
      <c r="G183" s="31">
        <f t="shared" si="1"/>
        <v>180</v>
      </c>
      <c r="H183" s="429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</row>
    <row r="184" spans="1:19" s="2" customFormat="1" ht="33">
      <c r="A184" s="429">
        <v>164</v>
      </c>
      <c r="B184" s="430" t="s">
        <v>843</v>
      </c>
      <c r="C184" s="429" t="s">
        <v>9</v>
      </c>
      <c r="D184" s="429" t="s">
        <v>7</v>
      </c>
      <c r="E184" s="429" t="s">
        <v>8</v>
      </c>
      <c r="F184" s="27">
        <v>180</v>
      </c>
      <c r="G184" s="31">
        <f t="shared" si="1"/>
        <v>180</v>
      </c>
      <c r="H184" s="429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</row>
    <row r="185" spans="1:19" s="2" customFormat="1" ht="33">
      <c r="A185" s="429">
        <v>165</v>
      </c>
      <c r="B185" s="430" t="s">
        <v>849</v>
      </c>
      <c r="C185" s="429" t="s">
        <v>16</v>
      </c>
      <c r="D185" s="429" t="s">
        <v>7</v>
      </c>
      <c r="E185" s="429" t="s">
        <v>8</v>
      </c>
      <c r="F185" s="27">
        <v>180</v>
      </c>
      <c r="G185" s="31">
        <f t="shared" si="1"/>
        <v>180</v>
      </c>
      <c r="H185" s="429"/>
      <c r="J185" s="277"/>
      <c r="K185" s="277"/>
      <c r="L185" s="277"/>
      <c r="M185" s="277"/>
      <c r="N185" s="277"/>
      <c r="O185" s="277"/>
      <c r="P185" s="277"/>
      <c r="Q185" s="277"/>
      <c r="R185" s="277"/>
      <c r="S185" s="277"/>
    </row>
    <row r="186" spans="1:19" s="6" customFormat="1" ht="33" customHeight="1">
      <c r="A186" s="429">
        <v>166</v>
      </c>
      <c r="B186" s="430" t="s">
        <v>861</v>
      </c>
      <c r="C186" s="429" t="s">
        <v>12</v>
      </c>
      <c r="D186" s="429" t="s">
        <v>7</v>
      </c>
      <c r="E186" s="429" t="s">
        <v>8</v>
      </c>
      <c r="F186" s="27">
        <v>180</v>
      </c>
      <c r="G186" s="31">
        <f t="shared" si="1"/>
        <v>180</v>
      </c>
      <c r="H186" s="429"/>
      <c r="I186" s="2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</row>
    <row r="187" spans="1:19" s="2" customFormat="1" ht="21.75" customHeight="1">
      <c r="A187" s="429">
        <v>167</v>
      </c>
      <c r="B187" s="430" t="s">
        <v>867</v>
      </c>
      <c r="C187" s="429" t="s">
        <v>14</v>
      </c>
      <c r="D187" s="429" t="s">
        <v>7</v>
      </c>
      <c r="E187" s="429" t="s">
        <v>8</v>
      </c>
      <c r="F187" s="27">
        <v>180</v>
      </c>
      <c r="G187" s="31">
        <f t="shared" si="1"/>
        <v>180</v>
      </c>
      <c r="H187" s="429"/>
      <c r="J187" s="277"/>
      <c r="K187" s="277"/>
      <c r="L187" s="278"/>
      <c r="M187" s="278"/>
      <c r="N187" s="278"/>
      <c r="O187" s="278"/>
      <c r="P187" s="278"/>
      <c r="Q187" s="278"/>
      <c r="R187" s="278"/>
      <c r="S187" s="278"/>
    </row>
    <row r="188" spans="1:19" s="2" customFormat="1">
      <c r="A188" s="429">
        <v>168</v>
      </c>
      <c r="B188" s="430" t="s">
        <v>883</v>
      </c>
      <c r="C188" s="429" t="s">
        <v>18</v>
      </c>
      <c r="D188" s="429" t="s">
        <v>10</v>
      </c>
      <c r="E188" s="429" t="s">
        <v>8</v>
      </c>
      <c r="F188" s="27">
        <v>180</v>
      </c>
      <c r="G188" s="31">
        <f t="shared" si="1"/>
        <v>180</v>
      </c>
      <c r="H188" s="429"/>
      <c r="J188" s="277"/>
      <c r="K188" s="277"/>
      <c r="L188" s="277"/>
      <c r="M188" s="277"/>
      <c r="N188" s="277"/>
      <c r="O188" s="277"/>
      <c r="P188" s="277"/>
      <c r="Q188" s="277"/>
      <c r="R188" s="277"/>
      <c r="S188" s="277"/>
    </row>
    <row r="189" spans="1:19" s="2" customFormat="1" ht="33">
      <c r="A189" s="429">
        <v>169</v>
      </c>
      <c r="B189" s="430" t="s">
        <v>894</v>
      </c>
      <c r="C189" s="429" t="s">
        <v>9</v>
      </c>
      <c r="D189" s="429" t="s">
        <v>7</v>
      </c>
      <c r="E189" s="429" t="s">
        <v>8</v>
      </c>
      <c r="F189" s="27">
        <v>180</v>
      </c>
      <c r="G189" s="31">
        <f t="shared" si="1"/>
        <v>180</v>
      </c>
      <c r="H189" s="429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</row>
    <row r="190" spans="1:19" s="2" customFormat="1" ht="16.5" customHeight="1">
      <c r="A190" s="429">
        <v>170</v>
      </c>
      <c r="B190" s="430" t="s">
        <v>929</v>
      </c>
      <c r="C190" s="429" t="s">
        <v>6</v>
      </c>
      <c r="D190" s="429" t="s">
        <v>7</v>
      </c>
      <c r="E190" s="438" t="s">
        <v>8</v>
      </c>
      <c r="F190" s="27">
        <v>180</v>
      </c>
      <c r="G190" s="31">
        <f t="shared" si="1"/>
        <v>180</v>
      </c>
      <c r="H190" s="429"/>
      <c r="J190" s="277"/>
      <c r="K190" s="277"/>
      <c r="L190" s="278"/>
      <c r="M190" s="278"/>
      <c r="N190" s="278"/>
      <c r="O190" s="278"/>
      <c r="P190" s="278"/>
      <c r="Q190" s="278"/>
      <c r="R190" s="278"/>
      <c r="S190" s="278"/>
    </row>
    <row r="191" spans="1:19" s="2" customFormat="1" ht="16.5" customHeight="1">
      <c r="A191" s="429">
        <v>171</v>
      </c>
      <c r="B191" s="430" t="s">
        <v>945</v>
      </c>
      <c r="C191" s="429" t="s">
        <v>14</v>
      </c>
      <c r="D191" s="429" t="s">
        <v>7</v>
      </c>
      <c r="E191" s="429" t="s">
        <v>8</v>
      </c>
      <c r="F191" s="27">
        <v>180</v>
      </c>
      <c r="G191" s="31">
        <f t="shared" si="1"/>
        <v>180</v>
      </c>
      <c r="H191" s="429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</row>
    <row r="192" spans="1:19" s="2" customFormat="1" ht="33">
      <c r="A192" s="429">
        <v>172</v>
      </c>
      <c r="B192" s="430" t="s">
        <v>955</v>
      </c>
      <c r="C192" s="429"/>
      <c r="D192" s="429"/>
      <c r="E192" s="429" t="s">
        <v>8</v>
      </c>
      <c r="F192" s="437">
        <v>180</v>
      </c>
      <c r="G192" s="31">
        <f t="shared" si="1"/>
        <v>180</v>
      </c>
      <c r="H192" s="429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</row>
    <row r="193" spans="1:19" s="2" customFormat="1">
      <c r="A193" s="429">
        <v>173</v>
      </c>
      <c r="B193" s="430" t="s">
        <v>962</v>
      </c>
      <c r="C193" s="429" t="s">
        <v>14</v>
      </c>
      <c r="D193" s="429" t="s">
        <v>7</v>
      </c>
      <c r="E193" s="429" t="s">
        <v>8</v>
      </c>
      <c r="F193" s="27">
        <v>180</v>
      </c>
      <c r="G193" s="31">
        <f t="shared" si="1"/>
        <v>180</v>
      </c>
      <c r="H193" s="429"/>
      <c r="J193" s="277"/>
      <c r="K193" s="277"/>
      <c r="L193" s="277"/>
      <c r="M193" s="277"/>
      <c r="N193" s="277"/>
      <c r="O193" s="277"/>
      <c r="P193" s="277"/>
      <c r="Q193" s="277"/>
      <c r="R193" s="277"/>
      <c r="S193" s="277"/>
    </row>
    <row r="194" spans="1:19" s="2" customFormat="1">
      <c r="A194" s="429">
        <v>174</v>
      </c>
      <c r="B194" s="430" t="s">
        <v>964</v>
      </c>
      <c r="C194" s="429" t="s">
        <v>6</v>
      </c>
      <c r="D194" s="429" t="s">
        <v>7</v>
      </c>
      <c r="E194" s="429" t="s">
        <v>8</v>
      </c>
      <c r="F194" s="436">
        <v>180</v>
      </c>
      <c r="G194" s="31">
        <f t="shared" si="1"/>
        <v>180</v>
      </c>
      <c r="H194" s="429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</row>
    <row r="195" spans="1:19" s="2" customFormat="1">
      <c r="A195" s="429">
        <v>175</v>
      </c>
      <c r="B195" s="430" t="s">
        <v>971</v>
      </c>
      <c r="C195" s="429" t="s">
        <v>12</v>
      </c>
      <c r="D195" s="429" t="s">
        <v>7</v>
      </c>
      <c r="E195" s="429" t="s">
        <v>8</v>
      </c>
      <c r="F195" s="27">
        <v>180</v>
      </c>
      <c r="G195" s="31">
        <f t="shared" si="1"/>
        <v>180</v>
      </c>
      <c r="H195" s="429"/>
      <c r="J195" s="277"/>
      <c r="K195" s="277"/>
      <c r="L195" s="277"/>
      <c r="M195" s="277"/>
      <c r="N195" s="277"/>
      <c r="O195" s="277"/>
      <c r="P195" s="277"/>
      <c r="Q195" s="277"/>
      <c r="R195" s="277"/>
      <c r="S195" s="277"/>
    </row>
    <row r="196" spans="1:19" s="2" customFormat="1" ht="33">
      <c r="A196" s="429">
        <v>176</v>
      </c>
      <c r="B196" s="430" t="s">
        <v>973</v>
      </c>
      <c r="C196" s="429"/>
      <c r="D196" s="429" t="s">
        <v>7</v>
      </c>
      <c r="E196" s="429" t="s">
        <v>8</v>
      </c>
      <c r="F196" s="436">
        <v>180</v>
      </c>
      <c r="G196" s="31">
        <f t="shared" si="1"/>
        <v>180</v>
      </c>
      <c r="H196" s="429"/>
      <c r="J196" s="277"/>
      <c r="K196" s="277"/>
      <c r="L196" s="277"/>
      <c r="M196" s="277"/>
      <c r="N196" s="277"/>
      <c r="O196" s="277"/>
      <c r="P196" s="277"/>
      <c r="Q196" s="277"/>
      <c r="R196" s="277"/>
      <c r="S196" s="277"/>
    </row>
    <row r="197" spans="1:19" s="2" customFormat="1">
      <c r="A197" s="429">
        <v>177</v>
      </c>
      <c r="B197" s="430" t="s">
        <v>975</v>
      </c>
      <c r="C197" s="429" t="s">
        <v>15</v>
      </c>
      <c r="D197" s="429" t="s">
        <v>7</v>
      </c>
      <c r="E197" s="429" t="s">
        <v>8</v>
      </c>
      <c r="F197" s="436">
        <v>180</v>
      </c>
      <c r="G197" s="31">
        <f t="shared" si="1"/>
        <v>180</v>
      </c>
      <c r="H197" s="429"/>
      <c r="J197" s="277"/>
      <c r="K197" s="277"/>
      <c r="L197" s="277"/>
      <c r="M197" s="277"/>
      <c r="N197" s="277"/>
      <c r="O197" s="277"/>
      <c r="P197" s="277"/>
      <c r="Q197" s="277"/>
      <c r="R197" s="277"/>
      <c r="S197" s="277"/>
    </row>
    <row r="198" spans="1:19" s="2" customFormat="1" ht="33" customHeight="1">
      <c r="A198" s="429">
        <v>178</v>
      </c>
      <c r="B198" s="430" t="s">
        <v>976</v>
      </c>
      <c r="C198" s="429" t="s">
        <v>14</v>
      </c>
      <c r="D198" s="429" t="s">
        <v>7</v>
      </c>
      <c r="E198" s="429" t="s">
        <v>8</v>
      </c>
      <c r="F198" s="436">
        <v>180</v>
      </c>
      <c r="G198" s="31">
        <f t="shared" ref="G198:G261" si="2">F198</f>
        <v>180</v>
      </c>
      <c r="H198" s="429"/>
      <c r="J198" s="277"/>
      <c r="K198" s="277"/>
      <c r="L198" s="228"/>
      <c r="M198" s="228"/>
      <c r="N198" s="228"/>
      <c r="O198" s="228"/>
      <c r="P198" s="228"/>
      <c r="Q198" s="228"/>
      <c r="R198" s="228"/>
      <c r="S198" s="228"/>
    </row>
    <row r="199" spans="1:19" s="2" customFormat="1" ht="26.1" customHeight="1">
      <c r="A199" s="429">
        <v>179</v>
      </c>
      <c r="B199" s="430" t="s">
        <v>977</v>
      </c>
      <c r="C199" s="429" t="s">
        <v>12</v>
      </c>
      <c r="D199" s="429" t="s">
        <v>7</v>
      </c>
      <c r="E199" s="429" t="s">
        <v>8</v>
      </c>
      <c r="F199" s="27">
        <v>180</v>
      </c>
      <c r="G199" s="31">
        <f t="shared" si="2"/>
        <v>180</v>
      </c>
      <c r="H199" s="429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</row>
    <row r="200" spans="1:19" s="2" customFormat="1" ht="21" customHeight="1">
      <c r="A200" s="429">
        <v>180</v>
      </c>
      <c r="B200" s="430" t="s">
        <v>978</v>
      </c>
      <c r="C200" s="429" t="s">
        <v>9</v>
      </c>
      <c r="D200" s="429" t="s">
        <v>7</v>
      </c>
      <c r="E200" s="438" t="s">
        <v>8</v>
      </c>
      <c r="F200" s="27">
        <v>180</v>
      </c>
      <c r="G200" s="31">
        <f t="shared" si="2"/>
        <v>180</v>
      </c>
      <c r="H200" s="429"/>
      <c r="J200" s="277"/>
      <c r="K200" s="277"/>
      <c r="L200" s="277"/>
      <c r="M200" s="277"/>
      <c r="N200" s="277"/>
      <c r="O200" s="277"/>
      <c r="P200" s="277"/>
      <c r="Q200" s="277"/>
      <c r="R200" s="277"/>
      <c r="S200" s="277"/>
    </row>
    <row r="201" spans="1:19" s="2" customFormat="1">
      <c r="A201" s="429">
        <v>181</v>
      </c>
      <c r="B201" s="430" t="s">
        <v>986</v>
      </c>
      <c r="C201" s="429" t="s">
        <v>6</v>
      </c>
      <c r="D201" s="429" t="s">
        <v>7</v>
      </c>
      <c r="E201" s="429" t="s">
        <v>8</v>
      </c>
      <c r="F201" s="27">
        <v>180</v>
      </c>
      <c r="G201" s="31">
        <f t="shared" si="2"/>
        <v>180</v>
      </c>
      <c r="H201" s="429"/>
      <c r="J201" s="277"/>
      <c r="K201" s="277"/>
      <c r="L201" s="277"/>
      <c r="M201" s="277"/>
      <c r="N201" s="277"/>
      <c r="O201" s="277"/>
      <c r="P201" s="277"/>
      <c r="Q201" s="277"/>
      <c r="R201" s="277"/>
      <c r="S201" s="277"/>
    </row>
    <row r="202" spans="1:19" s="2" customFormat="1" ht="33">
      <c r="A202" s="429">
        <v>182</v>
      </c>
      <c r="B202" s="430" t="s">
        <v>987</v>
      </c>
      <c r="C202" s="429" t="s">
        <v>16</v>
      </c>
      <c r="D202" s="429" t="s">
        <v>7</v>
      </c>
      <c r="E202" s="429" t="s">
        <v>8</v>
      </c>
      <c r="F202" s="27">
        <v>180</v>
      </c>
      <c r="G202" s="31">
        <f t="shared" si="2"/>
        <v>180</v>
      </c>
      <c r="H202" s="429"/>
      <c r="J202" s="277"/>
      <c r="K202" s="277"/>
      <c r="L202" s="277"/>
      <c r="M202" s="277"/>
      <c r="N202" s="277"/>
      <c r="O202" s="277"/>
      <c r="P202" s="277"/>
      <c r="Q202" s="277"/>
      <c r="R202" s="277"/>
      <c r="S202" s="277"/>
    </row>
    <row r="203" spans="1:19" s="2" customFormat="1">
      <c r="A203" s="429">
        <v>183</v>
      </c>
      <c r="B203" s="430" t="s">
        <v>1017</v>
      </c>
      <c r="C203" s="429" t="s">
        <v>14</v>
      </c>
      <c r="D203" s="429" t="s">
        <v>7</v>
      </c>
      <c r="E203" s="429" t="s">
        <v>8</v>
      </c>
      <c r="F203" s="27">
        <v>180</v>
      </c>
      <c r="G203" s="31">
        <f t="shared" si="2"/>
        <v>180</v>
      </c>
      <c r="H203" s="429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</row>
    <row r="204" spans="1:19" s="2" customFormat="1" ht="33" customHeight="1">
      <c r="A204" s="429">
        <v>184</v>
      </c>
      <c r="B204" s="430" t="s">
        <v>167</v>
      </c>
      <c r="C204" s="429" t="s">
        <v>6</v>
      </c>
      <c r="D204" s="429" t="s">
        <v>7</v>
      </c>
      <c r="E204" s="429" t="s">
        <v>8</v>
      </c>
      <c r="F204" s="27">
        <v>180</v>
      </c>
      <c r="G204" s="31">
        <f t="shared" si="2"/>
        <v>180</v>
      </c>
      <c r="H204" s="429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</row>
    <row r="205" spans="1:19" s="2" customFormat="1" ht="16.5" customHeight="1">
      <c r="A205" s="429">
        <v>185</v>
      </c>
      <c r="B205" s="430" t="s">
        <v>68</v>
      </c>
      <c r="C205" s="429" t="s">
        <v>6</v>
      </c>
      <c r="D205" s="429" t="s">
        <v>7</v>
      </c>
      <c r="E205" s="429" t="s">
        <v>8</v>
      </c>
      <c r="F205" s="436">
        <v>180</v>
      </c>
      <c r="G205" s="31">
        <f t="shared" si="2"/>
        <v>180</v>
      </c>
      <c r="H205" s="429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</row>
    <row r="206" spans="1:19" s="2" customFormat="1" ht="33">
      <c r="A206" s="429">
        <v>186</v>
      </c>
      <c r="B206" s="430" t="s">
        <v>76</v>
      </c>
      <c r="C206" s="429" t="s">
        <v>6</v>
      </c>
      <c r="D206" s="429" t="s">
        <v>7</v>
      </c>
      <c r="E206" s="429" t="s">
        <v>8</v>
      </c>
      <c r="F206" s="27">
        <v>180</v>
      </c>
      <c r="G206" s="31">
        <f t="shared" si="2"/>
        <v>180</v>
      </c>
      <c r="H206" s="429"/>
      <c r="J206" s="277"/>
      <c r="K206" s="277"/>
      <c r="L206" s="277"/>
      <c r="M206" s="277"/>
      <c r="N206" s="277"/>
      <c r="O206" s="277"/>
      <c r="P206" s="277"/>
      <c r="Q206" s="277"/>
      <c r="R206" s="277"/>
      <c r="S206" s="277"/>
    </row>
    <row r="207" spans="1:19" s="2" customFormat="1" ht="16.5" customHeight="1">
      <c r="A207" s="429">
        <v>187</v>
      </c>
      <c r="B207" s="430" t="s">
        <v>181</v>
      </c>
      <c r="C207" s="429" t="s">
        <v>9</v>
      </c>
      <c r="D207" s="429" t="s">
        <v>7</v>
      </c>
      <c r="E207" s="429" t="s">
        <v>8</v>
      </c>
      <c r="F207" s="27">
        <v>180</v>
      </c>
      <c r="G207" s="31">
        <f t="shared" si="2"/>
        <v>180</v>
      </c>
      <c r="H207" s="429"/>
      <c r="J207" s="277"/>
      <c r="K207" s="277"/>
      <c r="L207" s="278"/>
      <c r="M207" s="278"/>
      <c r="N207" s="278"/>
      <c r="O207" s="278"/>
      <c r="P207" s="278"/>
      <c r="Q207" s="278"/>
      <c r="R207" s="278"/>
      <c r="S207" s="278"/>
    </row>
    <row r="208" spans="1:19" s="2" customFormat="1" ht="33">
      <c r="A208" s="429">
        <v>188</v>
      </c>
      <c r="B208" s="430" t="s">
        <v>80</v>
      </c>
      <c r="C208" s="429" t="s">
        <v>12</v>
      </c>
      <c r="D208" s="429" t="s">
        <v>7</v>
      </c>
      <c r="E208" s="429" t="s">
        <v>8</v>
      </c>
      <c r="F208" s="27">
        <v>180</v>
      </c>
      <c r="G208" s="31">
        <f t="shared" si="2"/>
        <v>180</v>
      </c>
      <c r="H208" s="429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</row>
    <row r="209" spans="1:19" s="2" customFormat="1">
      <c r="A209" s="429">
        <v>189</v>
      </c>
      <c r="B209" s="430" t="s">
        <v>85</v>
      </c>
      <c r="C209" s="429" t="s">
        <v>18</v>
      </c>
      <c r="D209" s="429" t="s">
        <v>7</v>
      </c>
      <c r="E209" s="429" t="s">
        <v>8</v>
      </c>
      <c r="F209" s="27">
        <v>180</v>
      </c>
      <c r="G209" s="31">
        <f t="shared" si="2"/>
        <v>180</v>
      </c>
      <c r="H209" s="429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</row>
    <row r="210" spans="1:19" s="2" customFormat="1">
      <c r="A210" s="429">
        <v>190</v>
      </c>
      <c r="B210" s="430" t="s">
        <v>86</v>
      </c>
      <c r="C210" s="429" t="s">
        <v>18</v>
      </c>
      <c r="D210" s="429" t="s">
        <v>7</v>
      </c>
      <c r="E210" s="429" t="s">
        <v>8</v>
      </c>
      <c r="F210" s="27">
        <v>180</v>
      </c>
      <c r="G210" s="31">
        <f t="shared" si="2"/>
        <v>180</v>
      </c>
      <c r="H210" s="429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</row>
    <row r="211" spans="1:19" s="2" customFormat="1" ht="16.5" customHeight="1">
      <c r="A211" s="429">
        <v>191</v>
      </c>
      <c r="B211" s="430" t="s">
        <v>92</v>
      </c>
      <c r="C211" s="429" t="s">
        <v>18</v>
      </c>
      <c r="D211" s="429" t="s">
        <v>7</v>
      </c>
      <c r="E211" s="429" t="s">
        <v>8</v>
      </c>
      <c r="F211" s="27">
        <v>180</v>
      </c>
      <c r="G211" s="31">
        <f t="shared" si="2"/>
        <v>180</v>
      </c>
      <c r="H211" s="429"/>
      <c r="J211" s="277"/>
      <c r="K211" s="277"/>
      <c r="L211" s="277"/>
      <c r="M211" s="277"/>
      <c r="N211" s="277"/>
      <c r="O211" s="277"/>
      <c r="P211" s="277"/>
      <c r="Q211" s="277"/>
      <c r="R211" s="277"/>
      <c r="S211" s="277"/>
    </row>
    <row r="212" spans="1:19" s="2" customFormat="1" ht="33">
      <c r="A212" s="429">
        <v>192</v>
      </c>
      <c r="B212" s="430" t="s">
        <v>93</v>
      </c>
      <c r="C212" s="429" t="s">
        <v>18</v>
      </c>
      <c r="D212" s="429" t="s">
        <v>7</v>
      </c>
      <c r="E212" s="429" t="s">
        <v>8</v>
      </c>
      <c r="F212" s="27">
        <v>180</v>
      </c>
      <c r="G212" s="31">
        <f t="shared" si="2"/>
        <v>180</v>
      </c>
      <c r="H212" s="429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</row>
    <row r="213" spans="1:19" s="2" customFormat="1" ht="16.5" customHeight="1">
      <c r="A213" s="429">
        <v>193</v>
      </c>
      <c r="B213" s="430" t="s">
        <v>99</v>
      </c>
      <c r="C213" s="429" t="s">
        <v>14</v>
      </c>
      <c r="D213" s="429" t="s">
        <v>7</v>
      </c>
      <c r="E213" s="429" t="s">
        <v>8</v>
      </c>
      <c r="F213" s="27">
        <v>180</v>
      </c>
      <c r="G213" s="31">
        <f t="shared" si="2"/>
        <v>180</v>
      </c>
      <c r="H213" s="429"/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</row>
    <row r="214" spans="1:19" s="2" customFormat="1" ht="33">
      <c r="A214" s="429">
        <v>194</v>
      </c>
      <c r="B214" s="430" t="s">
        <v>105</v>
      </c>
      <c r="C214" s="429" t="s">
        <v>6</v>
      </c>
      <c r="D214" s="429" t="s">
        <v>7</v>
      </c>
      <c r="E214" s="429" t="s">
        <v>8</v>
      </c>
      <c r="F214" s="27">
        <v>180</v>
      </c>
      <c r="G214" s="31">
        <f t="shared" si="2"/>
        <v>180</v>
      </c>
      <c r="H214" s="429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</row>
    <row r="215" spans="1:19" s="2" customFormat="1" ht="33">
      <c r="A215" s="429">
        <v>195</v>
      </c>
      <c r="B215" s="430" t="s">
        <v>110</v>
      </c>
      <c r="C215" s="429" t="s">
        <v>12</v>
      </c>
      <c r="D215" s="429" t="s">
        <v>7</v>
      </c>
      <c r="E215" s="429" t="s">
        <v>8</v>
      </c>
      <c r="F215" s="27">
        <v>180</v>
      </c>
      <c r="G215" s="31">
        <f t="shared" si="2"/>
        <v>180</v>
      </c>
      <c r="H215" s="429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</row>
    <row r="216" spans="1:19" s="2" customFormat="1">
      <c r="A216" s="429">
        <v>196</v>
      </c>
      <c r="B216" s="430" t="s">
        <v>122</v>
      </c>
      <c r="C216" s="429" t="s">
        <v>6</v>
      </c>
      <c r="D216" s="429" t="s">
        <v>7</v>
      </c>
      <c r="E216" s="429" t="s">
        <v>8</v>
      </c>
      <c r="F216" s="27">
        <v>180</v>
      </c>
      <c r="G216" s="31">
        <f t="shared" si="2"/>
        <v>180</v>
      </c>
      <c r="H216" s="429"/>
      <c r="J216" s="277"/>
      <c r="K216" s="277"/>
      <c r="L216" s="277"/>
      <c r="M216" s="277"/>
      <c r="N216" s="277"/>
      <c r="O216" s="277"/>
      <c r="P216" s="277"/>
      <c r="Q216" s="277"/>
      <c r="R216" s="277"/>
      <c r="S216" s="277"/>
    </row>
    <row r="217" spans="1:19" s="2" customFormat="1" ht="33" customHeight="1">
      <c r="A217" s="429">
        <v>197</v>
      </c>
      <c r="B217" s="430" t="s">
        <v>123</v>
      </c>
      <c r="C217" s="429" t="s">
        <v>6</v>
      </c>
      <c r="D217" s="429" t="s">
        <v>7</v>
      </c>
      <c r="E217" s="429" t="s">
        <v>8</v>
      </c>
      <c r="F217" s="27">
        <v>180</v>
      </c>
      <c r="G217" s="31">
        <f t="shared" si="2"/>
        <v>180</v>
      </c>
      <c r="H217" s="429"/>
      <c r="J217" s="277"/>
      <c r="K217" s="277"/>
      <c r="L217" s="277"/>
      <c r="M217" s="277"/>
      <c r="N217" s="277"/>
      <c r="O217" s="277"/>
      <c r="P217" s="277"/>
      <c r="Q217" s="277"/>
      <c r="R217" s="277"/>
      <c r="S217" s="277"/>
    </row>
    <row r="218" spans="1:19" s="2" customFormat="1">
      <c r="A218" s="429">
        <v>198</v>
      </c>
      <c r="B218" s="430" t="s">
        <v>124</v>
      </c>
      <c r="C218" s="429" t="s">
        <v>6</v>
      </c>
      <c r="D218" s="429" t="s">
        <v>7</v>
      </c>
      <c r="E218" s="429" t="s">
        <v>8</v>
      </c>
      <c r="F218" s="436">
        <v>180</v>
      </c>
      <c r="G218" s="31">
        <f t="shared" si="2"/>
        <v>180</v>
      </c>
      <c r="H218" s="429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</row>
    <row r="219" spans="1:19" s="2" customFormat="1">
      <c r="A219" s="429">
        <v>199</v>
      </c>
      <c r="B219" s="430" t="s">
        <v>127</v>
      </c>
      <c r="C219" s="429" t="s">
        <v>18</v>
      </c>
      <c r="D219" s="429" t="s">
        <v>7</v>
      </c>
      <c r="E219" s="429" t="s">
        <v>8</v>
      </c>
      <c r="F219" s="27">
        <v>180</v>
      </c>
      <c r="G219" s="31">
        <f t="shared" si="2"/>
        <v>180</v>
      </c>
      <c r="H219" s="429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</row>
    <row r="220" spans="1:19" s="2" customFormat="1" ht="33">
      <c r="A220" s="429">
        <v>200</v>
      </c>
      <c r="B220" s="430" t="s">
        <v>128</v>
      </c>
      <c r="C220" s="429" t="s">
        <v>6</v>
      </c>
      <c r="D220" s="429" t="s">
        <v>7</v>
      </c>
      <c r="E220" s="429" t="s">
        <v>8</v>
      </c>
      <c r="F220" s="27">
        <v>180</v>
      </c>
      <c r="G220" s="31">
        <f t="shared" si="2"/>
        <v>180</v>
      </c>
      <c r="H220" s="429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</row>
    <row r="221" spans="1:19" s="2" customFormat="1" ht="33">
      <c r="A221" s="429">
        <v>201</v>
      </c>
      <c r="B221" s="430" t="s">
        <v>129</v>
      </c>
      <c r="C221" s="429" t="s">
        <v>9</v>
      </c>
      <c r="D221" s="429" t="s">
        <v>7</v>
      </c>
      <c r="E221" s="429" t="s">
        <v>8</v>
      </c>
      <c r="F221" s="436">
        <v>180</v>
      </c>
      <c r="G221" s="31">
        <f t="shared" si="2"/>
        <v>180</v>
      </c>
      <c r="H221" s="429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</row>
    <row r="222" spans="1:19" s="2" customFormat="1">
      <c r="A222" s="429">
        <v>202</v>
      </c>
      <c r="B222" s="430" t="s">
        <v>133</v>
      </c>
      <c r="C222" s="429" t="s">
        <v>14</v>
      </c>
      <c r="D222" s="429" t="s">
        <v>7</v>
      </c>
      <c r="E222" s="429" t="s">
        <v>8</v>
      </c>
      <c r="F222" s="436">
        <v>180</v>
      </c>
      <c r="G222" s="31">
        <f t="shared" si="2"/>
        <v>180</v>
      </c>
      <c r="H222" s="429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</row>
    <row r="223" spans="1:19" s="2" customFormat="1" ht="33">
      <c r="A223" s="429">
        <v>203</v>
      </c>
      <c r="B223" s="430" t="s">
        <v>136</v>
      </c>
      <c r="C223" s="429" t="s">
        <v>6</v>
      </c>
      <c r="D223" s="429" t="s">
        <v>7</v>
      </c>
      <c r="E223" s="429" t="s">
        <v>8</v>
      </c>
      <c r="F223" s="27">
        <v>180</v>
      </c>
      <c r="G223" s="31">
        <f t="shared" si="2"/>
        <v>180</v>
      </c>
      <c r="H223" s="429"/>
      <c r="J223" s="277"/>
      <c r="K223" s="277"/>
      <c r="L223" s="277"/>
      <c r="M223" s="277"/>
      <c r="N223" s="277"/>
      <c r="O223" s="277"/>
      <c r="P223" s="277"/>
      <c r="Q223" s="277"/>
      <c r="R223" s="277"/>
      <c r="S223" s="277"/>
    </row>
    <row r="224" spans="1:19" s="2" customFormat="1" ht="16.5" customHeight="1">
      <c r="A224" s="429">
        <v>204</v>
      </c>
      <c r="B224" s="430" t="s">
        <v>149</v>
      </c>
      <c r="C224" s="429" t="s">
        <v>9</v>
      </c>
      <c r="D224" s="429" t="s">
        <v>7</v>
      </c>
      <c r="E224" s="438" t="s">
        <v>8</v>
      </c>
      <c r="F224" s="27">
        <v>180</v>
      </c>
      <c r="G224" s="31">
        <f t="shared" si="2"/>
        <v>180</v>
      </c>
      <c r="H224" s="429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</row>
    <row r="225" spans="1:19" s="2" customFormat="1" ht="33">
      <c r="A225" s="429">
        <v>205</v>
      </c>
      <c r="B225" s="430" t="s">
        <v>150</v>
      </c>
      <c r="C225" s="429" t="s">
        <v>16</v>
      </c>
      <c r="D225" s="429" t="s">
        <v>7</v>
      </c>
      <c r="E225" s="429" t="s">
        <v>8</v>
      </c>
      <c r="F225" s="27">
        <v>180</v>
      </c>
      <c r="G225" s="31">
        <f t="shared" si="2"/>
        <v>180</v>
      </c>
      <c r="H225" s="429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</row>
    <row r="226" spans="1:19" s="2" customFormat="1" ht="33" customHeight="1">
      <c r="A226" s="429">
        <v>206</v>
      </c>
      <c r="B226" s="430" t="s">
        <v>151</v>
      </c>
      <c r="C226" s="429" t="s">
        <v>9</v>
      </c>
      <c r="D226" s="429"/>
      <c r="E226" s="438" t="s">
        <v>8</v>
      </c>
      <c r="F226" s="27">
        <v>180</v>
      </c>
      <c r="G226" s="31">
        <f t="shared" si="2"/>
        <v>180</v>
      </c>
      <c r="H226" s="429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</row>
    <row r="227" spans="1:19" s="2" customFormat="1">
      <c r="A227" s="429">
        <v>207</v>
      </c>
      <c r="B227" s="430" t="s">
        <v>154</v>
      </c>
      <c r="C227" s="429" t="s">
        <v>18</v>
      </c>
      <c r="D227" s="429" t="s">
        <v>7</v>
      </c>
      <c r="E227" s="429" t="s">
        <v>8</v>
      </c>
      <c r="F227" s="27">
        <v>180</v>
      </c>
      <c r="G227" s="31">
        <f t="shared" si="2"/>
        <v>180</v>
      </c>
      <c r="H227" s="429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</row>
    <row r="228" spans="1:19" s="2" customFormat="1" ht="33" customHeight="1">
      <c r="A228" s="429">
        <v>208</v>
      </c>
      <c r="B228" s="430" t="s">
        <v>164</v>
      </c>
      <c r="C228" s="429" t="s">
        <v>6</v>
      </c>
      <c r="D228" s="429" t="s">
        <v>7</v>
      </c>
      <c r="E228" s="431" t="s">
        <v>8</v>
      </c>
      <c r="F228" s="432">
        <v>180</v>
      </c>
      <c r="G228" s="31">
        <f t="shared" si="2"/>
        <v>180</v>
      </c>
      <c r="H228" s="429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</row>
    <row r="229" spans="1:19" s="2" customFormat="1" ht="16.5" customHeight="1">
      <c r="A229" s="429">
        <v>209</v>
      </c>
      <c r="B229" s="430" t="s">
        <v>166</v>
      </c>
      <c r="C229" s="429" t="s">
        <v>15</v>
      </c>
      <c r="D229" s="429" t="s">
        <v>10</v>
      </c>
      <c r="E229" s="431" t="s">
        <v>8</v>
      </c>
      <c r="F229" s="432">
        <v>180</v>
      </c>
      <c r="G229" s="31">
        <f t="shared" si="2"/>
        <v>180</v>
      </c>
      <c r="H229" s="429"/>
      <c r="J229" s="277"/>
      <c r="K229" s="277"/>
      <c r="L229" s="277"/>
      <c r="M229" s="277"/>
      <c r="N229" s="277"/>
      <c r="O229" s="277"/>
      <c r="P229" s="277"/>
      <c r="Q229" s="277"/>
      <c r="R229" s="277"/>
      <c r="S229" s="277"/>
    </row>
    <row r="230" spans="1:19" s="2" customFormat="1">
      <c r="A230" s="429">
        <v>210</v>
      </c>
      <c r="B230" s="430" t="s">
        <v>168</v>
      </c>
      <c r="C230" s="429" t="s">
        <v>6</v>
      </c>
      <c r="D230" s="429" t="s">
        <v>7</v>
      </c>
      <c r="E230" s="429" t="s">
        <v>8</v>
      </c>
      <c r="F230" s="27">
        <v>180</v>
      </c>
      <c r="G230" s="31">
        <f t="shared" si="2"/>
        <v>180</v>
      </c>
      <c r="H230" s="429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</row>
    <row r="231" spans="1:19" s="2" customFormat="1" ht="33" customHeight="1">
      <c r="A231" s="429">
        <v>211</v>
      </c>
      <c r="B231" s="430" t="s">
        <v>173</v>
      </c>
      <c r="C231" s="429" t="s">
        <v>12</v>
      </c>
      <c r="D231" s="429" t="s">
        <v>7</v>
      </c>
      <c r="E231" s="429" t="s">
        <v>8</v>
      </c>
      <c r="F231" s="27">
        <v>180</v>
      </c>
      <c r="G231" s="31">
        <f t="shared" si="2"/>
        <v>180</v>
      </c>
      <c r="H231" s="429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</row>
    <row r="232" spans="1:19" s="2" customFormat="1" ht="16.5" customHeight="1">
      <c r="A232" s="429">
        <v>212</v>
      </c>
      <c r="B232" s="430" t="s">
        <v>190</v>
      </c>
      <c r="C232" s="429"/>
      <c r="D232" s="429"/>
      <c r="E232" s="429" t="s">
        <v>8</v>
      </c>
      <c r="F232" s="27">
        <v>180</v>
      </c>
      <c r="G232" s="31">
        <f t="shared" si="2"/>
        <v>180</v>
      </c>
      <c r="H232" s="429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</row>
    <row r="233" spans="1:19" s="2" customFormat="1">
      <c r="A233" s="429">
        <v>213</v>
      </c>
      <c r="B233" s="430" t="s">
        <v>192</v>
      </c>
      <c r="C233" s="429" t="s">
        <v>14</v>
      </c>
      <c r="D233" s="429" t="s">
        <v>7</v>
      </c>
      <c r="E233" s="429" t="s">
        <v>8</v>
      </c>
      <c r="F233" s="27">
        <v>180</v>
      </c>
      <c r="G233" s="31">
        <f t="shared" si="2"/>
        <v>180</v>
      </c>
      <c r="H233" s="429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</row>
    <row r="234" spans="1:19" s="2" customFormat="1" ht="33">
      <c r="A234" s="429">
        <v>214</v>
      </c>
      <c r="B234" s="430" t="s">
        <v>208</v>
      </c>
      <c r="C234" s="429" t="s">
        <v>6</v>
      </c>
      <c r="D234" s="429" t="s">
        <v>7</v>
      </c>
      <c r="E234" s="429" t="s">
        <v>8</v>
      </c>
      <c r="F234" s="27">
        <v>180</v>
      </c>
      <c r="G234" s="31">
        <f t="shared" si="2"/>
        <v>180</v>
      </c>
      <c r="H234" s="429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</row>
    <row r="235" spans="1:19" s="2" customFormat="1" ht="16.5" customHeight="1">
      <c r="A235" s="429">
        <v>215</v>
      </c>
      <c r="B235" s="430" t="s">
        <v>217</v>
      </c>
      <c r="C235" s="429" t="s">
        <v>12</v>
      </c>
      <c r="D235" s="429" t="s">
        <v>7</v>
      </c>
      <c r="E235" s="429" t="s">
        <v>8</v>
      </c>
      <c r="F235" s="27">
        <v>180</v>
      </c>
      <c r="G235" s="31">
        <f t="shared" si="2"/>
        <v>180</v>
      </c>
      <c r="H235" s="429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</row>
    <row r="236" spans="1:19" s="2" customFormat="1" ht="33">
      <c r="A236" s="429">
        <v>216</v>
      </c>
      <c r="B236" s="430" t="s">
        <v>218</v>
      </c>
      <c r="C236" s="429" t="s">
        <v>6</v>
      </c>
      <c r="D236" s="429" t="s">
        <v>7</v>
      </c>
      <c r="E236" s="429" t="s">
        <v>8</v>
      </c>
      <c r="F236" s="27">
        <v>180</v>
      </c>
      <c r="G236" s="31">
        <f t="shared" si="2"/>
        <v>180</v>
      </c>
      <c r="H236" s="429"/>
      <c r="J236" s="277"/>
      <c r="K236" s="277"/>
      <c r="L236" s="277"/>
      <c r="M236" s="277"/>
      <c r="N236" s="277"/>
      <c r="O236" s="277"/>
      <c r="P236" s="277"/>
      <c r="Q236" s="277"/>
      <c r="R236" s="277"/>
      <c r="S236" s="277"/>
    </row>
    <row r="237" spans="1:19" s="2" customFormat="1">
      <c r="A237" s="429">
        <v>217</v>
      </c>
      <c r="B237" s="430" t="s">
        <v>228</v>
      </c>
      <c r="C237" s="429" t="s">
        <v>16</v>
      </c>
      <c r="D237" s="429" t="s">
        <v>10</v>
      </c>
      <c r="E237" s="429" t="s">
        <v>8</v>
      </c>
      <c r="F237" s="27">
        <v>180</v>
      </c>
      <c r="G237" s="31">
        <f t="shared" si="2"/>
        <v>180</v>
      </c>
      <c r="H237" s="429"/>
      <c r="J237" s="277"/>
      <c r="K237" s="277"/>
      <c r="L237" s="277"/>
      <c r="M237" s="277"/>
      <c r="N237" s="277"/>
      <c r="O237" s="277"/>
      <c r="P237" s="277"/>
      <c r="Q237" s="277"/>
      <c r="R237" s="277"/>
      <c r="S237" s="277"/>
    </row>
    <row r="238" spans="1:19" s="2" customFormat="1" ht="16.5" customHeight="1">
      <c r="A238" s="429">
        <v>218</v>
      </c>
      <c r="B238" s="430" t="s">
        <v>246</v>
      </c>
      <c r="C238" s="429" t="s">
        <v>6</v>
      </c>
      <c r="D238" s="429" t="s">
        <v>7</v>
      </c>
      <c r="E238" s="429" t="s">
        <v>8</v>
      </c>
      <c r="F238" s="27">
        <v>180</v>
      </c>
      <c r="G238" s="31">
        <f t="shared" si="2"/>
        <v>180</v>
      </c>
      <c r="H238" s="429"/>
      <c r="J238" s="277"/>
      <c r="K238" s="277"/>
      <c r="L238" s="277"/>
      <c r="M238" s="277"/>
      <c r="N238" s="277"/>
      <c r="O238" s="277"/>
      <c r="P238" s="277"/>
      <c r="Q238" s="277"/>
      <c r="R238" s="277"/>
      <c r="S238" s="277"/>
    </row>
    <row r="239" spans="1:19" s="2" customFormat="1" ht="33">
      <c r="A239" s="429">
        <v>219</v>
      </c>
      <c r="B239" s="430" t="s">
        <v>264</v>
      </c>
      <c r="C239" s="429" t="s">
        <v>14</v>
      </c>
      <c r="D239" s="429" t="s">
        <v>7</v>
      </c>
      <c r="E239" s="429" t="s">
        <v>8</v>
      </c>
      <c r="F239" s="27">
        <v>180</v>
      </c>
      <c r="G239" s="31">
        <f t="shared" si="2"/>
        <v>180</v>
      </c>
      <c r="H239" s="429"/>
      <c r="J239" s="277"/>
      <c r="K239" s="277"/>
      <c r="L239" s="277"/>
      <c r="M239" s="277"/>
      <c r="N239" s="277"/>
      <c r="O239" s="277"/>
      <c r="P239" s="277"/>
      <c r="Q239" s="277"/>
      <c r="R239" s="277"/>
      <c r="S239" s="277"/>
    </row>
    <row r="240" spans="1:19" s="2" customFormat="1" ht="33">
      <c r="A240" s="429">
        <v>220</v>
      </c>
      <c r="B240" s="430" t="s">
        <v>280</v>
      </c>
      <c r="C240" s="429" t="s">
        <v>14</v>
      </c>
      <c r="D240" s="429" t="s">
        <v>7</v>
      </c>
      <c r="E240" s="429" t="s">
        <v>8</v>
      </c>
      <c r="F240" s="27">
        <v>180</v>
      </c>
      <c r="G240" s="31">
        <f t="shared" si="2"/>
        <v>180</v>
      </c>
      <c r="H240" s="429"/>
      <c r="J240" s="277"/>
      <c r="K240" s="277"/>
      <c r="L240" s="277"/>
      <c r="M240" s="277"/>
      <c r="N240" s="277"/>
      <c r="O240" s="277"/>
      <c r="P240" s="277"/>
      <c r="Q240" s="277"/>
      <c r="R240" s="277"/>
      <c r="S240" s="277"/>
    </row>
    <row r="241" spans="1:19" s="2" customFormat="1">
      <c r="A241" s="429">
        <v>221</v>
      </c>
      <c r="B241" s="430" t="s">
        <v>284</v>
      </c>
      <c r="C241" s="429" t="s">
        <v>6</v>
      </c>
      <c r="D241" s="429" t="s">
        <v>7</v>
      </c>
      <c r="E241" s="429" t="s">
        <v>8</v>
      </c>
      <c r="F241" s="27">
        <v>180</v>
      </c>
      <c r="G241" s="31">
        <f t="shared" si="2"/>
        <v>180</v>
      </c>
      <c r="H241" s="429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</row>
    <row r="242" spans="1:19" s="2" customFormat="1" ht="33">
      <c r="A242" s="429">
        <v>222</v>
      </c>
      <c r="B242" s="430" t="s">
        <v>287</v>
      </c>
      <c r="C242" s="429"/>
      <c r="D242" s="429"/>
      <c r="E242" s="438" t="s">
        <v>8</v>
      </c>
      <c r="F242" s="27">
        <v>180</v>
      </c>
      <c r="G242" s="31">
        <f t="shared" si="2"/>
        <v>180</v>
      </c>
      <c r="H242" s="429"/>
      <c r="J242" s="277"/>
      <c r="K242" s="277"/>
      <c r="L242" s="278"/>
      <c r="M242" s="278"/>
      <c r="N242" s="278"/>
      <c r="O242" s="278"/>
      <c r="P242" s="278"/>
      <c r="Q242" s="278"/>
      <c r="R242" s="278"/>
      <c r="S242" s="278"/>
    </row>
    <row r="243" spans="1:19" s="2" customFormat="1" ht="33">
      <c r="A243" s="429">
        <v>223</v>
      </c>
      <c r="B243" s="430" t="s">
        <v>334</v>
      </c>
      <c r="C243" s="429" t="s">
        <v>14</v>
      </c>
      <c r="D243" s="429" t="s">
        <v>7</v>
      </c>
      <c r="E243" s="429" t="s">
        <v>8</v>
      </c>
      <c r="F243" s="27">
        <v>180</v>
      </c>
      <c r="G243" s="31">
        <f t="shared" si="2"/>
        <v>180</v>
      </c>
      <c r="H243" s="429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</row>
    <row r="244" spans="1:19" s="2" customFormat="1">
      <c r="A244" s="429">
        <v>224</v>
      </c>
      <c r="B244" s="430" t="s">
        <v>358</v>
      </c>
      <c r="C244" s="429" t="s">
        <v>18</v>
      </c>
      <c r="D244" s="429" t="s">
        <v>7</v>
      </c>
      <c r="E244" s="429" t="s">
        <v>8</v>
      </c>
      <c r="F244" s="27">
        <v>180</v>
      </c>
      <c r="G244" s="31">
        <f t="shared" si="2"/>
        <v>180</v>
      </c>
      <c r="H244" s="429"/>
      <c r="J244" s="277"/>
      <c r="K244" s="277"/>
      <c r="L244" s="277"/>
      <c r="M244" s="277"/>
      <c r="N244" s="277"/>
      <c r="O244" s="277"/>
      <c r="P244" s="277"/>
      <c r="Q244" s="277"/>
      <c r="R244" s="277"/>
      <c r="S244" s="277"/>
    </row>
    <row r="245" spans="1:19" s="2" customFormat="1">
      <c r="A245" s="429">
        <v>225</v>
      </c>
      <c r="B245" s="430" t="s">
        <v>359</v>
      </c>
      <c r="C245" s="429" t="s">
        <v>6</v>
      </c>
      <c r="D245" s="429" t="s">
        <v>7</v>
      </c>
      <c r="E245" s="429" t="s">
        <v>8</v>
      </c>
      <c r="F245" s="27">
        <v>180</v>
      </c>
      <c r="G245" s="31">
        <f t="shared" si="2"/>
        <v>180</v>
      </c>
      <c r="H245" s="429"/>
      <c r="J245" s="277"/>
      <c r="K245" s="277"/>
      <c r="L245" s="277"/>
      <c r="M245" s="277"/>
      <c r="N245" s="277"/>
      <c r="O245" s="277"/>
      <c r="P245" s="277"/>
      <c r="Q245" s="277"/>
      <c r="R245" s="277"/>
      <c r="S245" s="277"/>
    </row>
    <row r="246" spans="1:19" s="2" customFormat="1">
      <c r="A246" s="429">
        <v>226</v>
      </c>
      <c r="B246" s="430" t="s">
        <v>368</v>
      </c>
      <c r="C246" s="429" t="s">
        <v>6</v>
      </c>
      <c r="D246" s="429" t="s">
        <v>7</v>
      </c>
      <c r="E246" s="429" t="s">
        <v>8</v>
      </c>
      <c r="F246" s="27">
        <v>180</v>
      </c>
      <c r="G246" s="31">
        <f t="shared" si="2"/>
        <v>180</v>
      </c>
      <c r="H246" s="429"/>
      <c r="J246" s="277"/>
      <c r="K246" s="277"/>
      <c r="L246" s="277"/>
      <c r="M246" s="277"/>
      <c r="N246" s="277"/>
      <c r="O246" s="277"/>
      <c r="P246" s="277"/>
      <c r="Q246" s="277"/>
      <c r="R246" s="277"/>
      <c r="S246" s="277"/>
    </row>
    <row r="247" spans="1:19" s="2" customFormat="1" ht="33" customHeight="1">
      <c r="A247" s="429">
        <v>227</v>
      </c>
      <c r="B247" s="430" t="s">
        <v>400</v>
      </c>
      <c r="C247" s="429" t="s">
        <v>9</v>
      </c>
      <c r="D247" s="429" t="s">
        <v>7</v>
      </c>
      <c r="E247" s="438" t="s">
        <v>8</v>
      </c>
      <c r="F247" s="27">
        <v>180</v>
      </c>
      <c r="G247" s="31">
        <f t="shared" si="2"/>
        <v>180</v>
      </c>
      <c r="H247" s="429"/>
      <c r="J247" s="277"/>
      <c r="K247" s="277"/>
      <c r="L247" s="277"/>
      <c r="M247" s="277"/>
      <c r="N247" s="277"/>
      <c r="O247" s="277"/>
      <c r="P247" s="277"/>
      <c r="Q247" s="277"/>
      <c r="R247" s="277"/>
      <c r="S247" s="277"/>
    </row>
    <row r="248" spans="1:19" s="2" customFormat="1">
      <c r="A248" s="429">
        <v>228</v>
      </c>
      <c r="B248" s="430" t="s">
        <v>402</v>
      </c>
      <c r="C248" s="429" t="s">
        <v>6</v>
      </c>
      <c r="D248" s="429" t="s">
        <v>7</v>
      </c>
      <c r="E248" s="429" t="s">
        <v>8</v>
      </c>
      <c r="F248" s="27">
        <v>180</v>
      </c>
      <c r="G248" s="31">
        <f t="shared" si="2"/>
        <v>180</v>
      </c>
      <c r="H248" s="429"/>
      <c r="J248" s="277"/>
      <c r="K248" s="277"/>
      <c r="L248" s="277"/>
      <c r="M248" s="277"/>
      <c r="N248" s="277"/>
      <c r="O248" s="277"/>
      <c r="P248" s="277"/>
      <c r="Q248" s="277"/>
      <c r="R248" s="277"/>
      <c r="S248" s="277"/>
    </row>
    <row r="249" spans="1:19" s="2" customFormat="1" ht="33">
      <c r="A249" s="429">
        <v>229</v>
      </c>
      <c r="B249" s="430" t="s">
        <v>404</v>
      </c>
      <c r="C249" s="429" t="s">
        <v>6</v>
      </c>
      <c r="D249" s="429" t="s">
        <v>7</v>
      </c>
      <c r="E249" s="429" t="s">
        <v>8</v>
      </c>
      <c r="F249" s="27">
        <v>180</v>
      </c>
      <c r="G249" s="31">
        <f t="shared" si="2"/>
        <v>180</v>
      </c>
      <c r="H249" s="429"/>
      <c r="J249" s="277"/>
      <c r="K249" s="277"/>
      <c r="L249" s="277"/>
      <c r="M249" s="277"/>
      <c r="N249" s="277"/>
      <c r="O249" s="277"/>
      <c r="P249" s="277"/>
      <c r="Q249" s="277"/>
      <c r="R249" s="277"/>
      <c r="S249" s="277"/>
    </row>
    <row r="250" spans="1:19" s="2" customFormat="1">
      <c r="A250" s="429">
        <v>230</v>
      </c>
      <c r="B250" s="430" t="s">
        <v>410</v>
      </c>
      <c r="C250" s="429" t="s">
        <v>6</v>
      </c>
      <c r="D250" s="429" t="s">
        <v>7</v>
      </c>
      <c r="E250" s="429" t="s">
        <v>8</v>
      </c>
      <c r="F250" s="27">
        <v>180</v>
      </c>
      <c r="G250" s="31">
        <f t="shared" si="2"/>
        <v>180</v>
      </c>
      <c r="H250" s="429"/>
      <c r="J250" s="277"/>
      <c r="K250" s="277"/>
      <c r="L250" s="277"/>
      <c r="M250" s="277"/>
      <c r="N250" s="277"/>
      <c r="O250" s="277"/>
      <c r="P250" s="277"/>
      <c r="Q250" s="277"/>
      <c r="R250" s="277"/>
      <c r="S250" s="277"/>
    </row>
    <row r="251" spans="1:19" s="2" customFormat="1" ht="33" customHeight="1">
      <c r="A251" s="429">
        <v>231</v>
      </c>
      <c r="B251" s="430" t="s">
        <v>433</v>
      </c>
      <c r="C251" s="429" t="s">
        <v>14</v>
      </c>
      <c r="D251" s="429" t="s">
        <v>7</v>
      </c>
      <c r="E251" s="429" t="s">
        <v>8</v>
      </c>
      <c r="F251" s="27">
        <v>180</v>
      </c>
      <c r="G251" s="31">
        <f t="shared" si="2"/>
        <v>180</v>
      </c>
      <c r="H251" s="429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</row>
    <row r="252" spans="1:19" s="2" customFormat="1" ht="33" customHeight="1">
      <c r="A252" s="429">
        <v>232</v>
      </c>
      <c r="B252" s="430" t="s">
        <v>441</v>
      </c>
      <c r="C252" s="429" t="s">
        <v>6</v>
      </c>
      <c r="D252" s="429" t="s">
        <v>7</v>
      </c>
      <c r="E252" s="429" t="s">
        <v>8</v>
      </c>
      <c r="F252" s="27">
        <v>180</v>
      </c>
      <c r="G252" s="31">
        <f t="shared" si="2"/>
        <v>180</v>
      </c>
      <c r="H252" s="429"/>
      <c r="J252" s="277"/>
      <c r="K252" s="277"/>
      <c r="L252" s="277"/>
      <c r="M252" s="277"/>
      <c r="N252" s="277"/>
      <c r="O252" s="277"/>
      <c r="P252" s="277"/>
      <c r="Q252" s="277"/>
      <c r="R252" s="277"/>
      <c r="S252" s="277"/>
    </row>
    <row r="253" spans="1:19" s="2" customFormat="1">
      <c r="A253" s="429">
        <v>233</v>
      </c>
      <c r="B253" s="430" t="s">
        <v>452</v>
      </c>
      <c r="C253" s="429" t="s">
        <v>14</v>
      </c>
      <c r="D253" s="429" t="s">
        <v>7</v>
      </c>
      <c r="E253" s="429" t="s">
        <v>8</v>
      </c>
      <c r="F253" s="27">
        <v>180</v>
      </c>
      <c r="G253" s="31">
        <f t="shared" si="2"/>
        <v>180</v>
      </c>
      <c r="H253" s="429"/>
      <c r="J253" s="277"/>
      <c r="K253" s="277"/>
      <c r="L253" s="277"/>
      <c r="M253" s="277"/>
      <c r="N253" s="277"/>
      <c r="O253" s="277"/>
      <c r="P253" s="277"/>
      <c r="Q253" s="277"/>
      <c r="R253" s="277"/>
      <c r="S253" s="277"/>
    </row>
    <row r="254" spans="1:19" s="2" customFormat="1" ht="33">
      <c r="A254" s="429">
        <v>234</v>
      </c>
      <c r="B254" s="430" t="s">
        <v>478</v>
      </c>
      <c r="C254" s="429" t="s">
        <v>6</v>
      </c>
      <c r="D254" s="429" t="s">
        <v>7</v>
      </c>
      <c r="E254" s="429" t="s">
        <v>8</v>
      </c>
      <c r="F254" s="27">
        <v>180</v>
      </c>
      <c r="G254" s="31">
        <f t="shared" si="2"/>
        <v>180</v>
      </c>
      <c r="H254" s="429"/>
      <c r="J254" s="277"/>
      <c r="K254" s="277"/>
      <c r="L254" s="277"/>
      <c r="M254" s="277"/>
      <c r="N254" s="277"/>
      <c r="O254" s="277"/>
      <c r="P254" s="277"/>
      <c r="Q254" s="277"/>
      <c r="R254" s="277"/>
      <c r="S254" s="277"/>
    </row>
    <row r="255" spans="1:19" s="2" customFormat="1">
      <c r="A255" s="429">
        <v>235</v>
      </c>
      <c r="B255" s="430" t="s">
        <v>501</v>
      </c>
      <c r="C255" s="429" t="s">
        <v>6</v>
      </c>
      <c r="D255" s="429" t="s">
        <v>7</v>
      </c>
      <c r="E255" s="429" t="s">
        <v>8</v>
      </c>
      <c r="F255" s="27">
        <v>180</v>
      </c>
      <c r="G255" s="31">
        <f t="shared" si="2"/>
        <v>180</v>
      </c>
      <c r="H255" s="429"/>
      <c r="J255" s="277"/>
      <c r="K255" s="277"/>
      <c r="L255" s="277"/>
      <c r="M255" s="277"/>
      <c r="N255" s="277"/>
      <c r="O255" s="277"/>
      <c r="P255" s="277"/>
      <c r="Q255" s="277"/>
      <c r="R255" s="277"/>
      <c r="S255" s="277"/>
    </row>
    <row r="256" spans="1:19" s="2" customFormat="1" ht="16.5" customHeight="1">
      <c r="A256" s="429">
        <v>236</v>
      </c>
      <c r="B256" s="430" t="s">
        <v>502</v>
      </c>
      <c r="C256" s="429" t="s">
        <v>14</v>
      </c>
      <c r="D256" s="429" t="s">
        <v>7</v>
      </c>
      <c r="E256" s="429" t="s">
        <v>8</v>
      </c>
      <c r="F256" s="27">
        <v>180</v>
      </c>
      <c r="G256" s="31">
        <f t="shared" si="2"/>
        <v>180</v>
      </c>
      <c r="H256" s="429"/>
      <c r="J256" s="277"/>
      <c r="K256" s="277"/>
      <c r="L256" s="277"/>
      <c r="M256" s="277"/>
      <c r="N256" s="277"/>
      <c r="O256" s="277"/>
      <c r="P256" s="277"/>
      <c r="Q256" s="277"/>
      <c r="R256" s="277"/>
      <c r="S256" s="277"/>
    </row>
    <row r="257" spans="1:19" s="2" customFormat="1" ht="15.75" customHeight="1">
      <c r="A257" s="429">
        <v>237</v>
      </c>
      <c r="B257" s="430" t="s">
        <v>503</v>
      </c>
      <c r="C257" s="429" t="s">
        <v>6</v>
      </c>
      <c r="D257" s="429" t="s">
        <v>7</v>
      </c>
      <c r="E257" s="429" t="s">
        <v>8</v>
      </c>
      <c r="F257" s="27">
        <v>180</v>
      </c>
      <c r="G257" s="31">
        <f t="shared" si="2"/>
        <v>180</v>
      </c>
      <c r="H257" s="429"/>
      <c r="J257" s="277"/>
      <c r="K257" s="277"/>
      <c r="L257" s="277"/>
      <c r="M257" s="277"/>
      <c r="N257" s="277"/>
      <c r="O257" s="277"/>
      <c r="P257" s="277"/>
      <c r="Q257" s="277"/>
      <c r="R257" s="277"/>
      <c r="S257" s="277"/>
    </row>
    <row r="258" spans="1:19" s="2" customFormat="1" ht="33">
      <c r="A258" s="429">
        <v>238</v>
      </c>
      <c r="B258" s="430" t="s">
        <v>504</v>
      </c>
      <c r="C258" s="429" t="s">
        <v>12</v>
      </c>
      <c r="D258" s="429" t="s">
        <v>7</v>
      </c>
      <c r="E258" s="429" t="s">
        <v>8</v>
      </c>
      <c r="F258" s="27">
        <v>180</v>
      </c>
      <c r="G258" s="31">
        <f t="shared" si="2"/>
        <v>180</v>
      </c>
      <c r="H258" s="429"/>
      <c r="J258" s="277"/>
      <c r="K258" s="277"/>
      <c r="L258" s="277"/>
      <c r="M258" s="277"/>
      <c r="N258" s="277"/>
      <c r="O258" s="277"/>
      <c r="P258" s="277"/>
      <c r="Q258" s="277"/>
      <c r="R258" s="277"/>
      <c r="S258" s="277"/>
    </row>
    <row r="259" spans="1:19" s="2" customFormat="1">
      <c r="A259" s="429">
        <v>239</v>
      </c>
      <c r="B259" s="430" t="s">
        <v>509</v>
      </c>
      <c r="C259" s="429" t="s">
        <v>6</v>
      </c>
      <c r="D259" s="429" t="s">
        <v>7</v>
      </c>
      <c r="E259" s="429" t="s">
        <v>8</v>
      </c>
      <c r="F259" s="27">
        <v>180</v>
      </c>
      <c r="G259" s="31">
        <f t="shared" si="2"/>
        <v>180</v>
      </c>
      <c r="H259" s="429"/>
      <c r="J259" s="277"/>
      <c r="K259" s="277"/>
      <c r="L259" s="277"/>
      <c r="M259" s="277"/>
      <c r="N259" s="277"/>
      <c r="O259" s="277"/>
      <c r="P259" s="277"/>
      <c r="Q259" s="277"/>
      <c r="R259" s="277"/>
      <c r="S259" s="277"/>
    </row>
    <row r="260" spans="1:19" s="2" customFormat="1" ht="33">
      <c r="A260" s="429">
        <v>240</v>
      </c>
      <c r="B260" s="430" t="s">
        <v>510</v>
      </c>
      <c r="C260" s="429" t="s">
        <v>14</v>
      </c>
      <c r="D260" s="429" t="s">
        <v>7</v>
      </c>
      <c r="E260" s="429" t="s">
        <v>8</v>
      </c>
      <c r="F260" s="27">
        <v>180</v>
      </c>
      <c r="G260" s="31">
        <f t="shared" si="2"/>
        <v>180</v>
      </c>
      <c r="H260" s="429"/>
      <c r="J260" s="277"/>
      <c r="K260" s="277"/>
      <c r="L260" s="277"/>
      <c r="M260" s="277"/>
      <c r="N260" s="277"/>
      <c r="O260" s="277"/>
      <c r="P260" s="277"/>
      <c r="Q260" s="277"/>
      <c r="R260" s="277"/>
      <c r="S260" s="277"/>
    </row>
    <row r="261" spans="1:19" s="2" customFormat="1">
      <c r="A261" s="429">
        <v>241</v>
      </c>
      <c r="B261" s="430" t="s">
        <v>513</v>
      </c>
      <c r="C261" s="429" t="s">
        <v>18</v>
      </c>
      <c r="D261" s="429" t="s">
        <v>7</v>
      </c>
      <c r="E261" s="429" t="s">
        <v>8</v>
      </c>
      <c r="F261" s="27">
        <v>180</v>
      </c>
      <c r="G261" s="31">
        <f t="shared" si="2"/>
        <v>180</v>
      </c>
      <c r="H261" s="429"/>
      <c r="J261" s="277"/>
      <c r="K261" s="277"/>
      <c r="L261" s="277"/>
      <c r="M261" s="277"/>
      <c r="N261" s="277"/>
      <c r="O261" s="277"/>
      <c r="P261" s="277"/>
      <c r="Q261" s="277"/>
      <c r="R261" s="277"/>
      <c r="S261" s="277"/>
    </row>
    <row r="262" spans="1:19" s="2" customFormat="1">
      <c r="A262" s="429">
        <v>242</v>
      </c>
      <c r="B262" s="430" t="s">
        <v>523</v>
      </c>
      <c r="C262" s="429" t="s">
        <v>16</v>
      </c>
      <c r="D262" s="429" t="s">
        <v>7</v>
      </c>
      <c r="E262" s="429" t="s">
        <v>8</v>
      </c>
      <c r="F262" s="27">
        <v>180</v>
      </c>
      <c r="G262" s="31">
        <f t="shared" ref="G262:G325" si="3">F262</f>
        <v>180</v>
      </c>
      <c r="H262" s="429"/>
      <c r="J262" s="277"/>
      <c r="K262" s="277"/>
      <c r="L262" s="277"/>
      <c r="M262" s="277"/>
      <c r="N262" s="277"/>
      <c r="O262" s="277"/>
      <c r="P262" s="277"/>
      <c r="Q262" s="277"/>
      <c r="R262" s="277"/>
      <c r="S262" s="277"/>
    </row>
    <row r="263" spans="1:19" s="2" customFormat="1">
      <c r="A263" s="429">
        <v>243</v>
      </c>
      <c r="B263" s="430" t="s">
        <v>536</v>
      </c>
      <c r="C263" s="429" t="s">
        <v>6</v>
      </c>
      <c r="D263" s="429" t="s">
        <v>7</v>
      </c>
      <c r="E263" s="429" t="s">
        <v>8</v>
      </c>
      <c r="F263" s="27">
        <v>180</v>
      </c>
      <c r="G263" s="31">
        <f t="shared" si="3"/>
        <v>180</v>
      </c>
      <c r="H263" s="429"/>
      <c r="J263" s="277"/>
      <c r="K263" s="277"/>
      <c r="L263" s="277"/>
      <c r="M263" s="277"/>
      <c r="N263" s="277"/>
      <c r="O263" s="277"/>
      <c r="P263" s="277"/>
      <c r="Q263" s="277"/>
      <c r="R263" s="277"/>
      <c r="S263" s="277"/>
    </row>
    <row r="264" spans="1:19" s="2" customFormat="1">
      <c r="A264" s="429">
        <v>244</v>
      </c>
      <c r="B264" s="430" t="s">
        <v>564</v>
      </c>
      <c r="C264" s="429" t="s">
        <v>16</v>
      </c>
      <c r="D264" s="429" t="s">
        <v>10</v>
      </c>
      <c r="E264" s="429" t="s">
        <v>8</v>
      </c>
      <c r="F264" s="27">
        <v>180</v>
      </c>
      <c r="G264" s="31">
        <f t="shared" si="3"/>
        <v>180</v>
      </c>
      <c r="H264" s="429"/>
      <c r="J264" s="277"/>
      <c r="K264" s="277"/>
      <c r="L264" s="277"/>
      <c r="M264" s="277"/>
      <c r="N264" s="277"/>
      <c r="O264" s="277"/>
      <c r="P264" s="277"/>
      <c r="Q264" s="277"/>
      <c r="R264" s="277"/>
      <c r="S264" s="277"/>
    </row>
    <row r="265" spans="1:19" s="2" customFormat="1">
      <c r="A265" s="429">
        <v>245</v>
      </c>
      <c r="B265" s="430" t="s">
        <v>581</v>
      </c>
      <c r="C265" s="429" t="s">
        <v>6</v>
      </c>
      <c r="D265" s="429" t="s">
        <v>7</v>
      </c>
      <c r="E265" s="429" t="s">
        <v>8</v>
      </c>
      <c r="F265" s="27">
        <v>180</v>
      </c>
      <c r="G265" s="31">
        <f t="shared" si="3"/>
        <v>180</v>
      </c>
      <c r="H265" s="429"/>
      <c r="J265" s="277"/>
      <c r="K265" s="277"/>
      <c r="L265" s="277"/>
      <c r="M265" s="277"/>
      <c r="N265" s="277"/>
      <c r="O265" s="277"/>
      <c r="P265" s="277"/>
      <c r="Q265" s="277"/>
      <c r="R265" s="277"/>
      <c r="S265" s="277"/>
    </row>
    <row r="266" spans="1:19" s="2" customFormat="1" ht="33">
      <c r="A266" s="429">
        <v>246</v>
      </c>
      <c r="B266" s="430" t="s">
        <v>584</v>
      </c>
      <c r="C266" s="429" t="s">
        <v>9</v>
      </c>
      <c r="D266" s="429" t="s">
        <v>7</v>
      </c>
      <c r="E266" s="429" t="s">
        <v>8</v>
      </c>
      <c r="F266" s="27">
        <v>180</v>
      </c>
      <c r="G266" s="31">
        <f t="shared" si="3"/>
        <v>180</v>
      </c>
      <c r="H266" s="429"/>
      <c r="J266" s="277"/>
      <c r="K266" s="277"/>
      <c r="L266" s="277"/>
      <c r="M266" s="277"/>
      <c r="N266" s="277"/>
      <c r="O266" s="277"/>
      <c r="P266" s="277"/>
      <c r="Q266" s="277"/>
      <c r="R266" s="277"/>
      <c r="S266" s="277"/>
    </row>
    <row r="267" spans="1:19" s="2" customFormat="1">
      <c r="A267" s="429">
        <v>247</v>
      </c>
      <c r="B267" s="430" t="s">
        <v>588</v>
      </c>
      <c r="C267" s="429" t="s">
        <v>14</v>
      </c>
      <c r="D267" s="429" t="s">
        <v>7</v>
      </c>
      <c r="E267" s="429" t="s">
        <v>8</v>
      </c>
      <c r="F267" s="27">
        <v>180</v>
      </c>
      <c r="G267" s="31">
        <f t="shared" si="3"/>
        <v>180</v>
      </c>
      <c r="H267" s="429"/>
      <c r="J267" s="277"/>
      <c r="K267" s="277"/>
      <c r="L267" s="277"/>
      <c r="M267" s="277"/>
      <c r="N267" s="277"/>
      <c r="O267" s="277"/>
      <c r="P267" s="277"/>
      <c r="Q267" s="277"/>
      <c r="R267" s="277"/>
      <c r="S267" s="277"/>
    </row>
    <row r="268" spans="1:19" s="2" customFormat="1">
      <c r="A268" s="429">
        <v>248</v>
      </c>
      <c r="B268" s="430" t="s">
        <v>601</v>
      </c>
      <c r="C268" s="429" t="s">
        <v>12</v>
      </c>
      <c r="D268" s="429" t="s">
        <v>7</v>
      </c>
      <c r="E268" s="429" t="s">
        <v>8</v>
      </c>
      <c r="F268" s="27">
        <v>180</v>
      </c>
      <c r="G268" s="31">
        <f t="shared" si="3"/>
        <v>180</v>
      </c>
      <c r="H268" s="429"/>
      <c r="J268" s="277"/>
      <c r="K268" s="277"/>
      <c r="L268" s="277"/>
      <c r="M268" s="277"/>
      <c r="N268" s="277"/>
      <c r="O268" s="277"/>
      <c r="P268" s="277"/>
      <c r="Q268" s="277"/>
      <c r="R268" s="277"/>
      <c r="S268" s="277"/>
    </row>
    <row r="269" spans="1:19" s="2" customFormat="1" ht="16.5" customHeight="1">
      <c r="A269" s="429">
        <v>249</v>
      </c>
      <c r="B269" s="430" t="s">
        <v>636</v>
      </c>
      <c r="C269" s="429" t="s">
        <v>14</v>
      </c>
      <c r="D269" s="429" t="s">
        <v>7</v>
      </c>
      <c r="E269" s="429" t="s">
        <v>8</v>
      </c>
      <c r="F269" s="27">
        <v>180</v>
      </c>
      <c r="G269" s="31">
        <f t="shared" si="3"/>
        <v>180</v>
      </c>
      <c r="H269" s="429"/>
      <c r="J269" s="277"/>
      <c r="K269" s="277"/>
      <c r="L269" s="277"/>
      <c r="M269" s="277"/>
      <c r="N269" s="277"/>
      <c r="O269" s="277"/>
      <c r="P269" s="277"/>
      <c r="Q269" s="277"/>
      <c r="R269" s="277"/>
      <c r="S269" s="277"/>
    </row>
    <row r="270" spans="1:19" s="2" customFormat="1">
      <c r="A270" s="429">
        <v>250</v>
      </c>
      <c r="B270" s="430" t="s">
        <v>642</v>
      </c>
      <c r="C270" s="429" t="s">
        <v>14</v>
      </c>
      <c r="D270" s="429" t="s">
        <v>7</v>
      </c>
      <c r="E270" s="429" t="s">
        <v>8</v>
      </c>
      <c r="F270" s="27">
        <v>180</v>
      </c>
      <c r="G270" s="31">
        <f t="shared" si="3"/>
        <v>180</v>
      </c>
      <c r="H270" s="429"/>
      <c r="J270" s="277"/>
      <c r="K270" s="277"/>
      <c r="L270" s="277"/>
      <c r="M270" s="277"/>
      <c r="N270" s="277"/>
      <c r="O270" s="277"/>
      <c r="P270" s="277"/>
      <c r="Q270" s="277"/>
      <c r="R270" s="277"/>
      <c r="S270" s="277"/>
    </row>
    <row r="271" spans="1:19" s="2" customFormat="1" ht="33">
      <c r="A271" s="429">
        <v>251</v>
      </c>
      <c r="B271" s="430" t="s">
        <v>654</v>
      </c>
      <c r="C271" s="429" t="s">
        <v>14</v>
      </c>
      <c r="D271" s="429" t="s">
        <v>7</v>
      </c>
      <c r="E271" s="429" t="s">
        <v>8</v>
      </c>
      <c r="F271" s="27">
        <v>180</v>
      </c>
      <c r="G271" s="31">
        <f t="shared" si="3"/>
        <v>180</v>
      </c>
      <c r="H271" s="429"/>
      <c r="J271" s="277"/>
      <c r="K271" s="277"/>
      <c r="L271" s="277"/>
      <c r="M271" s="277"/>
      <c r="N271" s="277"/>
      <c r="O271" s="277"/>
      <c r="P271" s="277"/>
      <c r="Q271" s="277"/>
      <c r="R271" s="277"/>
      <c r="S271" s="277"/>
    </row>
    <row r="272" spans="1:19" s="2" customFormat="1" ht="16.5" customHeight="1">
      <c r="A272" s="429">
        <v>252</v>
      </c>
      <c r="B272" s="430" t="s">
        <v>662</v>
      </c>
      <c r="C272" s="429" t="s">
        <v>12</v>
      </c>
      <c r="D272" s="429" t="s">
        <v>7</v>
      </c>
      <c r="E272" s="429" t="s">
        <v>8</v>
      </c>
      <c r="F272" s="27">
        <v>180</v>
      </c>
      <c r="G272" s="31">
        <f t="shared" si="3"/>
        <v>180</v>
      </c>
      <c r="H272" s="429"/>
      <c r="J272" s="277"/>
      <c r="K272" s="277"/>
      <c r="L272" s="277"/>
      <c r="M272" s="277"/>
      <c r="N272" s="277"/>
      <c r="O272" s="277"/>
      <c r="P272" s="277"/>
      <c r="Q272" s="277"/>
      <c r="R272" s="277"/>
      <c r="S272" s="277"/>
    </row>
    <row r="273" spans="1:19" s="2" customFormat="1" ht="33" customHeight="1">
      <c r="A273" s="429">
        <v>253</v>
      </c>
      <c r="B273" s="430" t="s">
        <v>688</v>
      </c>
      <c r="C273" s="429" t="s">
        <v>18</v>
      </c>
      <c r="D273" s="429" t="s">
        <v>7</v>
      </c>
      <c r="E273" s="438" t="s">
        <v>8</v>
      </c>
      <c r="F273" s="27">
        <v>180</v>
      </c>
      <c r="G273" s="31">
        <f t="shared" si="3"/>
        <v>180</v>
      </c>
      <c r="H273" s="429"/>
      <c r="J273" s="277"/>
      <c r="K273" s="277"/>
      <c r="L273" s="277"/>
      <c r="M273" s="277"/>
      <c r="N273" s="277"/>
      <c r="O273" s="277"/>
      <c r="P273" s="277"/>
      <c r="Q273" s="277"/>
      <c r="R273" s="277"/>
      <c r="S273" s="277"/>
    </row>
    <row r="274" spans="1:19" s="2" customFormat="1">
      <c r="A274" s="429">
        <v>254</v>
      </c>
      <c r="B274" s="430" t="s">
        <v>692</v>
      </c>
      <c r="C274" s="429" t="s">
        <v>6</v>
      </c>
      <c r="D274" s="429" t="s">
        <v>7</v>
      </c>
      <c r="E274" s="429" t="s">
        <v>8</v>
      </c>
      <c r="F274" s="27">
        <v>180</v>
      </c>
      <c r="G274" s="31">
        <f t="shared" si="3"/>
        <v>180</v>
      </c>
      <c r="H274" s="429"/>
      <c r="J274" s="277"/>
      <c r="K274" s="277"/>
      <c r="L274" s="277"/>
      <c r="M274" s="277"/>
      <c r="N274" s="277"/>
      <c r="O274" s="277"/>
      <c r="P274" s="277"/>
      <c r="Q274" s="277"/>
      <c r="R274" s="277"/>
      <c r="S274" s="277"/>
    </row>
    <row r="275" spans="1:19" s="2" customFormat="1">
      <c r="A275" s="429">
        <v>255</v>
      </c>
      <c r="B275" s="430" t="s">
        <v>699</v>
      </c>
      <c r="C275" s="429" t="s">
        <v>18</v>
      </c>
      <c r="D275" s="429" t="s">
        <v>7</v>
      </c>
      <c r="E275" s="429" t="s">
        <v>8</v>
      </c>
      <c r="F275" s="27">
        <v>180</v>
      </c>
      <c r="G275" s="31">
        <f t="shared" si="3"/>
        <v>180</v>
      </c>
      <c r="H275" s="429"/>
      <c r="J275" s="277"/>
      <c r="K275" s="277"/>
      <c r="L275" s="277"/>
      <c r="M275" s="277"/>
      <c r="N275" s="277"/>
      <c r="O275" s="277"/>
      <c r="P275" s="277"/>
      <c r="Q275" s="277"/>
      <c r="R275" s="277"/>
      <c r="S275" s="277"/>
    </row>
    <row r="276" spans="1:19" s="2" customFormat="1" ht="18.75" customHeight="1">
      <c r="A276" s="429">
        <v>256</v>
      </c>
      <c r="B276" s="430" t="s">
        <v>702</v>
      </c>
      <c r="C276" s="429" t="s">
        <v>6</v>
      </c>
      <c r="D276" s="429" t="s">
        <v>7</v>
      </c>
      <c r="E276" s="429" t="s">
        <v>8</v>
      </c>
      <c r="F276" s="27">
        <v>180</v>
      </c>
      <c r="G276" s="31">
        <f t="shared" si="3"/>
        <v>180</v>
      </c>
      <c r="H276" s="429"/>
      <c r="J276" s="277"/>
      <c r="K276" s="277"/>
      <c r="L276" s="277"/>
      <c r="M276" s="277"/>
      <c r="N276" s="277"/>
      <c r="O276" s="277"/>
      <c r="P276" s="277"/>
      <c r="Q276" s="277"/>
      <c r="R276" s="277"/>
      <c r="S276" s="277"/>
    </row>
    <row r="277" spans="1:19" s="2" customFormat="1">
      <c r="A277" s="429">
        <v>257</v>
      </c>
      <c r="B277" s="430" t="s">
        <v>705</v>
      </c>
      <c r="C277" s="429" t="s">
        <v>6</v>
      </c>
      <c r="D277" s="429" t="s">
        <v>7</v>
      </c>
      <c r="E277" s="429" t="s">
        <v>8</v>
      </c>
      <c r="F277" s="27">
        <v>180</v>
      </c>
      <c r="G277" s="31">
        <f t="shared" si="3"/>
        <v>180</v>
      </c>
      <c r="H277" s="429"/>
      <c r="J277" s="277"/>
      <c r="K277" s="277"/>
      <c r="L277" s="277"/>
      <c r="M277" s="277"/>
      <c r="N277" s="277"/>
      <c r="O277" s="277"/>
      <c r="P277" s="277"/>
      <c r="Q277" s="277"/>
      <c r="R277" s="277"/>
      <c r="S277" s="277"/>
    </row>
    <row r="278" spans="1:19" s="2" customFormat="1" ht="33" customHeight="1">
      <c r="A278" s="429">
        <v>258</v>
      </c>
      <c r="B278" s="430" t="s">
        <v>736</v>
      </c>
      <c r="C278" s="429" t="s">
        <v>6</v>
      </c>
      <c r="D278" s="429" t="s">
        <v>7</v>
      </c>
      <c r="E278" s="429" t="s">
        <v>8</v>
      </c>
      <c r="F278" s="27">
        <v>180</v>
      </c>
      <c r="G278" s="31">
        <f t="shared" si="3"/>
        <v>180</v>
      </c>
      <c r="H278" s="429"/>
      <c r="J278" s="277"/>
      <c r="K278" s="277"/>
      <c r="L278" s="277"/>
      <c r="M278" s="277"/>
      <c r="N278" s="277"/>
      <c r="O278" s="277"/>
      <c r="P278" s="277"/>
      <c r="Q278" s="277"/>
      <c r="R278" s="277"/>
      <c r="S278" s="277"/>
    </row>
    <row r="279" spans="1:19" s="2" customFormat="1" ht="33">
      <c r="A279" s="429">
        <v>259</v>
      </c>
      <c r="B279" s="430" t="s">
        <v>743</v>
      </c>
      <c r="C279" s="429" t="s">
        <v>6</v>
      </c>
      <c r="D279" s="429" t="s">
        <v>7</v>
      </c>
      <c r="E279" s="429" t="s">
        <v>8</v>
      </c>
      <c r="F279" s="27">
        <v>180</v>
      </c>
      <c r="G279" s="31">
        <f t="shared" si="3"/>
        <v>180</v>
      </c>
      <c r="H279" s="429"/>
      <c r="J279" s="277"/>
      <c r="K279" s="277"/>
      <c r="L279" s="277"/>
      <c r="M279" s="277"/>
      <c r="N279" s="277"/>
      <c r="O279" s="277"/>
      <c r="P279" s="277"/>
      <c r="Q279" s="277"/>
      <c r="R279" s="277"/>
      <c r="S279" s="277"/>
    </row>
    <row r="280" spans="1:19" s="2" customFormat="1" ht="16.5" customHeight="1">
      <c r="A280" s="429">
        <v>260</v>
      </c>
      <c r="B280" s="430" t="s">
        <v>751</v>
      </c>
      <c r="C280" s="429" t="s">
        <v>12</v>
      </c>
      <c r="D280" s="429" t="s">
        <v>10</v>
      </c>
      <c r="E280" s="429" t="s">
        <v>8</v>
      </c>
      <c r="F280" s="27">
        <v>180</v>
      </c>
      <c r="G280" s="31">
        <f t="shared" si="3"/>
        <v>180</v>
      </c>
      <c r="H280" s="429"/>
      <c r="J280" s="277"/>
      <c r="K280" s="277"/>
      <c r="L280" s="277"/>
      <c r="M280" s="277"/>
      <c r="N280" s="277"/>
      <c r="O280" s="277"/>
      <c r="P280" s="277"/>
      <c r="Q280" s="277"/>
      <c r="R280" s="277"/>
      <c r="S280" s="277"/>
    </row>
    <row r="281" spans="1:19" s="2" customFormat="1" ht="33" customHeight="1">
      <c r="A281" s="429">
        <v>261</v>
      </c>
      <c r="B281" s="430" t="s">
        <v>772</v>
      </c>
      <c r="C281" s="429" t="s">
        <v>14</v>
      </c>
      <c r="D281" s="429" t="s">
        <v>7</v>
      </c>
      <c r="E281" s="429" t="s">
        <v>8</v>
      </c>
      <c r="F281" s="27">
        <v>180</v>
      </c>
      <c r="G281" s="31">
        <f t="shared" si="3"/>
        <v>180</v>
      </c>
      <c r="H281" s="429"/>
      <c r="J281" s="277"/>
      <c r="K281" s="277"/>
      <c r="L281" s="277"/>
      <c r="M281" s="277"/>
      <c r="N281" s="277"/>
      <c r="O281" s="277"/>
      <c r="P281" s="277"/>
      <c r="Q281" s="277"/>
      <c r="R281" s="277"/>
      <c r="S281" s="277"/>
    </row>
    <row r="282" spans="1:19" s="2" customFormat="1" ht="33">
      <c r="A282" s="429">
        <v>262</v>
      </c>
      <c r="B282" s="430" t="s">
        <v>777</v>
      </c>
      <c r="C282" s="429" t="s">
        <v>12</v>
      </c>
      <c r="D282" s="429" t="s">
        <v>7</v>
      </c>
      <c r="E282" s="429" t="s">
        <v>8</v>
      </c>
      <c r="F282" s="436">
        <v>180</v>
      </c>
      <c r="G282" s="31">
        <f t="shared" si="3"/>
        <v>180</v>
      </c>
      <c r="H282" s="429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</row>
    <row r="283" spans="1:19" s="2" customFormat="1" ht="33">
      <c r="A283" s="429">
        <v>263</v>
      </c>
      <c r="B283" s="430" t="s">
        <v>787</v>
      </c>
      <c r="C283" s="429" t="s">
        <v>6</v>
      </c>
      <c r="D283" s="429" t="s">
        <v>7</v>
      </c>
      <c r="E283" s="429" t="s">
        <v>8</v>
      </c>
      <c r="F283" s="27">
        <v>180</v>
      </c>
      <c r="G283" s="31">
        <f t="shared" si="3"/>
        <v>180</v>
      </c>
      <c r="H283" s="429"/>
      <c r="J283" s="277"/>
      <c r="K283" s="277"/>
      <c r="L283" s="277"/>
      <c r="M283" s="277"/>
      <c r="N283" s="277"/>
      <c r="O283" s="277"/>
      <c r="P283" s="277"/>
      <c r="Q283" s="277"/>
      <c r="R283" s="277"/>
      <c r="S283" s="277"/>
    </row>
    <row r="284" spans="1:19" s="2" customFormat="1" ht="33">
      <c r="A284" s="429">
        <v>264</v>
      </c>
      <c r="B284" s="430" t="s">
        <v>802</v>
      </c>
      <c r="C284" s="429" t="s">
        <v>6</v>
      </c>
      <c r="D284" s="429" t="s">
        <v>10</v>
      </c>
      <c r="E284" s="429" t="s">
        <v>8</v>
      </c>
      <c r="F284" s="27">
        <v>180</v>
      </c>
      <c r="G284" s="31">
        <f t="shared" si="3"/>
        <v>180</v>
      </c>
      <c r="H284" s="429"/>
      <c r="J284" s="277"/>
      <c r="K284" s="277"/>
      <c r="L284" s="277"/>
      <c r="M284" s="277"/>
      <c r="N284" s="277"/>
      <c r="O284" s="277"/>
      <c r="P284" s="277"/>
      <c r="Q284" s="277"/>
      <c r="R284" s="277"/>
      <c r="S284" s="277"/>
    </row>
    <row r="285" spans="1:19" s="2" customFormat="1">
      <c r="A285" s="429">
        <v>265</v>
      </c>
      <c r="B285" s="430" t="s">
        <v>814</v>
      </c>
      <c r="C285" s="429" t="s">
        <v>16</v>
      </c>
      <c r="D285" s="429" t="s">
        <v>7</v>
      </c>
      <c r="E285" s="429" t="s">
        <v>8</v>
      </c>
      <c r="F285" s="27">
        <v>180</v>
      </c>
      <c r="G285" s="31">
        <f t="shared" si="3"/>
        <v>180</v>
      </c>
      <c r="H285" s="429"/>
      <c r="J285" s="277"/>
      <c r="K285" s="277"/>
      <c r="L285" s="277"/>
      <c r="M285" s="277"/>
      <c r="N285" s="277"/>
      <c r="O285" s="277"/>
      <c r="P285" s="277"/>
      <c r="Q285" s="277"/>
      <c r="R285" s="277"/>
      <c r="S285" s="277"/>
    </row>
    <row r="286" spans="1:19" s="2" customFormat="1" ht="33">
      <c r="A286" s="429">
        <v>266</v>
      </c>
      <c r="B286" s="430" t="s">
        <v>379</v>
      </c>
      <c r="C286" s="429" t="s">
        <v>6</v>
      </c>
      <c r="D286" s="429" t="s">
        <v>7</v>
      </c>
      <c r="E286" s="429" t="s">
        <v>8</v>
      </c>
      <c r="F286" s="27">
        <v>180</v>
      </c>
      <c r="G286" s="31">
        <f t="shared" si="3"/>
        <v>180</v>
      </c>
      <c r="H286" s="429"/>
      <c r="J286" s="277"/>
      <c r="K286" s="277"/>
      <c r="L286" s="277"/>
      <c r="M286" s="277"/>
      <c r="N286" s="277"/>
      <c r="O286" s="277"/>
      <c r="P286" s="277"/>
      <c r="Q286" s="277"/>
      <c r="R286" s="277"/>
      <c r="S286" s="277"/>
    </row>
    <row r="287" spans="1:19" s="2" customFormat="1" ht="16.5" customHeight="1">
      <c r="A287" s="429">
        <v>267</v>
      </c>
      <c r="B287" s="430" t="s">
        <v>831</v>
      </c>
      <c r="C287" s="429" t="s">
        <v>14</v>
      </c>
      <c r="D287" s="429" t="s">
        <v>7</v>
      </c>
      <c r="E287" s="438" t="s">
        <v>8</v>
      </c>
      <c r="F287" s="27">
        <v>180</v>
      </c>
      <c r="G287" s="31">
        <f t="shared" si="3"/>
        <v>180</v>
      </c>
      <c r="H287" s="429"/>
      <c r="J287" s="277"/>
      <c r="K287" s="277"/>
      <c r="L287" s="277"/>
      <c r="M287" s="277"/>
      <c r="N287" s="277"/>
      <c r="O287" s="277"/>
      <c r="P287" s="277"/>
      <c r="Q287" s="277"/>
      <c r="R287" s="277"/>
      <c r="S287" s="277"/>
    </row>
    <row r="288" spans="1:19" s="2" customFormat="1" ht="33" customHeight="1">
      <c r="A288" s="429">
        <v>268</v>
      </c>
      <c r="B288" s="430" t="s">
        <v>848</v>
      </c>
      <c r="C288" s="429" t="s">
        <v>9</v>
      </c>
      <c r="D288" s="429" t="s">
        <v>7</v>
      </c>
      <c r="E288" s="438" t="s">
        <v>8</v>
      </c>
      <c r="F288" s="27">
        <v>180</v>
      </c>
      <c r="G288" s="31">
        <f t="shared" si="3"/>
        <v>180</v>
      </c>
      <c r="H288" s="429"/>
      <c r="J288" s="277"/>
      <c r="K288" s="277"/>
      <c r="L288" s="277"/>
      <c r="M288" s="277"/>
      <c r="N288" s="277"/>
      <c r="O288" s="277"/>
      <c r="P288" s="277"/>
      <c r="Q288" s="277"/>
      <c r="R288" s="277"/>
      <c r="S288" s="277"/>
    </row>
    <row r="289" spans="1:19" s="2" customFormat="1">
      <c r="A289" s="429">
        <v>269</v>
      </c>
      <c r="B289" s="430" t="s">
        <v>877</v>
      </c>
      <c r="C289" s="429" t="s">
        <v>6</v>
      </c>
      <c r="D289" s="429" t="s">
        <v>7</v>
      </c>
      <c r="E289" s="429" t="s">
        <v>8</v>
      </c>
      <c r="F289" s="27">
        <v>180</v>
      </c>
      <c r="G289" s="31">
        <f t="shared" si="3"/>
        <v>180</v>
      </c>
      <c r="H289" s="429"/>
      <c r="J289" s="277"/>
      <c r="K289" s="277"/>
      <c r="L289" s="277"/>
      <c r="M289" s="277"/>
      <c r="N289" s="277"/>
      <c r="O289" s="277"/>
      <c r="P289" s="277"/>
      <c r="Q289" s="277"/>
      <c r="R289" s="277"/>
      <c r="S289" s="277"/>
    </row>
    <row r="290" spans="1:19" s="2" customFormat="1">
      <c r="A290" s="429">
        <v>270</v>
      </c>
      <c r="B290" s="430" t="s">
        <v>890</v>
      </c>
      <c r="C290" s="429" t="s">
        <v>18</v>
      </c>
      <c r="D290" s="429" t="s">
        <v>7</v>
      </c>
      <c r="E290" s="429" t="s">
        <v>8</v>
      </c>
      <c r="F290" s="27">
        <v>180</v>
      </c>
      <c r="G290" s="31">
        <f t="shared" si="3"/>
        <v>180</v>
      </c>
      <c r="H290" s="429"/>
      <c r="J290" s="277"/>
      <c r="K290" s="277"/>
      <c r="L290" s="277"/>
      <c r="M290" s="277"/>
      <c r="N290" s="277"/>
      <c r="O290" s="277"/>
      <c r="P290" s="277"/>
      <c r="Q290" s="277"/>
      <c r="R290" s="277"/>
      <c r="S290" s="277"/>
    </row>
    <row r="291" spans="1:19" s="2" customFormat="1">
      <c r="A291" s="429">
        <v>271</v>
      </c>
      <c r="B291" s="430" t="s">
        <v>895</v>
      </c>
      <c r="C291" s="429" t="s">
        <v>12</v>
      </c>
      <c r="D291" s="429" t="s">
        <v>7</v>
      </c>
      <c r="E291" s="429" t="s">
        <v>8</v>
      </c>
      <c r="F291" s="27">
        <v>180</v>
      </c>
      <c r="G291" s="31">
        <f t="shared" si="3"/>
        <v>180</v>
      </c>
      <c r="H291" s="429"/>
      <c r="J291" s="277"/>
      <c r="K291" s="277"/>
      <c r="L291" s="277"/>
      <c r="M291" s="277"/>
      <c r="N291" s="277"/>
      <c r="O291" s="277"/>
      <c r="P291" s="277"/>
      <c r="Q291" s="277"/>
      <c r="R291" s="277"/>
      <c r="S291" s="277"/>
    </row>
    <row r="292" spans="1:19" s="2" customFormat="1">
      <c r="A292" s="429">
        <v>272</v>
      </c>
      <c r="B292" s="430" t="s">
        <v>900</v>
      </c>
      <c r="C292" s="429" t="s">
        <v>6</v>
      </c>
      <c r="D292" s="429" t="s">
        <v>7</v>
      </c>
      <c r="E292" s="429" t="s">
        <v>8</v>
      </c>
      <c r="F292" s="27">
        <v>180</v>
      </c>
      <c r="G292" s="31">
        <f t="shared" si="3"/>
        <v>180</v>
      </c>
      <c r="H292" s="429"/>
      <c r="J292" s="277"/>
      <c r="K292" s="277"/>
      <c r="L292" s="277"/>
      <c r="M292" s="277"/>
      <c r="N292" s="277"/>
      <c r="O292" s="277"/>
      <c r="P292" s="277"/>
      <c r="Q292" s="277"/>
      <c r="R292" s="277"/>
      <c r="S292" s="277"/>
    </row>
    <row r="293" spans="1:19" s="2" customFormat="1">
      <c r="A293" s="429">
        <v>273</v>
      </c>
      <c r="B293" s="430" t="s">
        <v>912</v>
      </c>
      <c r="C293" s="429" t="s">
        <v>6</v>
      </c>
      <c r="D293" s="429" t="s">
        <v>7</v>
      </c>
      <c r="E293" s="429" t="s">
        <v>8</v>
      </c>
      <c r="F293" s="27">
        <v>180</v>
      </c>
      <c r="G293" s="31">
        <f t="shared" si="3"/>
        <v>180</v>
      </c>
      <c r="H293" s="429"/>
      <c r="J293" s="277"/>
      <c r="K293" s="277"/>
      <c r="L293" s="277"/>
      <c r="M293" s="277"/>
      <c r="N293" s="277"/>
      <c r="O293" s="277"/>
      <c r="P293" s="277"/>
      <c r="Q293" s="277"/>
      <c r="R293" s="277"/>
      <c r="S293" s="277"/>
    </row>
    <row r="294" spans="1:19" s="2" customFormat="1" ht="33" customHeight="1">
      <c r="A294" s="429">
        <v>274</v>
      </c>
      <c r="B294" s="430" t="s">
        <v>923</v>
      </c>
      <c r="C294" s="429" t="s">
        <v>6</v>
      </c>
      <c r="D294" s="429" t="s">
        <v>7</v>
      </c>
      <c r="E294" s="438" t="s">
        <v>8</v>
      </c>
      <c r="F294" s="27">
        <v>180</v>
      </c>
      <c r="G294" s="31">
        <f t="shared" si="3"/>
        <v>180</v>
      </c>
      <c r="H294" s="429"/>
      <c r="J294" s="277"/>
      <c r="K294" s="277"/>
      <c r="L294" s="277"/>
      <c r="M294" s="277"/>
      <c r="N294" s="277"/>
      <c r="O294" s="277"/>
      <c r="P294" s="277"/>
      <c r="Q294" s="277"/>
      <c r="R294" s="277"/>
      <c r="S294" s="277"/>
    </row>
    <row r="295" spans="1:19" s="2" customFormat="1">
      <c r="A295" s="429">
        <v>275</v>
      </c>
      <c r="B295" s="430" t="s">
        <v>933</v>
      </c>
      <c r="C295" s="429" t="s">
        <v>6</v>
      </c>
      <c r="D295" s="429" t="s">
        <v>7</v>
      </c>
      <c r="E295" s="429" t="s">
        <v>8</v>
      </c>
      <c r="F295" s="27">
        <v>180</v>
      </c>
      <c r="G295" s="31">
        <f t="shared" si="3"/>
        <v>180</v>
      </c>
      <c r="H295" s="429"/>
      <c r="J295" s="277"/>
      <c r="K295" s="277"/>
      <c r="L295" s="277"/>
      <c r="M295" s="277"/>
      <c r="N295" s="277"/>
      <c r="O295" s="277"/>
      <c r="P295" s="277"/>
      <c r="Q295" s="277"/>
      <c r="R295" s="277"/>
      <c r="S295" s="277"/>
    </row>
    <row r="296" spans="1:19" s="2" customFormat="1" ht="33">
      <c r="A296" s="429">
        <v>276</v>
      </c>
      <c r="B296" s="430" t="s">
        <v>458</v>
      </c>
      <c r="C296" s="429" t="s">
        <v>6</v>
      </c>
      <c r="D296" s="429" t="s">
        <v>7</v>
      </c>
      <c r="E296" s="429" t="s">
        <v>8</v>
      </c>
      <c r="F296" s="27">
        <v>180</v>
      </c>
      <c r="G296" s="31">
        <f t="shared" si="3"/>
        <v>180</v>
      </c>
      <c r="H296" s="429"/>
      <c r="J296" s="277"/>
      <c r="K296" s="277"/>
      <c r="L296" s="277"/>
      <c r="M296" s="277"/>
      <c r="N296" s="277"/>
      <c r="O296" s="277"/>
      <c r="P296" s="277"/>
      <c r="Q296" s="277"/>
      <c r="R296" s="277"/>
      <c r="S296" s="277"/>
    </row>
    <row r="297" spans="1:19" s="2" customFormat="1">
      <c r="A297" s="429">
        <v>277</v>
      </c>
      <c r="B297" s="430" t="s">
        <v>461</v>
      </c>
      <c r="C297" s="429" t="s">
        <v>9</v>
      </c>
      <c r="D297" s="429" t="s">
        <v>7</v>
      </c>
      <c r="E297" s="429" t="s">
        <v>8</v>
      </c>
      <c r="F297" s="27">
        <v>180</v>
      </c>
      <c r="G297" s="31">
        <f t="shared" si="3"/>
        <v>180</v>
      </c>
      <c r="H297" s="429"/>
      <c r="J297" s="277"/>
      <c r="K297" s="277"/>
      <c r="L297" s="277"/>
      <c r="M297" s="277"/>
      <c r="N297" s="277"/>
      <c r="O297" s="277"/>
      <c r="P297" s="277"/>
      <c r="Q297" s="277"/>
      <c r="R297" s="277"/>
      <c r="S297" s="277"/>
    </row>
    <row r="298" spans="1:19" s="2" customFormat="1" ht="16.5" customHeight="1">
      <c r="A298" s="429">
        <v>278</v>
      </c>
      <c r="B298" s="430" t="s">
        <v>474</v>
      </c>
      <c r="C298" s="429"/>
      <c r="D298" s="429"/>
      <c r="E298" s="431" t="s">
        <v>8</v>
      </c>
      <c r="F298" s="440">
        <v>180</v>
      </c>
      <c r="G298" s="31">
        <f t="shared" si="3"/>
        <v>180</v>
      </c>
      <c r="H298" s="429"/>
      <c r="J298" s="277"/>
      <c r="K298" s="277"/>
      <c r="L298" s="277"/>
      <c r="M298" s="277"/>
      <c r="N298" s="277"/>
      <c r="O298" s="277"/>
      <c r="P298" s="277"/>
      <c r="Q298" s="277"/>
      <c r="R298" s="277"/>
      <c r="S298" s="277"/>
    </row>
    <row r="299" spans="1:19" s="2" customFormat="1" ht="16.5" customHeight="1">
      <c r="A299" s="429">
        <v>279</v>
      </c>
      <c r="B299" s="430" t="s">
        <v>479</v>
      </c>
      <c r="C299" s="429" t="s">
        <v>18</v>
      </c>
      <c r="D299" s="429" t="s">
        <v>7</v>
      </c>
      <c r="E299" s="429" t="s">
        <v>8</v>
      </c>
      <c r="F299" s="27">
        <v>180</v>
      </c>
      <c r="G299" s="31">
        <f t="shared" si="3"/>
        <v>180</v>
      </c>
      <c r="H299" s="429"/>
      <c r="J299" s="277"/>
      <c r="K299" s="277"/>
      <c r="L299" s="277"/>
      <c r="M299" s="277"/>
      <c r="N299" s="277"/>
      <c r="O299" s="277"/>
      <c r="P299" s="277"/>
      <c r="Q299" s="277"/>
      <c r="R299" s="277"/>
      <c r="S299" s="277"/>
    </row>
    <row r="300" spans="1:19" s="2" customFormat="1" ht="33">
      <c r="A300" s="429">
        <v>280</v>
      </c>
      <c r="B300" s="430" t="s">
        <v>481</v>
      </c>
      <c r="C300" s="429" t="s">
        <v>18</v>
      </c>
      <c r="D300" s="429" t="s">
        <v>7</v>
      </c>
      <c r="E300" s="429" t="s">
        <v>8</v>
      </c>
      <c r="F300" s="436">
        <v>180</v>
      </c>
      <c r="G300" s="31">
        <f t="shared" si="3"/>
        <v>180</v>
      </c>
      <c r="H300" s="429"/>
      <c r="J300" s="277"/>
      <c r="K300" s="277"/>
      <c r="L300" s="277"/>
      <c r="M300" s="277"/>
      <c r="N300" s="277"/>
      <c r="O300" s="277"/>
      <c r="P300" s="277"/>
      <c r="Q300" s="277"/>
      <c r="R300" s="277"/>
      <c r="S300" s="277"/>
    </row>
    <row r="301" spans="1:19" s="2" customFormat="1">
      <c r="A301" s="429">
        <v>281</v>
      </c>
      <c r="B301" s="430" t="s">
        <v>488</v>
      </c>
      <c r="C301" s="429" t="s">
        <v>16</v>
      </c>
      <c r="D301" s="429" t="s">
        <v>7</v>
      </c>
      <c r="E301" s="429" t="s">
        <v>8</v>
      </c>
      <c r="F301" s="436">
        <v>180</v>
      </c>
      <c r="G301" s="31">
        <f t="shared" si="3"/>
        <v>180</v>
      </c>
      <c r="H301" s="429"/>
      <c r="J301" s="277"/>
      <c r="K301" s="277"/>
      <c r="L301" s="277"/>
      <c r="M301" s="277"/>
      <c r="N301" s="277"/>
      <c r="O301" s="277"/>
      <c r="P301" s="277"/>
      <c r="Q301" s="277"/>
      <c r="R301" s="277"/>
      <c r="S301" s="277"/>
    </row>
    <row r="302" spans="1:19" s="2" customFormat="1" ht="33">
      <c r="A302" s="429">
        <v>282</v>
      </c>
      <c r="B302" s="430" t="s">
        <v>495</v>
      </c>
      <c r="C302" s="429" t="s">
        <v>9</v>
      </c>
      <c r="D302" s="429" t="s">
        <v>7</v>
      </c>
      <c r="E302" s="429" t="s">
        <v>8</v>
      </c>
      <c r="F302" s="27">
        <v>180</v>
      </c>
      <c r="G302" s="31">
        <f t="shared" si="3"/>
        <v>180</v>
      </c>
      <c r="H302" s="429"/>
      <c r="J302" s="277"/>
      <c r="K302" s="277"/>
      <c r="L302" s="277"/>
      <c r="M302" s="277"/>
      <c r="N302" s="277"/>
      <c r="O302" s="277"/>
      <c r="P302" s="277"/>
      <c r="Q302" s="277"/>
      <c r="R302" s="277"/>
      <c r="S302" s="277"/>
    </row>
    <row r="303" spans="1:19" s="2" customFormat="1">
      <c r="A303" s="429">
        <v>283</v>
      </c>
      <c r="B303" s="430" t="s">
        <v>506</v>
      </c>
      <c r="C303" s="429" t="s">
        <v>15</v>
      </c>
      <c r="D303" s="429" t="s">
        <v>7</v>
      </c>
      <c r="E303" s="429" t="s">
        <v>8</v>
      </c>
      <c r="F303" s="436">
        <v>180</v>
      </c>
      <c r="G303" s="31">
        <f t="shared" si="3"/>
        <v>180</v>
      </c>
      <c r="H303" s="429"/>
      <c r="J303" s="277"/>
      <c r="K303" s="277"/>
      <c r="L303" s="277"/>
      <c r="M303" s="277"/>
      <c r="N303" s="277"/>
      <c r="O303" s="277"/>
      <c r="P303" s="277"/>
      <c r="Q303" s="277"/>
      <c r="R303" s="277"/>
      <c r="S303" s="277"/>
    </row>
    <row r="304" spans="1:19" s="2" customFormat="1" ht="33">
      <c r="A304" s="429">
        <v>284</v>
      </c>
      <c r="B304" s="430" t="s">
        <v>524</v>
      </c>
      <c r="C304" s="429" t="s">
        <v>18</v>
      </c>
      <c r="D304" s="429" t="s">
        <v>7</v>
      </c>
      <c r="E304" s="429" t="s">
        <v>8</v>
      </c>
      <c r="F304" s="27">
        <v>180</v>
      </c>
      <c r="G304" s="31">
        <f t="shared" si="3"/>
        <v>180</v>
      </c>
      <c r="H304" s="429"/>
      <c r="J304" s="277"/>
      <c r="K304" s="277"/>
      <c r="L304" s="277"/>
      <c r="M304" s="277"/>
      <c r="N304" s="277"/>
      <c r="O304" s="277"/>
      <c r="P304" s="277"/>
      <c r="Q304" s="277"/>
      <c r="R304" s="277"/>
      <c r="S304" s="277"/>
    </row>
    <row r="305" spans="1:19" s="2" customFormat="1" ht="33">
      <c r="A305" s="429">
        <v>285</v>
      </c>
      <c r="B305" s="430" t="s">
        <v>533</v>
      </c>
      <c r="C305" s="429" t="s">
        <v>14</v>
      </c>
      <c r="D305" s="429" t="s">
        <v>7</v>
      </c>
      <c r="E305" s="429" t="s">
        <v>8</v>
      </c>
      <c r="F305" s="436">
        <v>180</v>
      </c>
      <c r="G305" s="31">
        <f t="shared" si="3"/>
        <v>180</v>
      </c>
      <c r="H305" s="429"/>
      <c r="J305" s="277"/>
      <c r="K305" s="277"/>
      <c r="L305" s="277"/>
      <c r="M305" s="277"/>
      <c r="N305" s="277"/>
      <c r="O305" s="277"/>
      <c r="P305" s="277"/>
      <c r="Q305" s="277"/>
      <c r="R305" s="277"/>
      <c r="S305" s="277"/>
    </row>
    <row r="306" spans="1:19" s="2" customFormat="1" ht="16.5" customHeight="1">
      <c r="A306" s="429">
        <v>286</v>
      </c>
      <c r="B306" s="430" t="s">
        <v>543</v>
      </c>
      <c r="C306" s="429" t="s">
        <v>15</v>
      </c>
      <c r="D306" s="429" t="s">
        <v>7</v>
      </c>
      <c r="E306" s="431" t="s">
        <v>8</v>
      </c>
      <c r="F306" s="432">
        <v>180</v>
      </c>
      <c r="G306" s="31">
        <f t="shared" si="3"/>
        <v>180</v>
      </c>
      <c r="H306" s="429"/>
      <c r="J306" s="277"/>
      <c r="K306" s="277"/>
      <c r="L306" s="277"/>
      <c r="M306" s="277"/>
      <c r="N306" s="277"/>
      <c r="O306" s="277"/>
      <c r="P306" s="277"/>
      <c r="Q306" s="277"/>
      <c r="R306" s="277"/>
      <c r="S306" s="277"/>
    </row>
    <row r="307" spans="1:19" s="2" customFormat="1" ht="33">
      <c r="A307" s="429">
        <v>287</v>
      </c>
      <c r="B307" s="430" t="s">
        <v>563</v>
      </c>
      <c r="C307" s="429" t="s">
        <v>9</v>
      </c>
      <c r="D307" s="429" t="s">
        <v>7</v>
      </c>
      <c r="E307" s="429" t="s">
        <v>8</v>
      </c>
      <c r="F307" s="27">
        <v>180</v>
      </c>
      <c r="G307" s="31">
        <f t="shared" si="3"/>
        <v>180</v>
      </c>
      <c r="H307" s="429"/>
      <c r="J307" s="277"/>
      <c r="K307" s="277"/>
      <c r="L307" s="277"/>
      <c r="M307" s="277"/>
      <c r="N307" s="277"/>
      <c r="O307" s="277"/>
      <c r="P307" s="277"/>
      <c r="Q307" s="277"/>
      <c r="R307" s="277"/>
      <c r="S307" s="277"/>
    </row>
    <row r="308" spans="1:19" s="2" customFormat="1" ht="33">
      <c r="A308" s="429">
        <v>288</v>
      </c>
      <c r="B308" s="430" t="s">
        <v>573</v>
      </c>
      <c r="C308" s="429" t="s">
        <v>18</v>
      </c>
      <c r="D308" s="429" t="s">
        <v>7</v>
      </c>
      <c r="E308" s="429" t="s">
        <v>8</v>
      </c>
      <c r="F308" s="27">
        <v>180</v>
      </c>
      <c r="G308" s="31">
        <f t="shared" si="3"/>
        <v>180</v>
      </c>
      <c r="H308" s="429"/>
      <c r="J308" s="277"/>
      <c r="K308" s="277"/>
      <c r="L308" s="277"/>
      <c r="M308" s="277"/>
      <c r="N308" s="277"/>
      <c r="O308" s="277"/>
      <c r="P308" s="277"/>
      <c r="Q308" s="277"/>
      <c r="R308" s="277"/>
      <c r="S308" s="277"/>
    </row>
    <row r="309" spans="1:19" s="2" customFormat="1" ht="33.950000000000003" customHeight="1">
      <c r="A309" s="429">
        <v>289</v>
      </c>
      <c r="B309" s="430" t="s">
        <v>575</v>
      </c>
      <c r="C309" s="429" t="s">
        <v>14</v>
      </c>
      <c r="D309" s="429" t="s">
        <v>7</v>
      </c>
      <c r="E309" s="429" t="s">
        <v>8</v>
      </c>
      <c r="F309" s="436">
        <v>180</v>
      </c>
      <c r="G309" s="31">
        <f t="shared" si="3"/>
        <v>180</v>
      </c>
      <c r="H309" s="429"/>
      <c r="J309" s="277"/>
      <c r="K309" s="277"/>
      <c r="L309" s="277"/>
      <c r="M309" s="277"/>
      <c r="N309" s="277"/>
      <c r="O309" s="277"/>
      <c r="P309" s="277"/>
      <c r="Q309" s="277"/>
      <c r="R309" s="277"/>
      <c r="S309" s="277"/>
    </row>
    <row r="310" spans="1:19" s="2" customFormat="1" ht="33">
      <c r="A310" s="429">
        <v>290</v>
      </c>
      <c r="B310" s="430" t="s">
        <v>578</v>
      </c>
      <c r="C310" s="429" t="s">
        <v>6</v>
      </c>
      <c r="D310" s="429" t="s">
        <v>7</v>
      </c>
      <c r="E310" s="429" t="s">
        <v>8</v>
      </c>
      <c r="F310" s="27">
        <v>180</v>
      </c>
      <c r="G310" s="31">
        <f t="shared" si="3"/>
        <v>180</v>
      </c>
      <c r="H310" s="429"/>
      <c r="J310" s="277"/>
      <c r="K310" s="277"/>
      <c r="L310" s="277"/>
      <c r="M310" s="277"/>
      <c r="N310" s="277"/>
      <c r="O310" s="277"/>
      <c r="P310" s="277"/>
      <c r="Q310" s="277"/>
      <c r="R310" s="277"/>
      <c r="S310" s="277"/>
    </row>
    <row r="311" spans="1:19" s="2" customFormat="1" ht="16.5" customHeight="1">
      <c r="A311" s="429">
        <v>291</v>
      </c>
      <c r="B311" s="430" t="s">
        <v>580</v>
      </c>
      <c r="C311" s="429"/>
      <c r="D311" s="429"/>
      <c r="E311" s="438" t="s">
        <v>8</v>
      </c>
      <c r="F311" s="27">
        <v>180</v>
      </c>
      <c r="G311" s="31">
        <f t="shared" si="3"/>
        <v>180</v>
      </c>
      <c r="H311" s="429"/>
      <c r="J311" s="277"/>
      <c r="K311" s="277"/>
      <c r="L311" s="277"/>
      <c r="M311" s="277"/>
      <c r="N311" s="277"/>
      <c r="O311" s="277"/>
      <c r="P311" s="277"/>
      <c r="Q311" s="277"/>
      <c r="R311" s="277"/>
      <c r="S311" s="277"/>
    </row>
    <row r="312" spans="1:19" s="2" customFormat="1">
      <c r="A312" s="429">
        <v>292</v>
      </c>
      <c r="B312" s="430" t="s">
        <v>582</v>
      </c>
      <c r="C312" s="429" t="s">
        <v>14</v>
      </c>
      <c r="D312" s="429" t="s">
        <v>7</v>
      </c>
      <c r="E312" s="429" t="s">
        <v>8</v>
      </c>
      <c r="F312" s="27">
        <v>180</v>
      </c>
      <c r="G312" s="31">
        <f t="shared" si="3"/>
        <v>180</v>
      </c>
      <c r="H312" s="429"/>
      <c r="J312" s="277"/>
      <c r="K312" s="277"/>
      <c r="L312" s="277"/>
      <c r="M312" s="277"/>
      <c r="N312" s="277"/>
      <c r="O312" s="277"/>
      <c r="P312" s="277"/>
      <c r="Q312" s="277"/>
      <c r="R312" s="277"/>
      <c r="S312" s="277"/>
    </row>
    <row r="313" spans="1:19" s="2" customFormat="1">
      <c r="A313" s="429">
        <v>293</v>
      </c>
      <c r="B313" s="430" t="s">
        <v>583</v>
      </c>
      <c r="C313" s="429" t="s">
        <v>12</v>
      </c>
      <c r="D313" s="429" t="s">
        <v>7</v>
      </c>
      <c r="E313" s="429" t="s">
        <v>8</v>
      </c>
      <c r="F313" s="27">
        <v>180</v>
      </c>
      <c r="G313" s="31">
        <f t="shared" si="3"/>
        <v>180</v>
      </c>
      <c r="H313" s="429"/>
      <c r="J313" s="277"/>
      <c r="K313" s="277"/>
      <c r="L313" s="277"/>
      <c r="M313" s="277"/>
      <c r="N313" s="277"/>
      <c r="O313" s="277"/>
      <c r="P313" s="277"/>
      <c r="Q313" s="277"/>
      <c r="R313" s="277"/>
      <c r="S313" s="277"/>
    </row>
    <row r="314" spans="1:19" s="2" customFormat="1" ht="33">
      <c r="A314" s="429">
        <v>294</v>
      </c>
      <c r="B314" s="430" t="s">
        <v>585</v>
      </c>
      <c r="C314" s="429" t="s">
        <v>16</v>
      </c>
      <c r="D314" s="429" t="s">
        <v>7</v>
      </c>
      <c r="E314" s="429" t="s">
        <v>8</v>
      </c>
      <c r="F314" s="27">
        <v>180</v>
      </c>
      <c r="G314" s="31">
        <f t="shared" si="3"/>
        <v>180</v>
      </c>
      <c r="H314" s="429"/>
      <c r="J314" s="277"/>
      <c r="K314" s="277"/>
      <c r="L314" s="277"/>
      <c r="M314" s="277"/>
      <c r="N314" s="277"/>
      <c r="O314" s="277"/>
      <c r="P314" s="277"/>
      <c r="Q314" s="277"/>
      <c r="R314" s="277"/>
      <c r="S314" s="277"/>
    </row>
    <row r="315" spans="1:19" s="2" customFormat="1">
      <c r="A315" s="429">
        <v>295</v>
      </c>
      <c r="B315" s="430" t="s">
        <v>622</v>
      </c>
      <c r="C315" s="429" t="s">
        <v>9</v>
      </c>
      <c r="D315" s="429" t="s">
        <v>7</v>
      </c>
      <c r="E315" s="429" t="s">
        <v>8</v>
      </c>
      <c r="F315" s="436">
        <v>180</v>
      </c>
      <c r="G315" s="31">
        <f t="shared" si="3"/>
        <v>180</v>
      </c>
      <c r="H315" s="429"/>
      <c r="J315" s="277"/>
      <c r="K315" s="277"/>
      <c r="L315" s="277"/>
      <c r="M315" s="277"/>
      <c r="N315" s="277"/>
      <c r="O315" s="277"/>
      <c r="P315" s="277"/>
      <c r="Q315" s="277"/>
      <c r="R315" s="277"/>
      <c r="S315" s="277"/>
    </row>
    <row r="316" spans="1:19" s="2" customFormat="1" ht="33">
      <c r="A316" s="429">
        <v>296</v>
      </c>
      <c r="B316" s="430" t="s">
        <v>624</v>
      </c>
      <c r="C316" s="429" t="s">
        <v>15</v>
      </c>
      <c r="D316" s="429" t="s">
        <v>7</v>
      </c>
      <c r="E316" s="429" t="s">
        <v>8</v>
      </c>
      <c r="F316" s="436">
        <v>180</v>
      </c>
      <c r="G316" s="31">
        <f t="shared" si="3"/>
        <v>180</v>
      </c>
      <c r="H316" s="429"/>
      <c r="J316" s="277"/>
      <c r="K316" s="277"/>
      <c r="L316" s="277"/>
      <c r="M316" s="277"/>
      <c r="N316" s="277"/>
      <c r="O316" s="277"/>
      <c r="P316" s="277"/>
      <c r="Q316" s="277"/>
      <c r="R316" s="277"/>
      <c r="S316" s="277"/>
    </row>
    <row r="317" spans="1:19" s="2" customFormat="1">
      <c r="A317" s="429">
        <v>297</v>
      </c>
      <c r="B317" s="430" t="s">
        <v>646</v>
      </c>
      <c r="C317" s="429" t="s">
        <v>14</v>
      </c>
      <c r="D317" s="429" t="s">
        <v>7</v>
      </c>
      <c r="E317" s="429" t="s">
        <v>8</v>
      </c>
      <c r="F317" s="27">
        <v>180</v>
      </c>
      <c r="G317" s="31">
        <f t="shared" si="3"/>
        <v>180</v>
      </c>
      <c r="H317" s="429"/>
      <c r="J317" s="277"/>
      <c r="K317" s="277"/>
      <c r="L317" s="277"/>
      <c r="M317" s="277"/>
      <c r="N317" s="277"/>
      <c r="O317" s="277"/>
      <c r="P317" s="277"/>
      <c r="Q317" s="277"/>
      <c r="R317" s="277"/>
      <c r="S317" s="277"/>
    </row>
    <row r="318" spans="1:19" s="2" customFormat="1" ht="33">
      <c r="A318" s="429">
        <v>298</v>
      </c>
      <c r="B318" s="430" t="s">
        <v>660</v>
      </c>
      <c r="C318" s="429" t="s">
        <v>6</v>
      </c>
      <c r="D318" s="429" t="s">
        <v>7</v>
      </c>
      <c r="E318" s="429" t="s">
        <v>8</v>
      </c>
      <c r="F318" s="27">
        <v>180</v>
      </c>
      <c r="G318" s="31">
        <f t="shared" si="3"/>
        <v>180</v>
      </c>
      <c r="H318" s="429"/>
      <c r="J318" s="277"/>
      <c r="K318" s="277"/>
      <c r="L318" s="277"/>
      <c r="M318" s="277"/>
      <c r="N318" s="277"/>
      <c r="O318" s="277"/>
      <c r="P318" s="277"/>
      <c r="Q318" s="277"/>
      <c r="R318" s="277"/>
      <c r="S318" s="277"/>
    </row>
    <row r="319" spans="1:19" s="2" customFormat="1">
      <c r="A319" s="429">
        <v>299</v>
      </c>
      <c r="B319" s="430" t="s">
        <v>671</v>
      </c>
      <c r="C319" s="429" t="s">
        <v>6</v>
      </c>
      <c r="D319" s="429" t="s">
        <v>7</v>
      </c>
      <c r="E319" s="429" t="s">
        <v>8</v>
      </c>
      <c r="F319" s="437">
        <v>180</v>
      </c>
      <c r="G319" s="31">
        <f t="shared" si="3"/>
        <v>180</v>
      </c>
      <c r="H319" s="429"/>
      <c r="J319" s="277"/>
      <c r="K319" s="277"/>
      <c r="L319" s="277"/>
      <c r="M319" s="277"/>
      <c r="N319" s="277"/>
      <c r="O319" s="277"/>
      <c r="P319" s="277"/>
      <c r="Q319" s="277"/>
      <c r="R319" s="277"/>
      <c r="S319" s="277"/>
    </row>
    <row r="320" spans="1:19" s="2" customFormat="1" ht="33">
      <c r="A320" s="429">
        <v>300</v>
      </c>
      <c r="B320" s="430" t="s">
        <v>690</v>
      </c>
      <c r="C320" s="429" t="s">
        <v>12</v>
      </c>
      <c r="D320" s="429" t="s">
        <v>7</v>
      </c>
      <c r="E320" s="429" t="s">
        <v>8</v>
      </c>
      <c r="F320" s="27">
        <v>180</v>
      </c>
      <c r="G320" s="31">
        <f t="shared" si="3"/>
        <v>180</v>
      </c>
      <c r="H320" s="429"/>
      <c r="J320" s="277"/>
      <c r="K320" s="277"/>
      <c r="L320" s="277"/>
      <c r="M320" s="277"/>
      <c r="N320" s="277"/>
      <c r="O320" s="277"/>
      <c r="P320" s="277"/>
      <c r="Q320" s="277"/>
      <c r="R320" s="277"/>
      <c r="S320" s="277"/>
    </row>
    <row r="321" spans="1:19" s="2" customFormat="1">
      <c r="A321" s="429">
        <v>301</v>
      </c>
      <c r="B321" s="430" t="s">
        <v>695</v>
      </c>
      <c r="C321" s="429" t="s">
        <v>6</v>
      </c>
      <c r="D321" s="429" t="s">
        <v>7</v>
      </c>
      <c r="E321" s="429" t="s">
        <v>8</v>
      </c>
      <c r="F321" s="27">
        <v>180</v>
      </c>
      <c r="G321" s="31">
        <f t="shared" si="3"/>
        <v>180</v>
      </c>
      <c r="H321" s="429"/>
      <c r="J321" s="277"/>
      <c r="K321" s="277"/>
      <c r="L321" s="277"/>
      <c r="M321" s="277"/>
      <c r="N321" s="277"/>
      <c r="O321" s="277"/>
      <c r="P321" s="277"/>
      <c r="Q321" s="277"/>
      <c r="R321" s="277"/>
      <c r="S321" s="277"/>
    </row>
    <row r="322" spans="1:19" s="2" customFormat="1" ht="33" customHeight="1">
      <c r="A322" s="429">
        <v>302</v>
      </c>
      <c r="B322" s="430" t="s">
        <v>701</v>
      </c>
      <c r="C322" s="429"/>
      <c r="D322" s="429"/>
      <c r="E322" s="438" t="s">
        <v>8</v>
      </c>
      <c r="F322" s="27">
        <v>180</v>
      </c>
      <c r="G322" s="31">
        <f t="shared" si="3"/>
        <v>180</v>
      </c>
      <c r="H322" s="429"/>
      <c r="J322" s="277"/>
      <c r="K322" s="277"/>
      <c r="L322" s="277"/>
      <c r="M322" s="277"/>
      <c r="N322" s="277"/>
      <c r="O322" s="277"/>
      <c r="P322" s="277"/>
      <c r="Q322" s="277"/>
      <c r="R322" s="277"/>
      <c r="S322" s="277"/>
    </row>
    <row r="323" spans="1:19" s="2" customFormat="1" ht="33">
      <c r="A323" s="429">
        <v>303</v>
      </c>
      <c r="B323" s="430" t="s">
        <v>703</v>
      </c>
      <c r="C323" s="429" t="s">
        <v>16</v>
      </c>
      <c r="D323" s="429" t="s">
        <v>7</v>
      </c>
      <c r="E323" s="429" t="s">
        <v>8</v>
      </c>
      <c r="F323" s="436">
        <v>180</v>
      </c>
      <c r="G323" s="31">
        <f t="shared" si="3"/>
        <v>180</v>
      </c>
      <c r="H323" s="429"/>
      <c r="J323" s="277"/>
      <c r="K323" s="277"/>
      <c r="L323" s="277"/>
      <c r="M323" s="277"/>
      <c r="N323" s="277"/>
      <c r="O323" s="277"/>
      <c r="P323" s="277"/>
      <c r="Q323" s="277"/>
      <c r="R323" s="277"/>
      <c r="S323" s="277"/>
    </row>
    <row r="324" spans="1:19" s="2" customFormat="1" ht="33">
      <c r="A324" s="429">
        <v>304</v>
      </c>
      <c r="B324" s="430" t="s">
        <v>706</v>
      </c>
      <c r="C324" s="429" t="s">
        <v>9</v>
      </c>
      <c r="D324" s="429" t="s">
        <v>7</v>
      </c>
      <c r="E324" s="429" t="s">
        <v>8</v>
      </c>
      <c r="F324" s="27">
        <v>180</v>
      </c>
      <c r="G324" s="31">
        <f t="shared" si="3"/>
        <v>180</v>
      </c>
      <c r="H324" s="429"/>
      <c r="J324" s="277"/>
      <c r="K324" s="277"/>
      <c r="L324" s="277"/>
      <c r="M324" s="277"/>
      <c r="N324" s="277"/>
      <c r="O324" s="277"/>
      <c r="P324" s="277"/>
      <c r="Q324" s="277"/>
      <c r="R324" s="277"/>
      <c r="S324" s="277"/>
    </row>
    <row r="325" spans="1:19" s="2" customFormat="1" ht="16.5" customHeight="1">
      <c r="A325" s="429">
        <v>305</v>
      </c>
      <c r="B325" s="430" t="s">
        <v>712</v>
      </c>
      <c r="C325" s="429"/>
      <c r="D325" s="429"/>
      <c r="E325" s="438" t="s">
        <v>8</v>
      </c>
      <c r="F325" s="27">
        <v>180</v>
      </c>
      <c r="G325" s="31">
        <f t="shared" si="3"/>
        <v>180</v>
      </c>
      <c r="H325" s="429"/>
      <c r="J325" s="277"/>
      <c r="K325" s="277"/>
      <c r="L325" s="277"/>
      <c r="M325" s="277"/>
      <c r="N325" s="277"/>
      <c r="O325" s="277"/>
      <c r="P325" s="277"/>
      <c r="Q325" s="277"/>
      <c r="R325" s="277"/>
      <c r="S325" s="277"/>
    </row>
    <row r="326" spans="1:19" s="2" customFormat="1" ht="33">
      <c r="A326" s="429">
        <v>306</v>
      </c>
      <c r="B326" s="430" t="s">
        <v>944</v>
      </c>
      <c r="C326" s="429" t="s">
        <v>14</v>
      </c>
      <c r="D326" s="429" t="s">
        <v>7</v>
      </c>
      <c r="E326" s="429" t="s">
        <v>8</v>
      </c>
      <c r="F326" s="27">
        <v>180</v>
      </c>
      <c r="G326" s="31">
        <f t="shared" ref="G326:G333" si="4">F326</f>
        <v>180</v>
      </c>
      <c r="H326" s="429"/>
      <c r="J326" s="277"/>
      <c r="K326" s="277"/>
      <c r="L326" s="277"/>
      <c r="M326" s="277"/>
      <c r="N326" s="277"/>
      <c r="O326" s="277"/>
      <c r="P326" s="277"/>
      <c r="Q326" s="277"/>
      <c r="R326" s="277"/>
      <c r="S326" s="277"/>
    </row>
    <row r="327" spans="1:19" s="2" customFormat="1" ht="33">
      <c r="A327" s="429">
        <v>307</v>
      </c>
      <c r="B327" s="430" t="s">
        <v>983</v>
      </c>
      <c r="C327" s="429" t="s">
        <v>18</v>
      </c>
      <c r="D327" s="429" t="s">
        <v>7</v>
      </c>
      <c r="E327" s="429" t="s">
        <v>8</v>
      </c>
      <c r="F327" s="27">
        <v>180</v>
      </c>
      <c r="G327" s="31">
        <f t="shared" si="4"/>
        <v>180</v>
      </c>
      <c r="H327" s="429"/>
      <c r="J327" s="277"/>
      <c r="K327" s="277"/>
      <c r="L327" s="277"/>
      <c r="M327" s="277"/>
      <c r="N327" s="277"/>
      <c r="O327" s="277"/>
      <c r="P327" s="277"/>
      <c r="Q327" s="277"/>
      <c r="R327" s="277"/>
      <c r="S327" s="277"/>
    </row>
    <row r="328" spans="1:19" s="2" customFormat="1">
      <c r="A328" s="429">
        <v>308</v>
      </c>
      <c r="B328" s="430" t="s">
        <v>992</v>
      </c>
      <c r="C328" s="429" t="s">
        <v>16</v>
      </c>
      <c r="D328" s="429" t="s">
        <v>7</v>
      </c>
      <c r="E328" s="429" t="s">
        <v>8</v>
      </c>
      <c r="F328" s="27">
        <v>180</v>
      </c>
      <c r="G328" s="31">
        <f t="shared" si="4"/>
        <v>180</v>
      </c>
      <c r="H328" s="429"/>
      <c r="J328" s="277"/>
      <c r="K328" s="277"/>
      <c r="L328" s="277"/>
      <c r="M328" s="277"/>
      <c r="N328" s="277"/>
      <c r="O328" s="277"/>
      <c r="P328" s="277"/>
      <c r="Q328" s="277"/>
      <c r="R328" s="277"/>
      <c r="S328" s="277"/>
    </row>
    <row r="329" spans="1:19" s="2" customFormat="1" ht="16.5" customHeight="1">
      <c r="A329" s="429">
        <v>309</v>
      </c>
      <c r="B329" s="430" t="s">
        <v>993</v>
      </c>
      <c r="C329" s="429" t="s">
        <v>6</v>
      </c>
      <c r="D329" s="429" t="s">
        <v>7</v>
      </c>
      <c r="E329" s="438" t="s">
        <v>8</v>
      </c>
      <c r="F329" s="27">
        <v>180</v>
      </c>
      <c r="G329" s="31">
        <f t="shared" si="4"/>
        <v>180</v>
      </c>
      <c r="H329" s="429"/>
      <c r="J329" s="277"/>
      <c r="K329" s="277"/>
      <c r="L329" s="277"/>
      <c r="M329" s="277"/>
      <c r="N329" s="277"/>
      <c r="O329" s="277"/>
      <c r="P329" s="277"/>
      <c r="Q329" s="277"/>
      <c r="R329" s="277"/>
      <c r="S329" s="277"/>
    </row>
    <row r="330" spans="1:19" s="2" customFormat="1">
      <c r="A330" s="429">
        <v>310</v>
      </c>
      <c r="B330" s="430" t="s">
        <v>996</v>
      </c>
      <c r="C330" s="429" t="s">
        <v>14</v>
      </c>
      <c r="D330" s="429" t="s">
        <v>7</v>
      </c>
      <c r="E330" s="429" t="s">
        <v>8</v>
      </c>
      <c r="F330" s="27">
        <v>180</v>
      </c>
      <c r="G330" s="31">
        <f t="shared" si="4"/>
        <v>180</v>
      </c>
      <c r="H330" s="429"/>
      <c r="J330" s="277"/>
      <c r="K330" s="277"/>
      <c r="L330" s="277"/>
      <c r="M330" s="277"/>
      <c r="N330" s="277"/>
      <c r="O330" s="277"/>
      <c r="P330" s="277"/>
      <c r="Q330" s="277"/>
      <c r="R330" s="277"/>
      <c r="S330" s="277"/>
    </row>
    <row r="331" spans="1:19" s="2" customFormat="1" ht="33">
      <c r="A331" s="429">
        <v>311</v>
      </c>
      <c r="B331" s="430" t="s">
        <v>999</v>
      </c>
      <c r="C331" s="429" t="s">
        <v>9</v>
      </c>
      <c r="D331" s="429" t="s">
        <v>7</v>
      </c>
      <c r="E331" s="429" t="s">
        <v>8</v>
      </c>
      <c r="F331" s="27">
        <v>180</v>
      </c>
      <c r="G331" s="31">
        <f t="shared" si="4"/>
        <v>180</v>
      </c>
      <c r="H331" s="429"/>
      <c r="J331" s="277"/>
      <c r="K331" s="277"/>
      <c r="L331" s="277"/>
      <c r="M331" s="277"/>
      <c r="N331" s="277"/>
      <c r="O331" s="277"/>
      <c r="P331" s="277"/>
      <c r="Q331" s="277"/>
      <c r="R331" s="277"/>
      <c r="S331" s="277"/>
    </row>
    <row r="332" spans="1:19" s="2" customFormat="1" ht="33">
      <c r="A332" s="429">
        <v>312</v>
      </c>
      <c r="B332" s="430" t="s">
        <v>1010</v>
      </c>
      <c r="C332" s="429" t="s">
        <v>9</v>
      </c>
      <c r="D332" s="429" t="s">
        <v>7</v>
      </c>
      <c r="E332" s="429" t="s">
        <v>8</v>
      </c>
      <c r="F332" s="436">
        <v>180</v>
      </c>
      <c r="G332" s="31">
        <f t="shared" si="4"/>
        <v>180</v>
      </c>
      <c r="H332" s="429"/>
      <c r="J332" s="277"/>
      <c r="K332" s="277"/>
      <c r="L332" s="277"/>
      <c r="M332" s="277"/>
      <c r="N332" s="277"/>
      <c r="O332" s="277"/>
      <c r="P332" s="277"/>
      <c r="Q332" s="277"/>
      <c r="R332" s="277"/>
      <c r="S332" s="277"/>
    </row>
    <row r="333" spans="1:19" s="2" customFormat="1">
      <c r="A333" s="429">
        <v>313</v>
      </c>
      <c r="B333" s="430" t="s">
        <v>1016</v>
      </c>
      <c r="C333" s="429" t="s">
        <v>6</v>
      </c>
      <c r="D333" s="429" t="s">
        <v>7</v>
      </c>
      <c r="E333" s="429" t="s">
        <v>8</v>
      </c>
      <c r="F333" s="27">
        <v>180</v>
      </c>
      <c r="G333" s="31">
        <f t="shared" si="4"/>
        <v>180</v>
      </c>
      <c r="H333" s="429"/>
      <c r="J333" s="277"/>
      <c r="K333" s="277"/>
      <c r="L333" s="277"/>
      <c r="M333" s="277"/>
      <c r="N333" s="277"/>
      <c r="O333" s="277"/>
      <c r="P333" s="277"/>
      <c r="Q333" s="277"/>
      <c r="R333" s="277"/>
      <c r="S333" s="277"/>
    </row>
    <row r="334" spans="1:19" s="2" customFormat="1">
      <c r="A334" s="429">
        <v>314</v>
      </c>
      <c r="B334" s="430" t="s">
        <v>54</v>
      </c>
      <c r="C334" s="429" t="s">
        <v>6</v>
      </c>
      <c r="D334" s="429" t="s">
        <v>7</v>
      </c>
      <c r="E334" s="429" t="s">
        <v>8</v>
      </c>
      <c r="F334" s="27">
        <v>190</v>
      </c>
      <c r="G334" s="27">
        <v>180</v>
      </c>
      <c r="H334" s="429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</row>
    <row r="335" spans="1:19" s="2" customFormat="1">
      <c r="A335" s="429">
        <v>315</v>
      </c>
      <c r="B335" s="430" t="s">
        <v>62</v>
      </c>
      <c r="C335" s="429" t="s">
        <v>15</v>
      </c>
      <c r="D335" s="429" t="s">
        <v>7</v>
      </c>
      <c r="E335" s="429" t="s">
        <v>8</v>
      </c>
      <c r="F335" s="27">
        <v>190</v>
      </c>
      <c r="G335" s="27">
        <v>180</v>
      </c>
      <c r="H335" s="429"/>
      <c r="J335" s="277"/>
      <c r="K335" s="277"/>
      <c r="L335" s="277"/>
      <c r="M335" s="277"/>
      <c r="N335" s="277"/>
      <c r="O335" s="277"/>
      <c r="P335" s="277"/>
      <c r="Q335" s="277"/>
      <c r="R335" s="277"/>
      <c r="S335" s="277"/>
    </row>
    <row r="336" spans="1:19" s="2" customFormat="1">
      <c r="A336" s="429">
        <v>316</v>
      </c>
      <c r="B336" s="430" t="s">
        <v>130</v>
      </c>
      <c r="C336" s="429" t="s">
        <v>14</v>
      </c>
      <c r="D336" s="429" t="s">
        <v>7</v>
      </c>
      <c r="E336" s="429" t="s">
        <v>8</v>
      </c>
      <c r="F336" s="27">
        <v>190</v>
      </c>
      <c r="G336" s="27">
        <v>180</v>
      </c>
      <c r="H336" s="429"/>
      <c r="J336" s="277"/>
      <c r="K336" s="277"/>
      <c r="L336" s="277"/>
      <c r="M336" s="277"/>
      <c r="N336" s="277"/>
      <c r="O336" s="277"/>
      <c r="P336" s="277"/>
      <c r="Q336" s="277"/>
      <c r="R336" s="277"/>
      <c r="S336" s="277"/>
    </row>
    <row r="337" spans="1:19" s="2" customFormat="1" ht="33">
      <c r="A337" s="429">
        <v>317</v>
      </c>
      <c r="B337" s="430" t="s">
        <v>189</v>
      </c>
      <c r="C337" s="429" t="s">
        <v>14</v>
      </c>
      <c r="D337" s="429" t="s">
        <v>7</v>
      </c>
      <c r="E337" s="429" t="s">
        <v>8</v>
      </c>
      <c r="F337" s="27">
        <v>190</v>
      </c>
      <c r="G337" s="27">
        <v>180</v>
      </c>
      <c r="H337" s="429"/>
      <c r="J337" s="277"/>
      <c r="K337" s="277"/>
      <c r="L337" s="277"/>
      <c r="M337" s="277"/>
      <c r="N337" s="277"/>
      <c r="O337" s="277"/>
      <c r="P337" s="277"/>
      <c r="Q337" s="277"/>
      <c r="R337" s="277"/>
      <c r="S337" s="277"/>
    </row>
    <row r="338" spans="1:19" s="2" customFormat="1">
      <c r="A338" s="429">
        <v>318</v>
      </c>
      <c r="B338" s="430" t="s">
        <v>215</v>
      </c>
      <c r="C338" s="429" t="s">
        <v>18</v>
      </c>
      <c r="D338" s="429" t="s">
        <v>7</v>
      </c>
      <c r="E338" s="429" t="s">
        <v>8</v>
      </c>
      <c r="F338" s="27">
        <v>190</v>
      </c>
      <c r="G338" s="27">
        <v>180</v>
      </c>
      <c r="H338" s="429"/>
      <c r="J338" s="277"/>
      <c r="K338" s="277"/>
      <c r="L338" s="277"/>
      <c r="M338" s="277"/>
      <c r="N338" s="277"/>
      <c r="O338" s="277"/>
      <c r="P338" s="277"/>
      <c r="Q338" s="277"/>
      <c r="R338" s="277"/>
      <c r="S338" s="277"/>
    </row>
    <row r="339" spans="1:19" s="2" customFormat="1" ht="16.5" customHeight="1">
      <c r="A339" s="429">
        <v>319</v>
      </c>
      <c r="B339" s="430" t="s">
        <v>262</v>
      </c>
      <c r="C339" s="429" t="s">
        <v>6</v>
      </c>
      <c r="D339" s="429" t="s">
        <v>7</v>
      </c>
      <c r="E339" s="429" t="s">
        <v>8</v>
      </c>
      <c r="F339" s="27">
        <v>190</v>
      </c>
      <c r="G339" s="27">
        <v>180</v>
      </c>
      <c r="H339" s="429"/>
      <c r="J339" s="277"/>
      <c r="K339" s="277"/>
      <c r="L339" s="277"/>
      <c r="M339" s="277"/>
      <c r="N339" s="277"/>
      <c r="O339" s="277"/>
      <c r="P339" s="277"/>
      <c r="Q339" s="277"/>
      <c r="R339" s="277"/>
      <c r="S339" s="277"/>
    </row>
    <row r="340" spans="1:19" s="2" customFormat="1" ht="33" customHeight="1">
      <c r="A340" s="429">
        <v>320</v>
      </c>
      <c r="B340" s="430" t="s">
        <v>269</v>
      </c>
      <c r="C340" s="429" t="s">
        <v>12</v>
      </c>
      <c r="D340" s="429" t="s">
        <v>7</v>
      </c>
      <c r="E340" s="429" t="s">
        <v>8</v>
      </c>
      <c r="F340" s="27">
        <v>190</v>
      </c>
      <c r="G340" s="27">
        <v>180</v>
      </c>
      <c r="H340" s="429"/>
      <c r="J340" s="277"/>
      <c r="K340" s="277"/>
      <c r="L340" s="277"/>
      <c r="M340" s="277"/>
      <c r="N340" s="277"/>
      <c r="O340" s="277"/>
      <c r="P340" s="277"/>
      <c r="Q340" s="277"/>
      <c r="R340" s="277"/>
      <c r="S340" s="277"/>
    </row>
    <row r="341" spans="1:19" s="2" customFormat="1" ht="33">
      <c r="A341" s="429">
        <v>321</v>
      </c>
      <c r="B341" s="430" t="s">
        <v>279</v>
      </c>
      <c r="C341" s="429" t="s">
        <v>6</v>
      </c>
      <c r="D341" s="429" t="s">
        <v>7</v>
      </c>
      <c r="E341" s="429" t="s">
        <v>8</v>
      </c>
      <c r="F341" s="27">
        <v>190</v>
      </c>
      <c r="G341" s="27">
        <v>180</v>
      </c>
      <c r="H341" s="429"/>
      <c r="J341" s="277"/>
      <c r="K341" s="277"/>
      <c r="L341" s="277"/>
      <c r="M341" s="277"/>
      <c r="N341" s="277"/>
      <c r="O341" s="277"/>
      <c r="P341" s="277"/>
      <c r="Q341" s="277"/>
      <c r="R341" s="277"/>
      <c r="S341" s="277"/>
    </row>
    <row r="342" spans="1:19" s="2" customFormat="1">
      <c r="A342" s="429">
        <v>322</v>
      </c>
      <c r="B342" s="430" t="s">
        <v>320</v>
      </c>
      <c r="C342" s="429" t="s">
        <v>18</v>
      </c>
      <c r="D342" s="429" t="s">
        <v>7</v>
      </c>
      <c r="E342" s="429" t="s">
        <v>8</v>
      </c>
      <c r="F342" s="27">
        <v>190</v>
      </c>
      <c r="G342" s="27">
        <v>180</v>
      </c>
      <c r="H342" s="429"/>
      <c r="J342" s="277"/>
      <c r="K342" s="277"/>
      <c r="L342" s="277"/>
      <c r="M342" s="277"/>
      <c r="N342" s="277"/>
      <c r="O342" s="277"/>
      <c r="P342" s="277"/>
      <c r="Q342" s="277"/>
      <c r="R342" s="277"/>
      <c r="S342" s="277"/>
    </row>
    <row r="343" spans="1:19" s="2" customFormat="1" ht="33">
      <c r="A343" s="429">
        <v>323</v>
      </c>
      <c r="B343" s="430" t="s">
        <v>339</v>
      </c>
      <c r="C343" s="429" t="s">
        <v>6</v>
      </c>
      <c r="D343" s="429" t="s">
        <v>7</v>
      </c>
      <c r="E343" s="429" t="s">
        <v>8</v>
      </c>
      <c r="F343" s="27">
        <v>190</v>
      </c>
      <c r="G343" s="27">
        <v>180</v>
      </c>
      <c r="H343" s="429"/>
      <c r="J343" s="277"/>
      <c r="K343" s="277"/>
      <c r="L343" s="277"/>
      <c r="M343" s="277"/>
      <c r="N343" s="277"/>
      <c r="O343" s="277"/>
      <c r="P343" s="277"/>
      <c r="Q343" s="277"/>
      <c r="R343" s="277"/>
      <c r="S343" s="277"/>
    </row>
    <row r="344" spans="1:19" s="2" customFormat="1" ht="33">
      <c r="A344" s="429">
        <v>324</v>
      </c>
      <c r="B344" s="430" t="s">
        <v>349</v>
      </c>
      <c r="C344" s="429" t="s">
        <v>15</v>
      </c>
      <c r="D344" s="429" t="s">
        <v>7</v>
      </c>
      <c r="E344" s="429" t="s">
        <v>8</v>
      </c>
      <c r="F344" s="27">
        <v>190</v>
      </c>
      <c r="G344" s="27">
        <v>180</v>
      </c>
      <c r="H344" s="429"/>
      <c r="J344" s="277"/>
      <c r="K344" s="277"/>
      <c r="L344" s="277"/>
      <c r="M344" s="277"/>
      <c r="N344" s="277"/>
      <c r="O344" s="277"/>
      <c r="P344" s="277"/>
      <c r="Q344" s="277"/>
      <c r="R344" s="277"/>
      <c r="S344" s="277"/>
    </row>
    <row r="345" spans="1:19" s="2" customFormat="1">
      <c r="A345" s="429">
        <v>325</v>
      </c>
      <c r="B345" s="430" t="s">
        <v>354</v>
      </c>
      <c r="C345" s="429" t="s">
        <v>18</v>
      </c>
      <c r="D345" s="429" t="s">
        <v>7</v>
      </c>
      <c r="E345" s="429" t="s">
        <v>8</v>
      </c>
      <c r="F345" s="27">
        <v>190</v>
      </c>
      <c r="G345" s="27">
        <v>180</v>
      </c>
      <c r="H345" s="441"/>
      <c r="J345" s="277"/>
      <c r="K345" s="277"/>
      <c r="L345" s="277"/>
      <c r="M345" s="277"/>
      <c r="N345" s="277"/>
      <c r="O345" s="277"/>
      <c r="P345" s="277"/>
      <c r="Q345" s="277"/>
      <c r="R345" s="277"/>
      <c r="S345" s="277"/>
    </row>
    <row r="346" spans="1:19" s="2" customFormat="1" ht="16.5" customHeight="1">
      <c r="A346" s="429">
        <v>326</v>
      </c>
      <c r="B346" s="430" t="s">
        <v>384</v>
      </c>
      <c r="C346" s="429" t="s">
        <v>14</v>
      </c>
      <c r="D346" s="429" t="s">
        <v>7</v>
      </c>
      <c r="E346" s="429" t="s">
        <v>8</v>
      </c>
      <c r="F346" s="27">
        <v>190</v>
      </c>
      <c r="G346" s="27">
        <v>180</v>
      </c>
      <c r="H346" s="429"/>
      <c r="J346" s="277"/>
      <c r="K346" s="277"/>
      <c r="L346" s="277"/>
      <c r="M346" s="277"/>
      <c r="N346" s="277"/>
      <c r="O346" s="277"/>
      <c r="P346" s="277"/>
      <c r="Q346" s="277"/>
      <c r="R346" s="277"/>
      <c r="S346" s="277"/>
    </row>
    <row r="347" spans="1:19" s="2" customFormat="1">
      <c r="A347" s="429">
        <v>327</v>
      </c>
      <c r="B347" s="430" t="s">
        <v>408</v>
      </c>
      <c r="C347" s="429" t="s">
        <v>6</v>
      </c>
      <c r="D347" s="429" t="s">
        <v>7</v>
      </c>
      <c r="E347" s="429" t="s">
        <v>8</v>
      </c>
      <c r="F347" s="27">
        <v>190</v>
      </c>
      <c r="G347" s="27">
        <v>180</v>
      </c>
      <c r="H347" s="429"/>
      <c r="J347" s="277"/>
      <c r="K347" s="277"/>
      <c r="L347" s="277"/>
      <c r="M347" s="277"/>
      <c r="N347" s="277"/>
      <c r="O347" s="277"/>
      <c r="P347" s="277"/>
      <c r="Q347" s="277"/>
      <c r="R347" s="277"/>
      <c r="S347" s="277"/>
    </row>
    <row r="348" spans="1:19" s="2" customFormat="1">
      <c r="A348" s="429">
        <v>328</v>
      </c>
      <c r="B348" s="430" t="s">
        <v>415</v>
      </c>
      <c r="C348" s="429" t="s">
        <v>6</v>
      </c>
      <c r="D348" s="429" t="s">
        <v>7</v>
      </c>
      <c r="E348" s="429" t="s">
        <v>8</v>
      </c>
      <c r="F348" s="27">
        <v>190</v>
      </c>
      <c r="G348" s="27">
        <v>180</v>
      </c>
      <c r="H348" s="429"/>
      <c r="J348" s="277"/>
      <c r="K348" s="277"/>
      <c r="L348" s="277"/>
      <c r="M348" s="277"/>
      <c r="N348" s="277"/>
      <c r="O348" s="277"/>
      <c r="P348" s="277"/>
      <c r="Q348" s="277"/>
      <c r="R348" s="277"/>
      <c r="S348" s="277"/>
    </row>
    <row r="349" spans="1:19" s="2" customFormat="1" ht="33">
      <c r="A349" s="429">
        <v>329</v>
      </c>
      <c r="B349" s="430" t="s">
        <v>416</v>
      </c>
      <c r="C349" s="429" t="s">
        <v>6</v>
      </c>
      <c r="D349" s="429" t="s">
        <v>7</v>
      </c>
      <c r="E349" s="429" t="s">
        <v>8</v>
      </c>
      <c r="F349" s="27">
        <v>190</v>
      </c>
      <c r="G349" s="27">
        <v>180</v>
      </c>
      <c r="H349" s="429"/>
      <c r="J349" s="277"/>
      <c r="K349" s="277"/>
      <c r="L349" s="277"/>
      <c r="M349" s="277"/>
      <c r="N349" s="277"/>
      <c r="O349" s="277"/>
      <c r="P349" s="277"/>
      <c r="Q349" s="277"/>
      <c r="R349" s="277"/>
      <c r="S349" s="277"/>
    </row>
    <row r="350" spans="1:19" s="2" customFormat="1" ht="16.5" customHeight="1">
      <c r="A350" s="429">
        <v>330</v>
      </c>
      <c r="B350" s="430" t="s">
        <v>430</v>
      </c>
      <c r="C350" s="429" t="s">
        <v>15</v>
      </c>
      <c r="D350" s="429" t="s">
        <v>7</v>
      </c>
      <c r="E350" s="429" t="s">
        <v>8</v>
      </c>
      <c r="F350" s="27">
        <v>190</v>
      </c>
      <c r="G350" s="32">
        <v>180</v>
      </c>
      <c r="H350" s="429"/>
      <c r="J350" s="277"/>
      <c r="K350" s="277"/>
      <c r="L350" s="277"/>
      <c r="M350" s="277"/>
      <c r="N350" s="277"/>
      <c r="O350" s="277"/>
      <c r="P350" s="277"/>
      <c r="Q350" s="277"/>
      <c r="R350" s="277"/>
      <c r="S350" s="277"/>
    </row>
    <row r="351" spans="1:19" s="2" customFormat="1">
      <c r="A351" s="429">
        <v>331</v>
      </c>
      <c r="B351" s="430" t="s">
        <v>435</v>
      </c>
      <c r="C351" s="429" t="s">
        <v>18</v>
      </c>
      <c r="D351" s="429" t="s">
        <v>7</v>
      </c>
      <c r="E351" s="429" t="s">
        <v>8</v>
      </c>
      <c r="F351" s="27">
        <v>190</v>
      </c>
      <c r="G351" s="27">
        <v>180</v>
      </c>
      <c r="H351" s="429"/>
      <c r="J351" s="277"/>
      <c r="K351" s="277"/>
      <c r="L351" s="277"/>
      <c r="M351" s="277"/>
      <c r="N351" s="277"/>
      <c r="O351" s="277"/>
      <c r="P351" s="277"/>
      <c r="Q351" s="277"/>
      <c r="R351" s="277"/>
      <c r="S351" s="277"/>
    </row>
    <row r="352" spans="1:19" s="2" customFormat="1">
      <c r="A352" s="429">
        <v>332</v>
      </c>
      <c r="B352" s="430" t="s">
        <v>454</v>
      </c>
      <c r="C352" s="429" t="s">
        <v>18</v>
      </c>
      <c r="D352" s="429" t="s">
        <v>7</v>
      </c>
      <c r="E352" s="429" t="s">
        <v>8</v>
      </c>
      <c r="F352" s="27">
        <v>190</v>
      </c>
      <c r="G352" s="27">
        <v>180</v>
      </c>
      <c r="H352" s="429"/>
      <c r="J352" s="277"/>
      <c r="K352" s="277"/>
      <c r="L352" s="277"/>
      <c r="M352" s="277"/>
      <c r="N352" s="277"/>
      <c r="O352" s="277"/>
      <c r="P352" s="277"/>
      <c r="Q352" s="277"/>
      <c r="R352" s="277"/>
      <c r="S352" s="277"/>
    </row>
    <row r="353" spans="1:19" s="2" customFormat="1">
      <c r="A353" s="429">
        <v>333</v>
      </c>
      <c r="B353" s="430" t="s">
        <v>456</v>
      </c>
      <c r="C353" s="429" t="s">
        <v>18</v>
      </c>
      <c r="D353" s="429" t="s">
        <v>7</v>
      </c>
      <c r="E353" s="429" t="s">
        <v>8</v>
      </c>
      <c r="F353" s="27">
        <v>190</v>
      </c>
      <c r="G353" s="27">
        <v>180</v>
      </c>
      <c r="H353" s="429"/>
      <c r="J353" s="277"/>
      <c r="K353" s="277"/>
      <c r="L353" s="277"/>
      <c r="M353" s="277"/>
      <c r="N353" s="277"/>
      <c r="O353" s="277"/>
      <c r="P353" s="277"/>
      <c r="Q353" s="277"/>
      <c r="R353" s="277"/>
      <c r="S353" s="277"/>
    </row>
    <row r="354" spans="1:19" s="2" customFormat="1">
      <c r="A354" s="429">
        <v>334</v>
      </c>
      <c r="B354" s="430" t="s">
        <v>463</v>
      </c>
      <c r="C354" s="429" t="s">
        <v>6</v>
      </c>
      <c r="D354" s="429" t="s">
        <v>7</v>
      </c>
      <c r="E354" s="429" t="s">
        <v>8</v>
      </c>
      <c r="F354" s="27">
        <v>190</v>
      </c>
      <c r="G354" s="27">
        <v>180</v>
      </c>
      <c r="H354" s="429"/>
      <c r="J354" s="277"/>
      <c r="K354" s="277"/>
      <c r="L354" s="277"/>
      <c r="M354" s="277"/>
      <c r="N354" s="277"/>
      <c r="O354" s="277"/>
      <c r="P354" s="277"/>
      <c r="Q354" s="277"/>
      <c r="R354" s="277"/>
      <c r="S354" s="277"/>
    </row>
    <row r="355" spans="1:19" s="2" customFormat="1">
      <c r="A355" s="429">
        <v>335</v>
      </c>
      <c r="B355" s="430" t="s">
        <v>480</v>
      </c>
      <c r="C355" s="429" t="s">
        <v>14</v>
      </c>
      <c r="D355" s="429" t="s">
        <v>7</v>
      </c>
      <c r="E355" s="429" t="s">
        <v>8</v>
      </c>
      <c r="F355" s="27">
        <v>190</v>
      </c>
      <c r="G355" s="27">
        <v>180</v>
      </c>
      <c r="H355" s="429"/>
      <c r="J355" s="277"/>
      <c r="K355" s="277"/>
      <c r="L355" s="277"/>
      <c r="M355" s="277"/>
      <c r="N355" s="277"/>
      <c r="O355" s="277"/>
      <c r="P355" s="277"/>
      <c r="Q355" s="277"/>
      <c r="R355" s="277"/>
      <c r="S355" s="277"/>
    </row>
    <row r="356" spans="1:19" s="2" customFormat="1">
      <c r="A356" s="429">
        <v>336</v>
      </c>
      <c r="B356" s="430" t="s">
        <v>482</v>
      </c>
      <c r="C356" s="429" t="s">
        <v>14</v>
      </c>
      <c r="D356" s="429" t="s">
        <v>7</v>
      </c>
      <c r="E356" s="429" t="s">
        <v>8</v>
      </c>
      <c r="F356" s="27">
        <v>190</v>
      </c>
      <c r="G356" s="27">
        <v>180</v>
      </c>
      <c r="H356" s="429"/>
      <c r="J356" s="277"/>
      <c r="K356" s="277"/>
      <c r="L356" s="277"/>
      <c r="M356" s="277"/>
      <c r="N356" s="277"/>
      <c r="O356" s="277"/>
      <c r="P356" s="277"/>
      <c r="Q356" s="277"/>
      <c r="R356" s="277"/>
      <c r="S356" s="277"/>
    </row>
    <row r="357" spans="1:19" s="2" customFormat="1">
      <c r="A357" s="429">
        <v>337</v>
      </c>
      <c r="B357" s="430" t="s">
        <v>487</v>
      </c>
      <c r="C357" s="429" t="s">
        <v>6</v>
      </c>
      <c r="D357" s="429" t="s">
        <v>7</v>
      </c>
      <c r="E357" s="429" t="s">
        <v>8</v>
      </c>
      <c r="F357" s="27">
        <v>190</v>
      </c>
      <c r="G357" s="27">
        <v>180</v>
      </c>
      <c r="H357" s="429"/>
      <c r="J357" s="277"/>
      <c r="K357" s="277"/>
      <c r="L357" s="277"/>
      <c r="M357" s="277"/>
      <c r="N357" s="277"/>
      <c r="O357" s="277"/>
      <c r="P357" s="277"/>
      <c r="Q357" s="277"/>
      <c r="R357" s="277"/>
      <c r="S357" s="277"/>
    </row>
    <row r="358" spans="1:19" s="2" customFormat="1" ht="33" customHeight="1">
      <c r="A358" s="429">
        <v>338</v>
      </c>
      <c r="B358" s="430" t="s">
        <v>493</v>
      </c>
      <c r="C358" s="429" t="s">
        <v>15</v>
      </c>
      <c r="D358" s="429" t="s">
        <v>7</v>
      </c>
      <c r="E358" s="429" t="s">
        <v>8</v>
      </c>
      <c r="F358" s="27">
        <v>190</v>
      </c>
      <c r="G358" s="27">
        <v>180</v>
      </c>
      <c r="H358" s="429"/>
      <c r="J358" s="277"/>
      <c r="K358" s="277"/>
      <c r="L358" s="277"/>
      <c r="M358" s="277"/>
      <c r="N358" s="277"/>
      <c r="O358" s="277"/>
      <c r="P358" s="277"/>
      <c r="Q358" s="277"/>
      <c r="R358" s="277"/>
      <c r="S358" s="277"/>
    </row>
    <row r="359" spans="1:19" s="2" customFormat="1">
      <c r="A359" s="429">
        <v>339</v>
      </c>
      <c r="B359" s="430" t="s">
        <v>519</v>
      </c>
      <c r="C359" s="429" t="s">
        <v>14</v>
      </c>
      <c r="D359" s="429" t="s">
        <v>7</v>
      </c>
      <c r="E359" s="429" t="s">
        <v>8</v>
      </c>
      <c r="F359" s="27">
        <v>190</v>
      </c>
      <c r="G359" s="27">
        <v>180</v>
      </c>
      <c r="H359" s="429"/>
      <c r="J359" s="277"/>
      <c r="K359" s="277"/>
      <c r="L359" s="277"/>
      <c r="M359" s="277"/>
      <c r="N359" s="277"/>
      <c r="O359" s="277"/>
      <c r="P359" s="277"/>
      <c r="Q359" s="277"/>
      <c r="R359" s="277"/>
      <c r="S359" s="277"/>
    </row>
    <row r="360" spans="1:19" s="2" customFormat="1">
      <c r="A360" s="429">
        <v>340</v>
      </c>
      <c r="B360" s="430" t="s">
        <v>542</v>
      </c>
      <c r="C360" s="429" t="s">
        <v>18</v>
      </c>
      <c r="D360" s="429" t="s">
        <v>7</v>
      </c>
      <c r="E360" s="429" t="s">
        <v>8</v>
      </c>
      <c r="F360" s="27">
        <v>190</v>
      </c>
      <c r="G360" s="27">
        <v>180</v>
      </c>
      <c r="H360" s="429"/>
      <c r="J360" s="277"/>
      <c r="K360" s="277"/>
      <c r="L360" s="277"/>
      <c r="M360" s="277"/>
      <c r="N360" s="277"/>
      <c r="O360" s="277"/>
      <c r="P360" s="277"/>
      <c r="Q360" s="277"/>
      <c r="R360" s="277"/>
      <c r="S360" s="277"/>
    </row>
    <row r="361" spans="1:19" s="2" customFormat="1">
      <c r="A361" s="429">
        <v>341</v>
      </c>
      <c r="B361" s="430" t="s">
        <v>553</v>
      </c>
      <c r="C361" s="429" t="s">
        <v>14</v>
      </c>
      <c r="D361" s="429" t="s">
        <v>7</v>
      </c>
      <c r="E361" s="429" t="s">
        <v>8</v>
      </c>
      <c r="F361" s="27">
        <v>190</v>
      </c>
      <c r="G361" s="27">
        <v>180</v>
      </c>
      <c r="H361" s="429"/>
      <c r="J361" s="277"/>
      <c r="K361" s="277"/>
      <c r="L361" s="277"/>
      <c r="M361" s="277"/>
      <c r="N361" s="277"/>
      <c r="O361" s="277"/>
      <c r="P361" s="277"/>
      <c r="Q361" s="277"/>
      <c r="R361" s="277"/>
      <c r="S361" s="277"/>
    </row>
    <row r="362" spans="1:19" s="2" customFormat="1">
      <c r="A362" s="429">
        <v>342</v>
      </c>
      <c r="B362" s="430" t="s">
        <v>554</v>
      </c>
      <c r="C362" s="429" t="s">
        <v>18</v>
      </c>
      <c r="D362" s="429" t="s">
        <v>7</v>
      </c>
      <c r="E362" s="429" t="s">
        <v>8</v>
      </c>
      <c r="F362" s="27">
        <v>190</v>
      </c>
      <c r="G362" s="27">
        <v>180</v>
      </c>
      <c r="H362" s="429"/>
      <c r="J362" s="277"/>
      <c r="K362" s="277"/>
      <c r="L362" s="277"/>
      <c r="M362" s="277"/>
      <c r="N362" s="277"/>
      <c r="O362" s="277"/>
      <c r="P362" s="277"/>
      <c r="Q362" s="277"/>
      <c r="R362" s="277"/>
      <c r="S362" s="277"/>
    </row>
    <row r="363" spans="1:19" s="2" customFormat="1" ht="16.5" customHeight="1">
      <c r="A363" s="429">
        <v>343</v>
      </c>
      <c r="B363" s="430" t="s">
        <v>566</v>
      </c>
      <c r="C363" s="429" t="s">
        <v>6</v>
      </c>
      <c r="D363" s="429" t="s">
        <v>7</v>
      </c>
      <c r="E363" s="429" t="s">
        <v>8</v>
      </c>
      <c r="F363" s="27">
        <v>190</v>
      </c>
      <c r="G363" s="27">
        <v>180</v>
      </c>
      <c r="H363" s="429"/>
      <c r="J363" s="277"/>
      <c r="K363" s="277"/>
      <c r="L363" s="277"/>
      <c r="M363" s="277"/>
      <c r="N363" s="277"/>
      <c r="O363" s="277"/>
      <c r="P363" s="277"/>
      <c r="Q363" s="277"/>
      <c r="R363" s="277"/>
      <c r="S363" s="277"/>
    </row>
    <row r="364" spans="1:19" s="2" customFormat="1">
      <c r="A364" s="429">
        <v>344</v>
      </c>
      <c r="B364" s="430" t="s">
        <v>568</v>
      </c>
      <c r="C364" s="429" t="s">
        <v>6</v>
      </c>
      <c r="D364" s="429" t="s">
        <v>7</v>
      </c>
      <c r="E364" s="429" t="s">
        <v>8</v>
      </c>
      <c r="F364" s="27">
        <v>190</v>
      </c>
      <c r="G364" s="27">
        <v>180</v>
      </c>
      <c r="H364" s="429"/>
      <c r="J364" s="277"/>
      <c r="K364" s="277"/>
      <c r="L364" s="277"/>
      <c r="M364" s="277"/>
      <c r="N364" s="277"/>
      <c r="O364" s="277"/>
      <c r="P364" s="277"/>
      <c r="Q364" s="277"/>
      <c r="R364" s="277"/>
      <c r="S364" s="277"/>
    </row>
    <row r="365" spans="1:19" s="2" customFormat="1" ht="33">
      <c r="A365" s="429">
        <v>345</v>
      </c>
      <c r="B365" s="430" t="s">
        <v>599</v>
      </c>
      <c r="C365" s="429" t="s">
        <v>14</v>
      </c>
      <c r="D365" s="429" t="s">
        <v>7</v>
      </c>
      <c r="E365" s="429" t="s">
        <v>8</v>
      </c>
      <c r="F365" s="27">
        <v>190</v>
      </c>
      <c r="G365" s="27">
        <v>180</v>
      </c>
      <c r="H365" s="429"/>
      <c r="J365" s="277"/>
      <c r="K365" s="277"/>
      <c r="L365" s="277"/>
      <c r="M365" s="277"/>
      <c r="N365" s="277"/>
      <c r="O365" s="277"/>
      <c r="P365" s="277"/>
      <c r="Q365" s="277"/>
      <c r="R365" s="277"/>
      <c r="S365" s="277"/>
    </row>
    <row r="366" spans="1:19" s="2" customFormat="1">
      <c r="A366" s="429">
        <v>346</v>
      </c>
      <c r="B366" s="430" t="s">
        <v>683</v>
      </c>
      <c r="C366" s="429" t="s">
        <v>6</v>
      </c>
      <c r="D366" s="429" t="s">
        <v>7</v>
      </c>
      <c r="E366" s="429" t="s">
        <v>8</v>
      </c>
      <c r="F366" s="27">
        <v>190</v>
      </c>
      <c r="G366" s="27">
        <v>180</v>
      </c>
      <c r="H366" s="429"/>
      <c r="J366" s="277"/>
      <c r="K366" s="277"/>
      <c r="L366" s="277"/>
      <c r="M366" s="277"/>
      <c r="N366" s="277"/>
      <c r="O366" s="277"/>
      <c r="P366" s="277"/>
      <c r="Q366" s="277"/>
      <c r="R366" s="277"/>
      <c r="S366" s="277"/>
    </row>
    <row r="367" spans="1:19" s="2" customFormat="1" ht="16.5" customHeight="1">
      <c r="A367" s="429">
        <v>347</v>
      </c>
      <c r="B367" s="430" t="s">
        <v>691</v>
      </c>
      <c r="C367" s="429" t="s">
        <v>9</v>
      </c>
      <c r="D367" s="429" t="s">
        <v>7</v>
      </c>
      <c r="E367" s="438" t="s">
        <v>8</v>
      </c>
      <c r="F367" s="27">
        <v>190</v>
      </c>
      <c r="G367" s="27">
        <v>180</v>
      </c>
      <c r="H367" s="429"/>
      <c r="J367" s="277"/>
      <c r="K367" s="277"/>
      <c r="L367" s="277"/>
      <c r="M367" s="277"/>
      <c r="N367" s="277"/>
      <c r="O367" s="277"/>
      <c r="P367" s="277"/>
      <c r="Q367" s="277"/>
      <c r="R367" s="277"/>
      <c r="S367" s="277"/>
    </row>
    <row r="368" spans="1:19" s="2" customFormat="1" ht="33">
      <c r="A368" s="429">
        <v>348</v>
      </c>
      <c r="B368" s="430" t="s">
        <v>704</v>
      </c>
      <c r="C368" s="429" t="s">
        <v>6</v>
      </c>
      <c r="D368" s="429" t="s">
        <v>7</v>
      </c>
      <c r="E368" s="429" t="s">
        <v>8</v>
      </c>
      <c r="F368" s="27">
        <v>190</v>
      </c>
      <c r="G368" s="27">
        <v>180</v>
      </c>
      <c r="H368" s="429"/>
      <c r="J368" s="277"/>
      <c r="K368" s="277"/>
      <c r="L368" s="277"/>
      <c r="M368" s="277"/>
      <c r="N368" s="277"/>
      <c r="O368" s="277"/>
      <c r="P368" s="277"/>
      <c r="Q368" s="277"/>
      <c r="R368" s="277"/>
      <c r="S368" s="277"/>
    </row>
    <row r="369" spans="1:19" s="2" customFormat="1">
      <c r="A369" s="429">
        <v>349</v>
      </c>
      <c r="B369" s="430" t="s">
        <v>708</v>
      </c>
      <c r="C369" s="429" t="s">
        <v>15</v>
      </c>
      <c r="D369" s="429" t="s">
        <v>7</v>
      </c>
      <c r="E369" s="429" t="s">
        <v>8</v>
      </c>
      <c r="F369" s="27">
        <v>190</v>
      </c>
      <c r="G369" s="27">
        <v>180</v>
      </c>
      <c r="H369" s="429"/>
      <c r="J369" s="277"/>
      <c r="K369" s="277"/>
      <c r="L369" s="277"/>
      <c r="M369" s="277"/>
      <c r="N369" s="277"/>
      <c r="O369" s="277"/>
      <c r="P369" s="277"/>
      <c r="Q369" s="277"/>
      <c r="R369" s="277"/>
      <c r="S369" s="277"/>
    </row>
    <row r="370" spans="1:19" s="2" customFormat="1" ht="16.5" customHeight="1">
      <c r="A370" s="429">
        <v>350</v>
      </c>
      <c r="B370" s="430" t="s">
        <v>715</v>
      </c>
      <c r="C370" s="429" t="s">
        <v>6</v>
      </c>
      <c r="D370" s="429" t="s">
        <v>7</v>
      </c>
      <c r="E370" s="429" t="s">
        <v>8</v>
      </c>
      <c r="F370" s="27">
        <v>190</v>
      </c>
      <c r="G370" s="27">
        <v>180</v>
      </c>
      <c r="H370" s="429"/>
      <c r="J370" s="277"/>
      <c r="K370" s="277"/>
      <c r="L370" s="277"/>
      <c r="M370" s="277"/>
      <c r="N370" s="277"/>
      <c r="O370" s="277"/>
      <c r="P370" s="277"/>
      <c r="Q370" s="277"/>
      <c r="R370" s="277"/>
      <c r="S370" s="277"/>
    </row>
    <row r="371" spans="1:19" s="2" customFormat="1" ht="33">
      <c r="A371" s="429">
        <v>351</v>
      </c>
      <c r="B371" s="430" t="s">
        <v>733</v>
      </c>
      <c r="C371" s="429" t="s">
        <v>6</v>
      </c>
      <c r="D371" s="429" t="s">
        <v>10</v>
      </c>
      <c r="E371" s="429" t="s">
        <v>8</v>
      </c>
      <c r="F371" s="27">
        <v>190</v>
      </c>
      <c r="G371" s="27">
        <v>180</v>
      </c>
      <c r="H371" s="429"/>
      <c r="J371" s="277"/>
      <c r="K371" s="277"/>
      <c r="L371" s="277"/>
      <c r="M371" s="277"/>
      <c r="N371" s="277"/>
      <c r="O371" s="277"/>
      <c r="P371" s="277"/>
      <c r="Q371" s="277"/>
      <c r="R371" s="277"/>
      <c r="S371" s="277"/>
    </row>
    <row r="372" spans="1:19" s="2" customFormat="1" ht="33">
      <c r="A372" s="429">
        <v>352</v>
      </c>
      <c r="B372" s="430" t="s">
        <v>754</v>
      </c>
      <c r="C372" s="429" t="s">
        <v>12</v>
      </c>
      <c r="D372" s="429" t="s">
        <v>7</v>
      </c>
      <c r="E372" s="429" t="s">
        <v>8</v>
      </c>
      <c r="F372" s="27">
        <v>190</v>
      </c>
      <c r="G372" s="27">
        <v>180</v>
      </c>
      <c r="H372" s="429"/>
      <c r="J372" s="277"/>
      <c r="K372" s="277"/>
      <c r="L372" s="277"/>
      <c r="M372" s="277"/>
      <c r="N372" s="277"/>
      <c r="O372" s="277"/>
      <c r="P372" s="277"/>
      <c r="Q372" s="277"/>
      <c r="R372" s="277"/>
      <c r="S372" s="277"/>
    </row>
    <row r="373" spans="1:19" s="2" customFormat="1">
      <c r="A373" s="429">
        <v>353</v>
      </c>
      <c r="B373" s="430" t="s">
        <v>799</v>
      </c>
      <c r="C373" s="429" t="s">
        <v>6</v>
      </c>
      <c r="D373" s="429" t="s">
        <v>7</v>
      </c>
      <c r="E373" s="429" t="s">
        <v>8</v>
      </c>
      <c r="F373" s="27">
        <v>190</v>
      </c>
      <c r="G373" s="27">
        <v>180</v>
      </c>
      <c r="H373" s="429"/>
      <c r="J373" s="277"/>
      <c r="K373" s="277"/>
      <c r="L373" s="277"/>
      <c r="M373" s="277"/>
      <c r="N373" s="277"/>
      <c r="O373" s="277"/>
      <c r="P373" s="277"/>
      <c r="Q373" s="277"/>
      <c r="R373" s="277"/>
      <c r="S373" s="277"/>
    </row>
    <row r="374" spans="1:19" s="2" customFormat="1" ht="16.5" customHeight="1">
      <c r="A374" s="429">
        <v>354</v>
      </c>
      <c r="B374" s="430" t="s">
        <v>819</v>
      </c>
      <c r="C374" s="429" t="s">
        <v>14</v>
      </c>
      <c r="D374" s="429" t="s">
        <v>7</v>
      </c>
      <c r="E374" s="429" t="s">
        <v>8</v>
      </c>
      <c r="F374" s="27">
        <v>190</v>
      </c>
      <c r="G374" s="27">
        <v>180</v>
      </c>
      <c r="H374" s="429"/>
      <c r="J374" s="277"/>
      <c r="K374" s="277"/>
      <c r="L374" s="277"/>
      <c r="M374" s="277"/>
      <c r="N374" s="277"/>
      <c r="O374" s="277"/>
      <c r="P374" s="277"/>
      <c r="Q374" s="277"/>
      <c r="R374" s="277"/>
      <c r="S374" s="277"/>
    </row>
    <row r="375" spans="1:19" s="2" customFormat="1">
      <c r="A375" s="429">
        <v>355</v>
      </c>
      <c r="B375" s="430" t="s">
        <v>862</v>
      </c>
      <c r="C375" s="429" t="s">
        <v>15</v>
      </c>
      <c r="D375" s="429" t="s">
        <v>7</v>
      </c>
      <c r="E375" s="429" t="s">
        <v>8</v>
      </c>
      <c r="F375" s="27">
        <v>190</v>
      </c>
      <c r="G375" s="27">
        <v>180</v>
      </c>
      <c r="H375" s="429"/>
      <c r="J375" s="277"/>
      <c r="K375" s="277"/>
      <c r="L375" s="277"/>
      <c r="M375" s="277"/>
      <c r="N375" s="277"/>
      <c r="O375" s="277"/>
      <c r="P375" s="277"/>
      <c r="Q375" s="277"/>
      <c r="R375" s="277"/>
      <c r="S375" s="277"/>
    </row>
    <row r="376" spans="1:19" s="2" customFormat="1" ht="33">
      <c r="A376" s="429">
        <v>356</v>
      </c>
      <c r="B376" s="430" t="s">
        <v>159</v>
      </c>
      <c r="C376" s="429" t="s">
        <v>16</v>
      </c>
      <c r="D376" s="429" t="s">
        <v>7</v>
      </c>
      <c r="E376" s="429" t="s">
        <v>8</v>
      </c>
      <c r="F376" s="27">
        <v>232</v>
      </c>
      <c r="G376" s="27">
        <v>180</v>
      </c>
      <c r="H376" s="429"/>
      <c r="J376" s="277"/>
      <c r="K376" s="277"/>
      <c r="L376" s="277"/>
      <c r="M376" s="277"/>
      <c r="N376" s="277"/>
      <c r="O376" s="277"/>
      <c r="P376" s="277"/>
      <c r="Q376" s="277"/>
      <c r="R376" s="277"/>
      <c r="S376" s="277"/>
    </row>
    <row r="377" spans="1:19" s="2" customFormat="1" ht="16.5" customHeight="1">
      <c r="A377" s="429">
        <v>357</v>
      </c>
      <c r="B377" s="430" t="s">
        <v>763</v>
      </c>
      <c r="C377" s="429" t="s">
        <v>18</v>
      </c>
      <c r="D377" s="429" t="s">
        <v>7</v>
      </c>
      <c r="E377" s="429" t="s">
        <v>8</v>
      </c>
      <c r="F377" s="27">
        <v>232</v>
      </c>
      <c r="G377" s="27">
        <v>180</v>
      </c>
      <c r="H377" s="429"/>
      <c r="J377" s="277"/>
      <c r="K377" s="277"/>
      <c r="L377" s="277"/>
      <c r="M377" s="277"/>
      <c r="N377" s="277"/>
      <c r="O377" s="277"/>
      <c r="P377" s="277"/>
      <c r="Q377" s="277"/>
      <c r="R377" s="277"/>
      <c r="S377" s="277"/>
    </row>
    <row r="378" spans="1:19" s="2" customFormat="1">
      <c r="A378" s="429">
        <v>358</v>
      </c>
      <c r="B378" s="430" t="s">
        <v>881</v>
      </c>
      <c r="C378" s="429" t="s">
        <v>12</v>
      </c>
      <c r="D378" s="429" t="s">
        <v>7</v>
      </c>
      <c r="E378" s="429" t="s">
        <v>8</v>
      </c>
      <c r="F378" s="27">
        <v>190</v>
      </c>
      <c r="G378" s="27">
        <v>180</v>
      </c>
      <c r="H378" s="429"/>
      <c r="J378" s="277"/>
      <c r="K378" s="277"/>
      <c r="L378" s="277"/>
      <c r="M378" s="277"/>
      <c r="N378" s="277"/>
      <c r="O378" s="277"/>
      <c r="P378" s="277"/>
      <c r="Q378" s="277"/>
      <c r="R378" s="277"/>
      <c r="S378" s="277"/>
    </row>
    <row r="379" spans="1:19" s="2" customFormat="1" ht="33">
      <c r="A379" s="429">
        <v>359</v>
      </c>
      <c r="B379" s="430" t="s">
        <v>891</v>
      </c>
      <c r="C379" s="429" t="s">
        <v>14</v>
      </c>
      <c r="D379" s="429" t="s">
        <v>7</v>
      </c>
      <c r="E379" s="429" t="s">
        <v>8</v>
      </c>
      <c r="F379" s="27">
        <v>190</v>
      </c>
      <c r="G379" s="27">
        <v>180</v>
      </c>
      <c r="H379" s="429"/>
      <c r="J379" s="277"/>
      <c r="K379" s="277"/>
      <c r="L379" s="277"/>
      <c r="M379" s="277"/>
      <c r="N379" s="277"/>
      <c r="O379" s="277"/>
      <c r="P379" s="277"/>
      <c r="Q379" s="277"/>
      <c r="R379" s="277"/>
      <c r="S379" s="277"/>
    </row>
    <row r="380" spans="1:19" s="2" customFormat="1">
      <c r="A380" s="429">
        <v>360</v>
      </c>
      <c r="B380" s="430" t="s">
        <v>920</v>
      </c>
      <c r="C380" s="429" t="s">
        <v>18</v>
      </c>
      <c r="D380" s="429" t="s">
        <v>10</v>
      </c>
      <c r="E380" s="429" t="s">
        <v>8</v>
      </c>
      <c r="F380" s="27">
        <v>190</v>
      </c>
      <c r="G380" s="27">
        <v>180</v>
      </c>
      <c r="H380" s="429"/>
      <c r="J380" s="277"/>
      <c r="K380" s="277"/>
      <c r="L380" s="277"/>
      <c r="M380" s="277"/>
      <c r="N380" s="277"/>
      <c r="O380" s="277"/>
      <c r="P380" s="277"/>
      <c r="Q380" s="277"/>
      <c r="R380" s="277"/>
      <c r="S380" s="277"/>
    </row>
    <row r="381" spans="1:19" s="2" customFormat="1" ht="16.5" customHeight="1">
      <c r="A381" s="429">
        <v>361</v>
      </c>
      <c r="B381" s="430" t="s">
        <v>925</v>
      </c>
      <c r="C381" s="429" t="s">
        <v>6</v>
      </c>
      <c r="D381" s="429" t="s">
        <v>7</v>
      </c>
      <c r="E381" s="429" t="s">
        <v>8</v>
      </c>
      <c r="F381" s="27">
        <v>190</v>
      </c>
      <c r="G381" s="27">
        <v>180</v>
      </c>
      <c r="H381" s="429"/>
      <c r="J381" s="277"/>
      <c r="K381" s="277"/>
      <c r="L381" s="277"/>
      <c r="M381" s="277"/>
      <c r="N381" s="277"/>
      <c r="O381" s="277"/>
      <c r="P381" s="277"/>
      <c r="Q381" s="277"/>
      <c r="R381" s="277"/>
      <c r="S381" s="277"/>
    </row>
    <row r="382" spans="1:19" s="2" customFormat="1" ht="16.5" customHeight="1">
      <c r="A382" s="429">
        <v>362</v>
      </c>
      <c r="B382" s="430" t="s">
        <v>926</v>
      </c>
      <c r="C382" s="429" t="s">
        <v>14</v>
      </c>
      <c r="D382" s="429" t="s">
        <v>27</v>
      </c>
      <c r="E382" s="438" t="s">
        <v>8</v>
      </c>
      <c r="F382" s="27">
        <v>190</v>
      </c>
      <c r="G382" s="32">
        <v>180</v>
      </c>
      <c r="H382" s="429"/>
      <c r="J382" s="277"/>
      <c r="K382" s="277"/>
      <c r="L382" s="277"/>
      <c r="M382" s="277"/>
      <c r="N382" s="277"/>
      <c r="O382" s="277"/>
      <c r="P382" s="277"/>
      <c r="Q382" s="277"/>
      <c r="R382" s="277"/>
      <c r="S382" s="277"/>
    </row>
    <row r="383" spans="1:19" s="2" customFormat="1" ht="33">
      <c r="A383" s="429">
        <v>363</v>
      </c>
      <c r="B383" s="430" t="s">
        <v>932</v>
      </c>
      <c r="C383" s="429" t="s">
        <v>6</v>
      </c>
      <c r="D383" s="429" t="s">
        <v>7</v>
      </c>
      <c r="E383" s="429" t="s">
        <v>8</v>
      </c>
      <c r="F383" s="27">
        <v>190</v>
      </c>
      <c r="G383" s="27">
        <v>180</v>
      </c>
      <c r="H383" s="429"/>
      <c r="J383" s="277"/>
      <c r="K383" s="277"/>
      <c r="L383" s="277"/>
      <c r="M383" s="277"/>
      <c r="N383" s="277"/>
      <c r="O383" s="277"/>
      <c r="P383" s="277"/>
      <c r="Q383" s="277"/>
      <c r="R383" s="277"/>
      <c r="S383" s="277"/>
    </row>
    <row r="384" spans="1:19" s="2" customFormat="1" ht="33">
      <c r="A384" s="429">
        <v>364</v>
      </c>
      <c r="B384" s="430" t="s">
        <v>943</v>
      </c>
      <c r="C384" s="429" t="s">
        <v>15</v>
      </c>
      <c r="D384" s="429" t="s">
        <v>10</v>
      </c>
      <c r="E384" s="429" t="s">
        <v>8</v>
      </c>
      <c r="F384" s="27">
        <v>190</v>
      </c>
      <c r="G384" s="27">
        <v>180</v>
      </c>
      <c r="H384" s="429"/>
      <c r="J384" s="277"/>
      <c r="K384" s="277"/>
      <c r="L384" s="277"/>
      <c r="M384" s="277"/>
      <c r="N384" s="277"/>
      <c r="O384" s="277"/>
      <c r="P384" s="277"/>
      <c r="Q384" s="277"/>
      <c r="R384" s="277"/>
      <c r="S384" s="277"/>
    </row>
    <row r="385" spans="1:43" s="2" customFormat="1" ht="33">
      <c r="A385" s="429">
        <v>365</v>
      </c>
      <c r="B385" s="430" t="s">
        <v>956</v>
      </c>
      <c r="C385" s="429" t="s">
        <v>18</v>
      </c>
      <c r="D385" s="429" t="s">
        <v>7</v>
      </c>
      <c r="E385" s="429" t="s">
        <v>8</v>
      </c>
      <c r="F385" s="27">
        <v>190</v>
      </c>
      <c r="G385" s="27">
        <v>180</v>
      </c>
      <c r="H385" s="429"/>
      <c r="J385" s="277"/>
      <c r="K385" s="277"/>
      <c r="L385" s="277"/>
      <c r="M385" s="277"/>
      <c r="N385" s="277"/>
      <c r="O385" s="277"/>
      <c r="P385" s="277"/>
      <c r="Q385" s="277"/>
      <c r="R385" s="277"/>
      <c r="S385" s="277"/>
    </row>
    <row r="386" spans="1:43" s="2" customFormat="1">
      <c r="A386" s="429">
        <v>366</v>
      </c>
      <c r="B386" s="430" t="s">
        <v>970</v>
      </c>
      <c r="C386" s="429" t="s">
        <v>14</v>
      </c>
      <c r="D386" s="429" t="s">
        <v>7</v>
      </c>
      <c r="E386" s="429" t="s">
        <v>8</v>
      </c>
      <c r="F386" s="27">
        <v>190</v>
      </c>
      <c r="G386" s="27">
        <v>180</v>
      </c>
      <c r="H386" s="429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</row>
    <row r="387" spans="1:43" s="2" customFormat="1">
      <c r="A387" s="429">
        <v>367</v>
      </c>
      <c r="B387" s="430" t="s">
        <v>991</v>
      </c>
      <c r="C387" s="429" t="s">
        <v>6</v>
      </c>
      <c r="D387" s="429" t="s">
        <v>7</v>
      </c>
      <c r="E387" s="429" t="s">
        <v>8</v>
      </c>
      <c r="F387" s="27">
        <v>190</v>
      </c>
      <c r="G387" s="27">
        <v>180</v>
      </c>
      <c r="H387" s="429"/>
      <c r="J387" s="277"/>
      <c r="K387" s="277"/>
      <c r="L387" s="277"/>
      <c r="M387" s="277"/>
      <c r="N387" s="277"/>
      <c r="O387" s="277"/>
      <c r="P387" s="277"/>
      <c r="Q387" s="277"/>
      <c r="R387" s="277"/>
      <c r="S387" s="277"/>
    </row>
    <row r="388" spans="1:43" s="2" customFormat="1">
      <c r="A388" s="429">
        <v>368</v>
      </c>
      <c r="B388" s="430" t="s">
        <v>1015</v>
      </c>
      <c r="C388" s="429" t="s">
        <v>14</v>
      </c>
      <c r="D388" s="429" t="s">
        <v>7</v>
      </c>
      <c r="E388" s="429" t="s">
        <v>8</v>
      </c>
      <c r="F388" s="27">
        <v>190</v>
      </c>
      <c r="G388" s="27">
        <v>180</v>
      </c>
      <c r="H388" s="429"/>
      <c r="J388" s="277"/>
      <c r="K388" s="277"/>
      <c r="L388" s="277"/>
      <c r="M388" s="277"/>
      <c r="N388" s="277"/>
      <c r="O388" s="277"/>
      <c r="P388" s="277"/>
      <c r="Q388" s="277"/>
      <c r="R388" s="277"/>
      <c r="S388" s="277"/>
    </row>
    <row r="389" spans="1:43" s="2" customFormat="1">
      <c r="A389" s="429">
        <v>369</v>
      </c>
      <c r="B389" s="430" t="s">
        <v>1019</v>
      </c>
      <c r="C389" s="429" t="s">
        <v>6</v>
      </c>
      <c r="D389" s="429" t="s">
        <v>7</v>
      </c>
      <c r="E389" s="429" t="s">
        <v>8</v>
      </c>
      <c r="F389" s="27">
        <v>190</v>
      </c>
      <c r="G389" s="27">
        <v>180</v>
      </c>
      <c r="H389" s="429"/>
      <c r="J389" s="277"/>
      <c r="K389" s="277"/>
      <c r="L389" s="277"/>
      <c r="M389" s="277"/>
      <c r="N389" s="277"/>
      <c r="O389" s="277"/>
      <c r="P389" s="277"/>
      <c r="Q389" s="277"/>
      <c r="R389" s="277"/>
      <c r="S389" s="277"/>
    </row>
    <row r="390" spans="1:43" s="2" customFormat="1" ht="33">
      <c r="A390" s="429">
        <v>370</v>
      </c>
      <c r="B390" s="430" t="s">
        <v>223</v>
      </c>
      <c r="C390" s="429" t="s">
        <v>6</v>
      </c>
      <c r="D390" s="429" t="s">
        <v>7</v>
      </c>
      <c r="E390" s="429" t="s">
        <v>8</v>
      </c>
      <c r="F390" s="27">
        <v>270</v>
      </c>
      <c r="G390" s="27">
        <v>180</v>
      </c>
      <c r="H390" s="429"/>
      <c r="J390" s="277"/>
      <c r="K390" s="277"/>
      <c r="L390" s="277"/>
      <c r="M390" s="277"/>
      <c r="N390" s="277"/>
      <c r="O390" s="277"/>
      <c r="P390" s="277"/>
      <c r="Q390" s="277"/>
      <c r="R390" s="277"/>
      <c r="S390" s="277"/>
    </row>
    <row r="391" spans="1:43" s="2" customFormat="1">
      <c r="A391" s="429">
        <v>371</v>
      </c>
      <c r="B391" s="430" t="s">
        <v>466</v>
      </c>
      <c r="C391" s="429" t="s">
        <v>15</v>
      </c>
      <c r="D391" s="429" t="s">
        <v>10</v>
      </c>
      <c r="E391" s="429" t="s">
        <v>25</v>
      </c>
      <c r="F391" s="27">
        <v>190</v>
      </c>
      <c r="G391" s="27">
        <v>180</v>
      </c>
      <c r="H391" s="429"/>
      <c r="J391" s="277"/>
      <c r="K391" s="277"/>
      <c r="L391" s="277"/>
      <c r="M391" s="277"/>
      <c r="N391" s="277"/>
      <c r="O391" s="277"/>
      <c r="P391" s="277"/>
      <c r="Q391" s="277"/>
      <c r="R391" s="277"/>
      <c r="S391" s="277"/>
    </row>
    <row r="392" spans="1:43" s="2" customFormat="1">
      <c r="A392" s="429">
        <v>372</v>
      </c>
      <c r="B392" s="430" t="s">
        <v>467</v>
      </c>
      <c r="C392" s="429" t="s">
        <v>18</v>
      </c>
      <c r="D392" s="429" t="s">
        <v>10</v>
      </c>
      <c r="E392" s="429" t="s">
        <v>25</v>
      </c>
      <c r="F392" s="27">
        <v>190</v>
      </c>
      <c r="G392" s="27">
        <v>180</v>
      </c>
      <c r="H392" s="429"/>
      <c r="J392" s="277"/>
      <c r="K392" s="277"/>
      <c r="L392" s="277"/>
      <c r="M392" s="277"/>
      <c r="N392" s="277"/>
      <c r="O392" s="277"/>
      <c r="P392" s="277"/>
      <c r="Q392" s="277"/>
      <c r="R392" s="277"/>
      <c r="S392" s="277"/>
    </row>
    <row r="393" spans="1:43" s="2" customFormat="1">
      <c r="A393" s="429">
        <v>373</v>
      </c>
      <c r="B393" s="430" t="s">
        <v>640</v>
      </c>
      <c r="C393" s="429" t="s">
        <v>14</v>
      </c>
      <c r="D393" s="429" t="s">
        <v>7</v>
      </c>
      <c r="E393" s="429" t="s">
        <v>25</v>
      </c>
      <c r="F393" s="27">
        <v>190</v>
      </c>
      <c r="G393" s="27">
        <v>180</v>
      </c>
      <c r="H393" s="429"/>
      <c r="J393" s="277"/>
      <c r="K393" s="277"/>
      <c r="L393" s="277"/>
      <c r="M393" s="277"/>
      <c r="N393" s="277"/>
      <c r="O393" s="277"/>
      <c r="P393" s="277"/>
      <c r="Q393" s="277"/>
      <c r="R393" s="277"/>
      <c r="S393" s="277"/>
    </row>
    <row r="394" spans="1:43" s="2" customFormat="1">
      <c r="A394" s="429">
        <v>374</v>
      </c>
      <c r="B394" s="430" t="s">
        <v>648</v>
      </c>
      <c r="C394" s="429" t="s">
        <v>14</v>
      </c>
      <c r="D394" s="429" t="s">
        <v>7</v>
      </c>
      <c r="E394" s="429" t="s">
        <v>25</v>
      </c>
      <c r="F394" s="27">
        <v>190</v>
      </c>
      <c r="G394" s="27">
        <v>180</v>
      </c>
      <c r="H394" s="429"/>
      <c r="J394" s="277"/>
      <c r="K394" s="277"/>
      <c r="L394" s="277"/>
      <c r="M394" s="277"/>
      <c r="N394" s="277"/>
      <c r="O394" s="277"/>
      <c r="P394" s="277"/>
      <c r="Q394" s="277"/>
      <c r="R394" s="277"/>
      <c r="S394" s="277"/>
    </row>
    <row r="395" spans="1:43" s="2" customFormat="1">
      <c r="A395" s="429">
        <v>375</v>
      </c>
      <c r="B395" s="430" t="s">
        <v>880</v>
      </c>
      <c r="C395" s="429" t="s">
        <v>18</v>
      </c>
      <c r="D395" s="429" t="s">
        <v>7</v>
      </c>
      <c r="E395" s="429" t="s">
        <v>25</v>
      </c>
      <c r="F395" s="27">
        <v>190</v>
      </c>
      <c r="G395" s="27">
        <v>180</v>
      </c>
      <c r="H395" s="429"/>
      <c r="J395" s="277"/>
      <c r="K395" s="277"/>
      <c r="L395" s="277"/>
      <c r="M395" s="277"/>
      <c r="N395" s="277"/>
      <c r="O395" s="277"/>
      <c r="P395" s="277"/>
      <c r="Q395" s="277"/>
      <c r="R395" s="277"/>
      <c r="S395" s="277"/>
    </row>
    <row r="396" spans="1:43" s="2" customFormat="1" ht="33">
      <c r="A396" s="429">
        <v>376</v>
      </c>
      <c r="B396" s="430" t="s">
        <v>148</v>
      </c>
      <c r="C396" s="429" t="s">
        <v>6</v>
      </c>
      <c r="D396" s="429" t="s">
        <v>10</v>
      </c>
      <c r="E396" s="429" t="s">
        <v>17</v>
      </c>
      <c r="F396" s="27">
        <v>190</v>
      </c>
      <c r="G396" s="27">
        <v>180</v>
      </c>
      <c r="H396" s="429"/>
      <c r="J396" s="277"/>
      <c r="K396" s="277"/>
      <c r="L396" s="277"/>
      <c r="M396" s="277"/>
      <c r="N396" s="277"/>
      <c r="O396" s="277"/>
      <c r="P396" s="277"/>
      <c r="Q396" s="277"/>
      <c r="R396" s="277"/>
      <c r="S396" s="277"/>
    </row>
    <row r="397" spans="1:43" s="2" customFormat="1" ht="33">
      <c r="A397" s="429">
        <v>377</v>
      </c>
      <c r="B397" s="430" t="s">
        <v>486</v>
      </c>
      <c r="C397" s="429"/>
      <c r="D397" s="429"/>
      <c r="E397" s="429"/>
      <c r="F397" s="436">
        <v>180</v>
      </c>
      <c r="G397" s="31">
        <f>F397</f>
        <v>180</v>
      </c>
      <c r="H397" s="429"/>
      <c r="J397" s="277"/>
      <c r="K397" s="277"/>
      <c r="L397" s="277"/>
      <c r="M397" s="277"/>
      <c r="N397" s="277"/>
      <c r="O397" s="277"/>
      <c r="P397" s="277"/>
      <c r="Q397" s="277"/>
      <c r="R397" s="277"/>
      <c r="S397" s="277"/>
    </row>
    <row r="398" spans="1:43" s="2" customFormat="1">
      <c r="A398" s="429">
        <v>378</v>
      </c>
      <c r="B398" s="430" t="s">
        <v>591</v>
      </c>
      <c r="C398" s="429"/>
      <c r="D398" s="429"/>
      <c r="E398" s="429"/>
      <c r="F398" s="436">
        <v>180</v>
      </c>
      <c r="G398" s="31">
        <f>F398</f>
        <v>180</v>
      </c>
      <c r="H398" s="429"/>
      <c r="J398" s="277"/>
      <c r="K398" s="277"/>
      <c r="L398" s="277"/>
      <c r="M398" s="277"/>
      <c r="N398" s="277"/>
      <c r="O398" s="277"/>
      <c r="P398" s="277"/>
      <c r="Q398" s="277"/>
      <c r="R398" s="277"/>
      <c r="S398" s="277"/>
    </row>
    <row r="399" spans="1:43" s="2" customFormat="1">
      <c r="A399" s="429">
        <v>379</v>
      </c>
      <c r="B399" s="430" t="s">
        <v>620</v>
      </c>
      <c r="C399" s="429"/>
      <c r="D399" s="429"/>
      <c r="E399" s="429"/>
      <c r="F399" s="436">
        <v>180</v>
      </c>
      <c r="G399" s="31">
        <f>F399</f>
        <v>180</v>
      </c>
      <c r="H399" s="429"/>
      <c r="J399" s="277"/>
      <c r="K399" s="277"/>
      <c r="L399" s="277"/>
      <c r="M399" s="277"/>
      <c r="N399" s="277"/>
      <c r="O399" s="277"/>
      <c r="P399" s="277"/>
      <c r="Q399" s="277"/>
      <c r="R399" s="277"/>
      <c r="S399" s="277"/>
    </row>
    <row r="400" spans="1:43" s="292" customFormat="1" ht="16.5" customHeight="1">
      <c r="A400" s="429">
        <v>380</v>
      </c>
      <c r="B400" s="433" t="s">
        <v>387</v>
      </c>
      <c r="C400" s="434" t="s">
        <v>6</v>
      </c>
      <c r="D400" s="434" t="s">
        <v>7</v>
      </c>
      <c r="E400" s="434" t="s">
        <v>8</v>
      </c>
      <c r="F400" s="31">
        <v>227</v>
      </c>
      <c r="G400" s="31">
        <v>180</v>
      </c>
      <c r="H400" s="434"/>
      <c r="I400" s="282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</row>
    <row r="401" spans="1:19" s="2" customFormat="1" ht="33">
      <c r="A401" s="429">
        <v>381</v>
      </c>
      <c r="B401" s="430" t="s">
        <v>948</v>
      </c>
      <c r="C401" s="429" t="s">
        <v>12</v>
      </c>
      <c r="D401" s="429" t="s">
        <v>7</v>
      </c>
      <c r="E401" s="429" t="s">
        <v>8</v>
      </c>
      <c r="F401" s="27">
        <v>274</v>
      </c>
      <c r="G401" s="27">
        <v>190</v>
      </c>
      <c r="H401" s="429"/>
      <c r="J401" s="277"/>
      <c r="K401" s="277"/>
      <c r="L401" s="277"/>
      <c r="M401" s="277"/>
      <c r="N401" s="277"/>
      <c r="O401" s="277"/>
      <c r="P401" s="277"/>
      <c r="Q401" s="277"/>
      <c r="R401" s="277"/>
      <c r="S401" s="277"/>
    </row>
    <row r="402" spans="1:19" s="2" customFormat="1" ht="16.5" customHeight="1">
      <c r="A402" s="429">
        <v>382</v>
      </c>
      <c r="B402" s="430" t="s">
        <v>834</v>
      </c>
      <c r="C402" s="429" t="s">
        <v>12</v>
      </c>
      <c r="D402" s="429" t="s">
        <v>10</v>
      </c>
      <c r="E402" s="429" t="s">
        <v>8</v>
      </c>
      <c r="F402" s="27">
        <v>180</v>
      </c>
      <c r="G402" s="27">
        <v>190</v>
      </c>
      <c r="H402" s="429"/>
      <c r="J402" s="277"/>
      <c r="K402" s="277"/>
      <c r="L402" s="277"/>
      <c r="M402" s="277"/>
      <c r="N402" s="277"/>
      <c r="O402" s="277"/>
      <c r="P402" s="277"/>
      <c r="Q402" s="277"/>
      <c r="R402" s="277"/>
      <c r="S402" s="277"/>
    </row>
    <row r="403" spans="1:19" s="2" customFormat="1">
      <c r="A403" s="429">
        <v>383</v>
      </c>
      <c r="B403" s="430" t="s">
        <v>180</v>
      </c>
      <c r="C403" s="429" t="s">
        <v>6</v>
      </c>
      <c r="D403" s="429" t="s">
        <v>7</v>
      </c>
      <c r="E403" s="429" t="s">
        <v>8</v>
      </c>
      <c r="F403" s="27">
        <v>180</v>
      </c>
      <c r="G403" s="27">
        <v>190</v>
      </c>
      <c r="H403" s="429"/>
      <c r="J403" s="277"/>
      <c r="K403" s="277"/>
      <c r="L403" s="277"/>
      <c r="M403" s="277"/>
      <c r="N403" s="277"/>
      <c r="O403" s="277"/>
      <c r="P403" s="277"/>
      <c r="Q403" s="277"/>
      <c r="R403" s="277"/>
      <c r="S403" s="277"/>
    </row>
    <row r="404" spans="1:19" s="2" customFormat="1">
      <c r="A404" s="429">
        <v>384</v>
      </c>
      <c r="B404" s="430" t="s">
        <v>552</v>
      </c>
      <c r="C404" s="429" t="s">
        <v>16</v>
      </c>
      <c r="D404" s="429" t="s">
        <v>7</v>
      </c>
      <c r="E404" s="429" t="s">
        <v>8</v>
      </c>
      <c r="F404" s="27">
        <v>180</v>
      </c>
      <c r="G404" s="27">
        <v>190</v>
      </c>
      <c r="H404" s="429"/>
      <c r="J404" s="277"/>
      <c r="K404" s="277"/>
      <c r="L404" s="277"/>
      <c r="M404" s="277"/>
      <c r="N404" s="277"/>
      <c r="O404" s="277"/>
      <c r="P404" s="277"/>
      <c r="Q404" s="277"/>
      <c r="R404" s="277"/>
      <c r="S404" s="277"/>
    </row>
    <row r="405" spans="1:19" s="2" customFormat="1">
      <c r="A405" s="429">
        <v>385</v>
      </c>
      <c r="B405" s="430" t="s">
        <v>770</v>
      </c>
      <c r="C405" s="429" t="s">
        <v>14</v>
      </c>
      <c r="D405" s="429" t="s">
        <v>7</v>
      </c>
      <c r="E405" s="429" t="s">
        <v>8</v>
      </c>
      <c r="F405" s="27">
        <v>180</v>
      </c>
      <c r="G405" s="27">
        <v>190</v>
      </c>
      <c r="H405" s="429"/>
      <c r="J405" s="277"/>
      <c r="K405" s="277"/>
      <c r="L405" s="277"/>
      <c r="M405" s="277"/>
      <c r="N405" s="277"/>
      <c r="O405" s="277"/>
      <c r="P405" s="277"/>
      <c r="Q405" s="277"/>
      <c r="R405" s="277"/>
      <c r="S405" s="277"/>
    </row>
    <row r="406" spans="1:19" s="2" customFormat="1" ht="33">
      <c r="A406" s="429">
        <v>386</v>
      </c>
      <c r="B406" s="430" t="s">
        <v>69</v>
      </c>
      <c r="C406" s="429" t="s">
        <v>16</v>
      </c>
      <c r="D406" s="429" t="s">
        <v>7</v>
      </c>
      <c r="E406" s="429" t="s">
        <v>8</v>
      </c>
      <c r="F406" s="27">
        <v>180</v>
      </c>
      <c r="G406" s="27">
        <v>190</v>
      </c>
      <c r="H406" s="429"/>
      <c r="J406" s="277"/>
      <c r="K406" s="277"/>
      <c r="L406" s="277"/>
      <c r="M406" s="277"/>
      <c r="N406" s="277"/>
      <c r="O406" s="277"/>
      <c r="P406" s="277"/>
      <c r="Q406" s="277"/>
      <c r="R406" s="277"/>
      <c r="S406" s="277"/>
    </row>
    <row r="407" spans="1:19" s="2" customFormat="1">
      <c r="A407" s="429">
        <v>387</v>
      </c>
      <c r="B407" s="430" t="s">
        <v>134</v>
      </c>
      <c r="C407" s="429" t="s">
        <v>16</v>
      </c>
      <c r="D407" s="429" t="s">
        <v>7</v>
      </c>
      <c r="E407" s="429" t="s">
        <v>8</v>
      </c>
      <c r="F407" s="27">
        <v>180</v>
      </c>
      <c r="G407" s="27">
        <v>190</v>
      </c>
      <c r="H407" s="429"/>
      <c r="J407" s="277"/>
      <c r="K407" s="277"/>
      <c r="L407" s="277"/>
      <c r="M407" s="277"/>
      <c r="N407" s="277"/>
      <c r="O407" s="277"/>
      <c r="P407" s="277"/>
      <c r="Q407" s="277"/>
      <c r="R407" s="277"/>
      <c r="S407" s="277"/>
    </row>
    <row r="408" spans="1:19" s="2" customFormat="1" ht="33">
      <c r="A408" s="429">
        <v>388</v>
      </c>
      <c r="B408" s="430" t="s">
        <v>59</v>
      </c>
      <c r="C408" s="429" t="s">
        <v>14</v>
      </c>
      <c r="D408" s="429" t="s">
        <v>7</v>
      </c>
      <c r="E408" s="429" t="s">
        <v>8</v>
      </c>
      <c r="F408" s="27">
        <v>190</v>
      </c>
      <c r="G408" s="27">
        <f t="shared" ref="G408:G438" si="5">F408</f>
        <v>190</v>
      </c>
      <c r="H408" s="429"/>
      <c r="J408" s="277"/>
      <c r="K408" s="277"/>
      <c r="L408" s="277"/>
      <c r="M408" s="277"/>
      <c r="N408" s="277"/>
      <c r="O408" s="277"/>
      <c r="P408" s="277"/>
      <c r="Q408" s="277"/>
      <c r="R408" s="277"/>
      <c r="S408" s="277"/>
    </row>
    <row r="409" spans="1:19" s="2" customFormat="1" ht="33">
      <c r="A409" s="429">
        <v>389</v>
      </c>
      <c r="B409" s="430" t="s">
        <v>64</v>
      </c>
      <c r="C409" s="429" t="s">
        <v>12</v>
      </c>
      <c r="D409" s="429" t="s">
        <v>7</v>
      </c>
      <c r="E409" s="429" t="s">
        <v>8</v>
      </c>
      <c r="F409" s="27">
        <v>190</v>
      </c>
      <c r="G409" s="27">
        <f t="shared" si="5"/>
        <v>190</v>
      </c>
      <c r="H409" s="429"/>
      <c r="J409" s="277"/>
      <c r="K409" s="277"/>
      <c r="L409" s="277"/>
      <c r="M409" s="277"/>
      <c r="N409" s="277"/>
      <c r="O409" s="277"/>
      <c r="P409" s="277"/>
      <c r="Q409" s="277"/>
      <c r="R409" s="277"/>
      <c r="S409" s="277"/>
    </row>
    <row r="410" spans="1:19" s="2" customFormat="1">
      <c r="A410" s="429">
        <v>390</v>
      </c>
      <c r="B410" s="430" t="s">
        <v>67</v>
      </c>
      <c r="C410" s="429" t="s">
        <v>6</v>
      </c>
      <c r="D410" s="429" t="s">
        <v>7</v>
      </c>
      <c r="E410" s="429" t="s">
        <v>8</v>
      </c>
      <c r="F410" s="27">
        <v>190</v>
      </c>
      <c r="G410" s="27">
        <f t="shared" si="5"/>
        <v>190</v>
      </c>
      <c r="H410" s="429"/>
      <c r="J410" s="277"/>
      <c r="K410" s="277"/>
      <c r="L410" s="277"/>
      <c r="M410" s="277"/>
      <c r="N410" s="277"/>
      <c r="O410" s="277"/>
      <c r="P410" s="277"/>
      <c r="Q410" s="277"/>
      <c r="R410" s="277"/>
      <c r="S410" s="277"/>
    </row>
    <row r="411" spans="1:19" s="2" customFormat="1">
      <c r="A411" s="429">
        <v>391</v>
      </c>
      <c r="B411" s="430" t="s">
        <v>107</v>
      </c>
      <c r="C411" s="429" t="s">
        <v>6</v>
      </c>
      <c r="D411" s="429" t="s">
        <v>7</v>
      </c>
      <c r="E411" s="429" t="s">
        <v>8</v>
      </c>
      <c r="F411" s="27">
        <v>190</v>
      </c>
      <c r="G411" s="27">
        <f t="shared" si="5"/>
        <v>190</v>
      </c>
      <c r="H411" s="429"/>
      <c r="J411" s="277"/>
      <c r="K411" s="277"/>
      <c r="L411" s="277"/>
      <c r="M411" s="277"/>
      <c r="N411" s="277"/>
      <c r="O411" s="277"/>
      <c r="P411" s="277"/>
      <c r="Q411" s="277"/>
      <c r="R411" s="277"/>
      <c r="S411" s="277"/>
    </row>
    <row r="412" spans="1:19" s="2" customFormat="1">
      <c r="A412" s="429">
        <v>392</v>
      </c>
      <c r="B412" s="430" t="s">
        <v>118</v>
      </c>
      <c r="C412" s="429" t="s">
        <v>18</v>
      </c>
      <c r="D412" s="429" t="s">
        <v>7</v>
      </c>
      <c r="E412" s="429" t="s">
        <v>8</v>
      </c>
      <c r="F412" s="27">
        <v>190</v>
      </c>
      <c r="G412" s="27">
        <f t="shared" si="5"/>
        <v>190</v>
      </c>
      <c r="H412" s="429"/>
      <c r="J412" s="277"/>
      <c r="K412" s="277"/>
      <c r="L412" s="277"/>
      <c r="M412" s="277"/>
      <c r="N412" s="277"/>
      <c r="O412" s="277"/>
      <c r="P412" s="277"/>
      <c r="Q412" s="277"/>
      <c r="R412" s="277"/>
      <c r="S412" s="277"/>
    </row>
    <row r="413" spans="1:19" s="2" customFormat="1">
      <c r="A413" s="429">
        <v>393</v>
      </c>
      <c r="B413" s="430" t="s">
        <v>132</v>
      </c>
      <c r="C413" s="429" t="s">
        <v>6</v>
      </c>
      <c r="D413" s="429" t="s">
        <v>10</v>
      </c>
      <c r="E413" s="429" t="s">
        <v>8</v>
      </c>
      <c r="F413" s="27">
        <v>190</v>
      </c>
      <c r="G413" s="27">
        <f t="shared" si="5"/>
        <v>190</v>
      </c>
      <c r="H413" s="429"/>
      <c r="J413" s="277"/>
      <c r="K413" s="277"/>
      <c r="L413" s="277"/>
      <c r="M413" s="277"/>
      <c r="N413" s="277"/>
      <c r="O413" s="277"/>
      <c r="P413" s="277"/>
      <c r="Q413" s="277"/>
      <c r="R413" s="277"/>
      <c r="S413" s="277"/>
    </row>
    <row r="414" spans="1:19" s="2" customFormat="1">
      <c r="A414" s="429">
        <v>394</v>
      </c>
      <c r="B414" s="430" t="s">
        <v>153</v>
      </c>
      <c r="C414" s="429" t="s">
        <v>16</v>
      </c>
      <c r="D414" s="429" t="s">
        <v>7</v>
      </c>
      <c r="E414" s="429" t="s">
        <v>8</v>
      </c>
      <c r="F414" s="27">
        <v>190</v>
      </c>
      <c r="G414" s="27">
        <f t="shared" si="5"/>
        <v>190</v>
      </c>
      <c r="H414" s="429"/>
      <c r="J414" s="277"/>
      <c r="K414" s="277"/>
      <c r="L414" s="277"/>
      <c r="M414" s="277"/>
      <c r="N414" s="277"/>
      <c r="O414" s="277"/>
      <c r="P414" s="277"/>
      <c r="Q414" s="277"/>
      <c r="R414" s="277"/>
      <c r="S414" s="277"/>
    </row>
    <row r="415" spans="1:19" s="2" customFormat="1">
      <c r="A415" s="429">
        <v>395</v>
      </c>
      <c r="B415" s="430" t="s">
        <v>162</v>
      </c>
      <c r="C415" s="429" t="s">
        <v>18</v>
      </c>
      <c r="D415" s="429" t="s">
        <v>7</v>
      </c>
      <c r="E415" s="429" t="s">
        <v>8</v>
      </c>
      <c r="F415" s="27">
        <v>190</v>
      </c>
      <c r="G415" s="27">
        <f t="shared" si="5"/>
        <v>190</v>
      </c>
      <c r="H415" s="429"/>
      <c r="J415" s="277"/>
      <c r="K415" s="277"/>
      <c r="L415" s="277"/>
      <c r="M415" s="277"/>
      <c r="N415" s="277"/>
      <c r="O415" s="277"/>
      <c r="P415" s="277"/>
      <c r="Q415" s="277"/>
      <c r="R415" s="277"/>
      <c r="S415" s="277"/>
    </row>
    <row r="416" spans="1:19" s="2" customFormat="1">
      <c r="A416" s="429">
        <v>396</v>
      </c>
      <c r="B416" s="430" t="s">
        <v>196</v>
      </c>
      <c r="C416" s="429" t="s">
        <v>12</v>
      </c>
      <c r="D416" s="429" t="s">
        <v>7</v>
      </c>
      <c r="E416" s="429" t="s">
        <v>8</v>
      </c>
      <c r="F416" s="27">
        <v>190</v>
      </c>
      <c r="G416" s="27">
        <f t="shared" si="5"/>
        <v>190</v>
      </c>
      <c r="H416" s="429"/>
      <c r="J416" s="277"/>
      <c r="K416" s="277"/>
      <c r="L416" s="277"/>
      <c r="M416" s="277"/>
      <c r="N416" s="277"/>
      <c r="O416" s="277"/>
      <c r="P416" s="277"/>
      <c r="Q416" s="277"/>
      <c r="R416" s="277"/>
      <c r="S416" s="277"/>
    </row>
    <row r="417" spans="1:19" s="2" customFormat="1">
      <c r="A417" s="429">
        <v>397</v>
      </c>
      <c r="B417" s="430" t="s">
        <v>202</v>
      </c>
      <c r="C417" s="429" t="s">
        <v>18</v>
      </c>
      <c r="D417" s="429" t="s">
        <v>7</v>
      </c>
      <c r="E417" s="429" t="s">
        <v>8</v>
      </c>
      <c r="F417" s="27">
        <v>190</v>
      </c>
      <c r="G417" s="27">
        <f t="shared" si="5"/>
        <v>190</v>
      </c>
      <c r="H417" s="429"/>
      <c r="J417" s="277"/>
      <c r="K417" s="277"/>
      <c r="L417" s="277"/>
      <c r="M417" s="277"/>
      <c r="N417" s="277"/>
      <c r="O417" s="277"/>
      <c r="P417" s="277"/>
      <c r="Q417" s="277"/>
      <c r="R417" s="277"/>
      <c r="S417" s="277"/>
    </row>
    <row r="418" spans="1:19" s="2" customFormat="1" ht="33">
      <c r="A418" s="429">
        <v>398</v>
      </c>
      <c r="B418" s="430" t="s">
        <v>204</v>
      </c>
      <c r="C418" s="429" t="s">
        <v>6</v>
      </c>
      <c r="D418" s="429" t="s">
        <v>7</v>
      </c>
      <c r="E418" s="429" t="s">
        <v>8</v>
      </c>
      <c r="F418" s="27">
        <v>190</v>
      </c>
      <c r="G418" s="27">
        <f t="shared" si="5"/>
        <v>190</v>
      </c>
      <c r="H418" s="429"/>
      <c r="J418" s="277"/>
      <c r="K418" s="277"/>
      <c r="L418" s="277"/>
      <c r="M418" s="277"/>
      <c r="N418" s="277"/>
      <c r="O418" s="277"/>
      <c r="P418" s="277"/>
      <c r="Q418" s="277"/>
      <c r="R418" s="277"/>
      <c r="S418" s="277"/>
    </row>
    <row r="419" spans="1:19" s="2" customFormat="1" ht="33" customHeight="1">
      <c r="A419" s="429">
        <v>399</v>
      </c>
      <c r="B419" s="430" t="s">
        <v>207</v>
      </c>
      <c r="C419" s="429" t="s">
        <v>6</v>
      </c>
      <c r="D419" s="429" t="s">
        <v>7</v>
      </c>
      <c r="E419" s="429" t="s">
        <v>8</v>
      </c>
      <c r="F419" s="27">
        <v>190</v>
      </c>
      <c r="G419" s="27">
        <f t="shared" si="5"/>
        <v>190</v>
      </c>
      <c r="H419" s="429"/>
      <c r="J419" s="277"/>
      <c r="K419" s="277"/>
      <c r="L419" s="277"/>
      <c r="M419" s="277"/>
      <c r="N419" s="277"/>
      <c r="O419" s="277"/>
      <c r="P419" s="277"/>
      <c r="Q419" s="277"/>
      <c r="R419" s="277"/>
      <c r="S419" s="277"/>
    </row>
    <row r="420" spans="1:19" s="2" customFormat="1" ht="16.5" customHeight="1">
      <c r="A420" s="429">
        <v>400</v>
      </c>
      <c r="B420" s="430" t="s">
        <v>222</v>
      </c>
      <c r="C420" s="429" t="s">
        <v>12</v>
      </c>
      <c r="D420" s="429" t="s">
        <v>7</v>
      </c>
      <c r="E420" s="429" t="s">
        <v>8</v>
      </c>
      <c r="F420" s="27">
        <v>190</v>
      </c>
      <c r="G420" s="27">
        <f t="shared" si="5"/>
        <v>190</v>
      </c>
      <c r="H420" s="429"/>
      <c r="J420" s="277"/>
      <c r="K420" s="277"/>
      <c r="L420" s="277"/>
      <c r="M420" s="277"/>
      <c r="N420" s="277"/>
      <c r="O420" s="277"/>
      <c r="P420" s="277"/>
      <c r="Q420" s="277"/>
      <c r="R420" s="277"/>
      <c r="S420" s="277"/>
    </row>
    <row r="421" spans="1:19" s="2" customFormat="1" ht="33">
      <c r="A421" s="429">
        <v>401</v>
      </c>
      <c r="B421" s="430" t="s">
        <v>231</v>
      </c>
      <c r="C421" s="429" t="s">
        <v>14</v>
      </c>
      <c r="D421" s="429" t="s">
        <v>7</v>
      </c>
      <c r="E421" s="429" t="s">
        <v>8</v>
      </c>
      <c r="F421" s="27">
        <v>190</v>
      </c>
      <c r="G421" s="27">
        <f t="shared" si="5"/>
        <v>190</v>
      </c>
      <c r="H421" s="429"/>
      <c r="J421" s="277"/>
      <c r="K421" s="277"/>
      <c r="L421" s="277"/>
      <c r="M421" s="277"/>
      <c r="N421" s="277"/>
      <c r="O421" s="277"/>
      <c r="P421" s="277"/>
      <c r="Q421" s="277"/>
      <c r="R421" s="277"/>
      <c r="S421" s="277"/>
    </row>
    <row r="422" spans="1:19" s="2" customFormat="1" ht="33">
      <c r="A422" s="429">
        <v>402</v>
      </c>
      <c r="B422" s="430" t="s">
        <v>247</v>
      </c>
      <c r="C422" s="429" t="s">
        <v>14</v>
      </c>
      <c r="D422" s="429" t="s">
        <v>7</v>
      </c>
      <c r="E422" s="429" t="s">
        <v>8</v>
      </c>
      <c r="F422" s="27">
        <v>190</v>
      </c>
      <c r="G422" s="27">
        <f t="shared" si="5"/>
        <v>190</v>
      </c>
      <c r="H422" s="429"/>
      <c r="J422" s="277"/>
      <c r="K422" s="277"/>
      <c r="L422" s="277"/>
      <c r="M422" s="277"/>
      <c r="N422" s="277"/>
      <c r="O422" s="277"/>
      <c r="P422" s="277"/>
      <c r="Q422" s="277"/>
      <c r="R422" s="277"/>
      <c r="S422" s="277"/>
    </row>
    <row r="423" spans="1:19" s="2" customFormat="1" ht="33">
      <c r="A423" s="429">
        <v>403</v>
      </c>
      <c r="B423" s="430" t="s">
        <v>254</v>
      </c>
      <c r="C423" s="429" t="s">
        <v>18</v>
      </c>
      <c r="D423" s="429" t="s">
        <v>7</v>
      </c>
      <c r="E423" s="429" t="s">
        <v>8</v>
      </c>
      <c r="F423" s="27">
        <v>190</v>
      </c>
      <c r="G423" s="27">
        <f t="shared" si="5"/>
        <v>190</v>
      </c>
      <c r="H423" s="429"/>
      <c r="J423" s="277"/>
      <c r="K423" s="277"/>
      <c r="L423" s="277"/>
      <c r="M423" s="277"/>
      <c r="N423" s="277"/>
      <c r="O423" s="277"/>
      <c r="P423" s="277"/>
      <c r="Q423" s="277"/>
      <c r="R423" s="277"/>
      <c r="S423" s="277"/>
    </row>
    <row r="424" spans="1:19" s="2" customFormat="1" ht="33">
      <c r="A424" s="429">
        <v>404</v>
      </c>
      <c r="B424" s="430" t="s">
        <v>255</v>
      </c>
      <c r="C424" s="429" t="s">
        <v>14</v>
      </c>
      <c r="D424" s="429" t="s">
        <v>7</v>
      </c>
      <c r="E424" s="429" t="s">
        <v>8</v>
      </c>
      <c r="F424" s="27">
        <v>190</v>
      </c>
      <c r="G424" s="27">
        <f t="shared" si="5"/>
        <v>190</v>
      </c>
      <c r="H424" s="429"/>
      <c r="J424" s="277"/>
      <c r="K424" s="277"/>
      <c r="L424" s="277"/>
      <c r="M424" s="277"/>
      <c r="N424" s="277"/>
      <c r="O424" s="277"/>
      <c r="P424" s="277"/>
      <c r="Q424" s="277"/>
      <c r="R424" s="277"/>
      <c r="S424" s="277"/>
    </row>
    <row r="425" spans="1:19" s="2" customFormat="1" ht="33.950000000000003" customHeight="1">
      <c r="A425" s="429">
        <v>405</v>
      </c>
      <c r="B425" s="430" t="s">
        <v>265</v>
      </c>
      <c r="C425" s="429" t="s">
        <v>6</v>
      </c>
      <c r="D425" s="429" t="s">
        <v>7</v>
      </c>
      <c r="E425" s="429" t="s">
        <v>8</v>
      </c>
      <c r="F425" s="27">
        <v>190</v>
      </c>
      <c r="G425" s="27">
        <f t="shared" si="5"/>
        <v>190</v>
      </c>
      <c r="H425" s="429"/>
      <c r="J425" s="277"/>
      <c r="K425" s="277"/>
      <c r="L425" s="277"/>
      <c r="M425" s="277"/>
      <c r="N425" s="277"/>
      <c r="O425" s="277"/>
      <c r="P425" s="277"/>
      <c r="Q425" s="277"/>
      <c r="R425" s="277"/>
      <c r="S425" s="277"/>
    </row>
    <row r="426" spans="1:19" s="2" customFormat="1" ht="33">
      <c r="A426" s="429">
        <v>406</v>
      </c>
      <c r="B426" s="430" t="s">
        <v>271</v>
      </c>
      <c r="C426" s="429" t="s">
        <v>6</v>
      </c>
      <c r="D426" s="429" t="s">
        <v>7</v>
      </c>
      <c r="E426" s="429" t="s">
        <v>8</v>
      </c>
      <c r="F426" s="27">
        <v>190</v>
      </c>
      <c r="G426" s="27">
        <f t="shared" si="5"/>
        <v>190</v>
      </c>
      <c r="H426" s="429"/>
      <c r="J426" s="277"/>
      <c r="K426" s="277"/>
      <c r="L426" s="277"/>
      <c r="M426" s="277"/>
      <c r="N426" s="277"/>
      <c r="O426" s="277"/>
      <c r="P426" s="277"/>
      <c r="Q426" s="277"/>
      <c r="R426" s="277"/>
      <c r="S426" s="277"/>
    </row>
    <row r="427" spans="1:19" s="2" customFormat="1">
      <c r="A427" s="429">
        <v>407</v>
      </c>
      <c r="B427" s="430" t="s">
        <v>272</v>
      </c>
      <c r="C427" s="429" t="s">
        <v>18</v>
      </c>
      <c r="D427" s="429" t="s">
        <v>7</v>
      </c>
      <c r="E427" s="429" t="s">
        <v>8</v>
      </c>
      <c r="F427" s="27">
        <v>190</v>
      </c>
      <c r="G427" s="27">
        <f t="shared" si="5"/>
        <v>190</v>
      </c>
      <c r="H427" s="429"/>
      <c r="J427" s="277"/>
      <c r="K427" s="277"/>
      <c r="L427" s="277"/>
      <c r="M427" s="277"/>
      <c r="N427" s="277"/>
      <c r="O427" s="277"/>
      <c r="P427" s="277"/>
      <c r="Q427" s="277"/>
      <c r="R427" s="277"/>
      <c r="S427" s="277"/>
    </row>
    <row r="428" spans="1:19" s="2" customFormat="1" ht="33">
      <c r="A428" s="429">
        <v>408</v>
      </c>
      <c r="B428" s="430" t="s">
        <v>296</v>
      </c>
      <c r="C428" s="429" t="s">
        <v>6</v>
      </c>
      <c r="D428" s="429" t="s">
        <v>7</v>
      </c>
      <c r="E428" s="429" t="s">
        <v>8</v>
      </c>
      <c r="F428" s="27">
        <v>190</v>
      </c>
      <c r="G428" s="27">
        <f t="shared" si="5"/>
        <v>190</v>
      </c>
      <c r="H428" s="429"/>
      <c r="J428" s="277"/>
      <c r="K428" s="277"/>
      <c r="L428" s="277"/>
      <c r="M428" s="277"/>
      <c r="N428" s="277"/>
      <c r="O428" s="277"/>
      <c r="P428" s="277"/>
      <c r="Q428" s="277"/>
      <c r="R428" s="277"/>
      <c r="S428" s="277"/>
    </row>
    <row r="429" spans="1:19" s="2" customFormat="1">
      <c r="A429" s="429">
        <v>409</v>
      </c>
      <c r="B429" s="430" t="s">
        <v>321</v>
      </c>
      <c r="C429" s="429" t="s">
        <v>18</v>
      </c>
      <c r="D429" s="429" t="s">
        <v>7</v>
      </c>
      <c r="E429" s="429" t="s">
        <v>8</v>
      </c>
      <c r="F429" s="27">
        <v>190</v>
      </c>
      <c r="G429" s="27">
        <f t="shared" si="5"/>
        <v>190</v>
      </c>
      <c r="H429" s="429"/>
      <c r="J429" s="277"/>
      <c r="K429" s="277"/>
      <c r="L429" s="277"/>
      <c r="M429" s="277"/>
      <c r="N429" s="277"/>
      <c r="O429" s="277"/>
      <c r="P429" s="277"/>
      <c r="Q429" s="277"/>
      <c r="R429" s="277"/>
      <c r="S429" s="277"/>
    </row>
    <row r="430" spans="1:19" s="2" customFormat="1">
      <c r="A430" s="429">
        <v>410</v>
      </c>
      <c r="B430" s="430" t="s">
        <v>324</v>
      </c>
      <c r="C430" s="429" t="s">
        <v>6</v>
      </c>
      <c r="D430" s="429" t="s">
        <v>7</v>
      </c>
      <c r="E430" s="429" t="s">
        <v>8</v>
      </c>
      <c r="F430" s="27">
        <v>190</v>
      </c>
      <c r="G430" s="27">
        <f t="shared" si="5"/>
        <v>190</v>
      </c>
      <c r="H430" s="429"/>
      <c r="J430" s="277"/>
      <c r="K430" s="277"/>
      <c r="L430" s="277"/>
      <c r="M430" s="277"/>
      <c r="N430" s="277"/>
      <c r="O430" s="277"/>
      <c r="P430" s="277"/>
      <c r="Q430" s="277"/>
      <c r="R430" s="277"/>
      <c r="S430" s="277"/>
    </row>
    <row r="431" spans="1:19" s="2" customFormat="1">
      <c r="A431" s="429">
        <v>411</v>
      </c>
      <c r="B431" s="430" t="s">
        <v>333</v>
      </c>
      <c r="C431" s="429" t="s">
        <v>6</v>
      </c>
      <c r="D431" s="429" t="s">
        <v>7</v>
      </c>
      <c r="E431" s="429" t="s">
        <v>8</v>
      </c>
      <c r="F431" s="27">
        <v>190</v>
      </c>
      <c r="G431" s="27">
        <f t="shared" si="5"/>
        <v>190</v>
      </c>
      <c r="H431" s="429"/>
      <c r="J431" s="277"/>
      <c r="K431" s="277"/>
      <c r="L431" s="277"/>
      <c r="M431" s="277"/>
      <c r="N431" s="277"/>
      <c r="O431" s="277"/>
      <c r="P431" s="277"/>
      <c r="Q431" s="277"/>
      <c r="R431" s="277"/>
      <c r="S431" s="277"/>
    </row>
    <row r="432" spans="1:19" s="2" customFormat="1">
      <c r="A432" s="429">
        <v>412</v>
      </c>
      <c r="B432" s="430" t="s">
        <v>382</v>
      </c>
      <c r="C432" s="429" t="s">
        <v>6</v>
      </c>
      <c r="D432" s="429" t="s">
        <v>7</v>
      </c>
      <c r="E432" s="429" t="s">
        <v>8</v>
      </c>
      <c r="F432" s="27">
        <v>190</v>
      </c>
      <c r="G432" s="27">
        <f t="shared" si="5"/>
        <v>190</v>
      </c>
      <c r="H432" s="429"/>
      <c r="J432" s="277"/>
      <c r="K432" s="277"/>
      <c r="L432" s="277"/>
      <c r="M432" s="277"/>
      <c r="N432" s="277"/>
      <c r="O432" s="277"/>
      <c r="P432" s="277"/>
      <c r="Q432" s="277"/>
      <c r="R432" s="277"/>
      <c r="S432" s="277"/>
    </row>
    <row r="433" spans="1:19" s="2" customFormat="1" ht="33">
      <c r="A433" s="429">
        <v>413</v>
      </c>
      <c r="B433" s="430" t="s">
        <v>425</v>
      </c>
      <c r="C433" s="429" t="s">
        <v>6</v>
      </c>
      <c r="D433" s="429" t="s">
        <v>7</v>
      </c>
      <c r="E433" s="429" t="s">
        <v>8</v>
      </c>
      <c r="F433" s="27">
        <v>190</v>
      </c>
      <c r="G433" s="27">
        <f t="shared" si="5"/>
        <v>190</v>
      </c>
      <c r="H433" s="429"/>
      <c r="J433" s="277"/>
      <c r="K433" s="277"/>
      <c r="L433" s="277"/>
      <c r="M433" s="277"/>
      <c r="N433" s="277"/>
      <c r="O433" s="277"/>
      <c r="P433" s="277"/>
      <c r="Q433" s="277"/>
      <c r="R433" s="277"/>
      <c r="S433" s="277"/>
    </row>
    <row r="434" spans="1:19" s="2" customFormat="1" ht="33">
      <c r="A434" s="429">
        <v>414</v>
      </c>
      <c r="B434" s="430" t="s">
        <v>437</v>
      </c>
      <c r="C434" s="429" t="s">
        <v>6</v>
      </c>
      <c r="D434" s="429" t="s">
        <v>7</v>
      </c>
      <c r="E434" s="429" t="s">
        <v>8</v>
      </c>
      <c r="F434" s="27">
        <v>190</v>
      </c>
      <c r="G434" s="27">
        <f t="shared" si="5"/>
        <v>190</v>
      </c>
      <c r="H434" s="429"/>
      <c r="J434" s="277"/>
      <c r="K434" s="277"/>
      <c r="L434" s="277"/>
      <c r="M434" s="277"/>
      <c r="N434" s="277"/>
      <c r="O434" s="277"/>
      <c r="P434" s="277"/>
      <c r="Q434" s="277"/>
      <c r="R434" s="277"/>
      <c r="S434" s="277"/>
    </row>
    <row r="435" spans="1:19" s="2" customFormat="1" ht="16.5" customHeight="1">
      <c r="A435" s="429">
        <v>415</v>
      </c>
      <c r="B435" s="430" t="s">
        <v>451</v>
      </c>
      <c r="C435" s="429" t="s">
        <v>6</v>
      </c>
      <c r="D435" s="429" t="s">
        <v>7</v>
      </c>
      <c r="E435" s="429" t="s">
        <v>8</v>
      </c>
      <c r="F435" s="27">
        <v>190</v>
      </c>
      <c r="G435" s="27">
        <f t="shared" si="5"/>
        <v>190</v>
      </c>
      <c r="H435" s="429"/>
      <c r="J435" s="277"/>
      <c r="K435" s="277"/>
      <c r="L435" s="277"/>
      <c r="M435" s="277"/>
      <c r="N435" s="277"/>
      <c r="O435" s="277"/>
      <c r="P435" s="277"/>
      <c r="Q435" s="277"/>
      <c r="R435" s="277"/>
      <c r="S435" s="277"/>
    </row>
    <row r="436" spans="1:19" s="2" customFormat="1">
      <c r="A436" s="429">
        <v>416</v>
      </c>
      <c r="B436" s="430" t="s">
        <v>462</v>
      </c>
      <c r="C436" s="429" t="s">
        <v>6</v>
      </c>
      <c r="D436" s="429" t="s">
        <v>7</v>
      </c>
      <c r="E436" s="429" t="s">
        <v>8</v>
      </c>
      <c r="F436" s="27">
        <v>190</v>
      </c>
      <c r="G436" s="27">
        <f t="shared" si="5"/>
        <v>190</v>
      </c>
      <c r="H436" s="429"/>
      <c r="J436" s="277"/>
      <c r="K436" s="277"/>
      <c r="L436" s="277"/>
      <c r="M436" s="277"/>
      <c r="N436" s="277"/>
      <c r="O436" s="277"/>
      <c r="P436" s="277"/>
      <c r="Q436" s="277"/>
      <c r="R436" s="277"/>
      <c r="S436" s="277"/>
    </row>
    <row r="437" spans="1:19" s="2" customFormat="1" ht="33" customHeight="1">
      <c r="A437" s="429">
        <v>417</v>
      </c>
      <c r="B437" s="430" t="s">
        <v>476</v>
      </c>
      <c r="C437" s="429" t="s">
        <v>18</v>
      </c>
      <c r="D437" s="429" t="s">
        <v>7</v>
      </c>
      <c r="E437" s="438" t="s">
        <v>8</v>
      </c>
      <c r="F437" s="27">
        <v>190</v>
      </c>
      <c r="G437" s="27">
        <f t="shared" si="5"/>
        <v>190</v>
      </c>
      <c r="H437" s="429"/>
      <c r="J437" s="277"/>
      <c r="K437" s="277"/>
      <c r="L437" s="277"/>
      <c r="M437" s="277"/>
      <c r="N437" s="277"/>
      <c r="O437" s="277"/>
      <c r="P437" s="277"/>
      <c r="Q437" s="277"/>
      <c r="R437" s="277"/>
      <c r="S437" s="277"/>
    </row>
    <row r="438" spans="1:19" s="2" customFormat="1">
      <c r="A438" s="429">
        <v>418</v>
      </c>
      <c r="B438" s="430" t="s">
        <v>477</v>
      </c>
      <c r="C438" s="429" t="s">
        <v>14</v>
      </c>
      <c r="D438" s="429" t="s">
        <v>7</v>
      </c>
      <c r="E438" s="429" t="s">
        <v>8</v>
      </c>
      <c r="F438" s="27">
        <v>190</v>
      </c>
      <c r="G438" s="27">
        <f t="shared" si="5"/>
        <v>190</v>
      </c>
      <c r="H438" s="429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</row>
    <row r="439" spans="1:19" s="2" customFormat="1" ht="33">
      <c r="A439" s="429">
        <v>419</v>
      </c>
      <c r="B439" s="430" t="s">
        <v>491</v>
      </c>
      <c r="C439" s="429" t="s">
        <v>18</v>
      </c>
      <c r="D439" s="429" t="s">
        <v>7</v>
      </c>
      <c r="E439" s="429" t="s">
        <v>8</v>
      </c>
      <c r="F439" s="27">
        <v>190</v>
      </c>
      <c r="G439" s="27">
        <v>190</v>
      </c>
      <c r="H439" s="429"/>
      <c r="J439" s="277"/>
      <c r="K439" s="277"/>
      <c r="L439" s="277"/>
      <c r="M439" s="277"/>
      <c r="N439" s="277"/>
      <c r="O439" s="277"/>
      <c r="P439" s="277"/>
      <c r="Q439" s="277"/>
      <c r="R439" s="277"/>
      <c r="S439" s="277"/>
    </row>
    <row r="440" spans="1:19" s="2" customFormat="1">
      <c r="A440" s="429">
        <v>420</v>
      </c>
      <c r="B440" s="430" t="s">
        <v>560</v>
      </c>
      <c r="C440" s="429" t="s">
        <v>14</v>
      </c>
      <c r="D440" s="429" t="s">
        <v>7</v>
      </c>
      <c r="E440" s="429" t="s">
        <v>8</v>
      </c>
      <c r="F440" s="27">
        <v>190</v>
      </c>
      <c r="G440" s="27">
        <f t="shared" ref="G440:G451" si="6">F440</f>
        <v>190</v>
      </c>
      <c r="H440" s="429"/>
      <c r="J440" s="277"/>
      <c r="K440" s="277"/>
      <c r="L440" s="277"/>
      <c r="M440" s="277"/>
      <c r="N440" s="277"/>
      <c r="O440" s="277"/>
      <c r="P440" s="277"/>
      <c r="Q440" s="277"/>
      <c r="R440" s="277"/>
      <c r="S440" s="277"/>
    </row>
    <row r="441" spans="1:19" s="2" customFormat="1">
      <c r="A441" s="429">
        <v>421</v>
      </c>
      <c r="B441" s="430" t="s">
        <v>569</v>
      </c>
      <c r="C441" s="429" t="s">
        <v>6</v>
      </c>
      <c r="D441" s="429" t="s">
        <v>7</v>
      </c>
      <c r="E441" s="429" t="s">
        <v>8</v>
      </c>
      <c r="F441" s="27">
        <v>190</v>
      </c>
      <c r="G441" s="27">
        <f t="shared" si="6"/>
        <v>190</v>
      </c>
      <c r="H441" s="429"/>
      <c r="J441" s="277"/>
      <c r="K441" s="277"/>
      <c r="L441" s="277"/>
      <c r="M441" s="277"/>
      <c r="N441" s="277"/>
      <c r="O441" s="277"/>
      <c r="P441" s="277"/>
      <c r="Q441" s="277"/>
      <c r="R441" s="277"/>
      <c r="S441" s="277"/>
    </row>
    <row r="442" spans="1:19" s="2" customFormat="1">
      <c r="A442" s="429">
        <v>422</v>
      </c>
      <c r="B442" s="430" t="s">
        <v>592</v>
      </c>
      <c r="C442" s="429" t="s">
        <v>6</v>
      </c>
      <c r="D442" s="429" t="s">
        <v>7</v>
      </c>
      <c r="E442" s="429" t="s">
        <v>8</v>
      </c>
      <c r="F442" s="27">
        <v>190</v>
      </c>
      <c r="G442" s="27">
        <f t="shared" si="6"/>
        <v>190</v>
      </c>
      <c r="H442" s="429"/>
      <c r="J442" s="277"/>
      <c r="K442" s="277"/>
      <c r="L442" s="277"/>
      <c r="M442" s="277"/>
      <c r="N442" s="277"/>
      <c r="O442" s="277"/>
      <c r="P442" s="277"/>
      <c r="Q442" s="277"/>
      <c r="R442" s="277"/>
      <c r="S442" s="277"/>
    </row>
    <row r="443" spans="1:19" s="2" customFormat="1" ht="33" customHeight="1">
      <c r="A443" s="429">
        <v>423</v>
      </c>
      <c r="B443" s="430" t="s">
        <v>628</v>
      </c>
      <c r="C443" s="429" t="s">
        <v>6</v>
      </c>
      <c r="D443" s="429" t="s">
        <v>7</v>
      </c>
      <c r="E443" s="429" t="s">
        <v>8</v>
      </c>
      <c r="F443" s="27">
        <v>190</v>
      </c>
      <c r="G443" s="27">
        <f t="shared" si="6"/>
        <v>190</v>
      </c>
      <c r="H443" s="429"/>
      <c r="J443" s="277"/>
      <c r="K443" s="277"/>
      <c r="L443" s="277"/>
      <c r="M443" s="277"/>
      <c r="N443" s="277"/>
      <c r="O443" s="277"/>
      <c r="P443" s="277"/>
      <c r="Q443" s="277"/>
      <c r="R443" s="277"/>
      <c r="S443" s="277"/>
    </row>
    <row r="444" spans="1:19" s="2" customFormat="1">
      <c r="A444" s="429">
        <v>424</v>
      </c>
      <c r="B444" s="430" t="s">
        <v>698</v>
      </c>
      <c r="C444" s="429" t="s">
        <v>6</v>
      </c>
      <c r="D444" s="429" t="s">
        <v>7</v>
      </c>
      <c r="E444" s="429" t="s">
        <v>8</v>
      </c>
      <c r="F444" s="27">
        <v>190</v>
      </c>
      <c r="G444" s="27">
        <f t="shared" si="6"/>
        <v>190</v>
      </c>
      <c r="H444" s="429"/>
      <c r="J444" s="277"/>
      <c r="K444" s="277"/>
      <c r="L444" s="277"/>
      <c r="M444" s="277"/>
      <c r="N444" s="277"/>
      <c r="O444" s="277"/>
      <c r="P444" s="277"/>
      <c r="Q444" s="277"/>
      <c r="R444" s="277"/>
      <c r="S444" s="277"/>
    </row>
    <row r="445" spans="1:19" s="6" customFormat="1">
      <c r="A445" s="429">
        <v>425</v>
      </c>
      <c r="B445" s="430" t="s">
        <v>714</v>
      </c>
      <c r="C445" s="429" t="s">
        <v>18</v>
      </c>
      <c r="D445" s="429" t="s">
        <v>7</v>
      </c>
      <c r="E445" s="429" t="s">
        <v>8</v>
      </c>
      <c r="F445" s="27">
        <v>190</v>
      </c>
      <c r="G445" s="27">
        <f t="shared" si="6"/>
        <v>190</v>
      </c>
      <c r="H445" s="429"/>
      <c r="I445" s="2"/>
      <c r="J445" s="277"/>
      <c r="K445" s="277"/>
      <c r="L445" s="277"/>
      <c r="M445" s="277"/>
      <c r="N445" s="277"/>
      <c r="O445" s="277"/>
      <c r="P445" s="277"/>
      <c r="Q445" s="277"/>
      <c r="R445" s="277"/>
      <c r="S445" s="277"/>
    </row>
    <row r="446" spans="1:19" s="2" customFormat="1" ht="33">
      <c r="A446" s="429">
        <v>426</v>
      </c>
      <c r="B446" s="430" t="s">
        <v>741</v>
      </c>
      <c r="C446" s="429" t="s">
        <v>6</v>
      </c>
      <c r="D446" s="429" t="s">
        <v>7</v>
      </c>
      <c r="E446" s="429" t="s">
        <v>8</v>
      </c>
      <c r="F446" s="27">
        <v>190</v>
      </c>
      <c r="G446" s="27">
        <f t="shared" si="6"/>
        <v>190</v>
      </c>
      <c r="H446" s="429"/>
      <c r="J446" s="277"/>
      <c r="K446" s="277"/>
      <c r="L446" s="277"/>
      <c r="M446" s="277"/>
      <c r="N446" s="277"/>
      <c r="O446" s="277"/>
      <c r="P446" s="277"/>
      <c r="Q446" s="277"/>
      <c r="R446" s="277"/>
      <c r="S446" s="277"/>
    </row>
    <row r="447" spans="1:19" s="2" customFormat="1">
      <c r="A447" s="429">
        <v>427</v>
      </c>
      <c r="B447" s="430" t="s">
        <v>742</v>
      </c>
      <c r="C447" s="429" t="s">
        <v>6</v>
      </c>
      <c r="D447" s="429" t="s">
        <v>7</v>
      </c>
      <c r="E447" s="429" t="s">
        <v>8</v>
      </c>
      <c r="F447" s="27">
        <v>190</v>
      </c>
      <c r="G447" s="27">
        <f t="shared" si="6"/>
        <v>190</v>
      </c>
      <c r="H447" s="429"/>
      <c r="J447" s="277"/>
      <c r="K447" s="277"/>
      <c r="L447" s="277"/>
      <c r="M447" s="277"/>
      <c r="N447" s="277"/>
      <c r="O447" s="277"/>
      <c r="P447" s="277"/>
      <c r="Q447" s="277"/>
      <c r="R447" s="277"/>
      <c r="S447" s="277"/>
    </row>
    <row r="448" spans="1:19" s="2" customFormat="1" ht="33">
      <c r="A448" s="429">
        <v>428</v>
      </c>
      <c r="B448" s="430" t="s">
        <v>758</v>
      </c>
      <c r="C448" s="429" t="s">
        <v>6</v>
      </c>
      <c r="D448" s="429" t="s">
        <v>7</v>
      </c>
      <c r="E448" s="429" t="s">
        <v>8</v>
      </c>
      <c r="F448" s="27">
        <v>190</v>
      </c>
      <c r="G448" s="27">
        <f t="shared" si="6"/>
        <v>190</v>
      </c>
      <c r="H448" s="429"/>
      <c r="J448" s="277"/>
      <c r="K448" s="277"/>
      <c r="L448" s="277"/>
      <c r="M448" s="277"/>
      <c r="N448" s="277"/>
      <c r="O448" s="277"/>
      <c r="P448" s="277"/>
      <c r="Q448" s="277"/>
      <c r="R448" s="277"/>
      <c r="S448" s="277"/>
    </row>
    <row r="449" spans="1:19" s="2" customFormat="1">
      <c r="A449" s="429">
        <v>429</v>
      </c>
      <c r="B449" s="430" t="s">
        <v>789</v>
      </c>
      <c r="C449" s="429" t="s">
        <v>18</v>
      </c>
      <c r="D449" s="429" t="s">
        <v>7</v>
      </c>
      <c r="E449" s="429" t="s">
        <v>8</v>
      </c>
      <c r="F449" s="27">
        <v>190</v>
      </c>
      <c r="G449" s="27">
        <f t="shared" si="6"/>
        <v>190</v>
      </c>
      <c r="H449" s="429"/>
      <c r="J449" s="277"/>
      <c r="K449" s="277"/>
      <c r="L449" s="277"/>
      <c r="M449" s="277"/>
      <c r="N449" s="277"/>
      <c r="O449" s="277"/>
      <c r="P449" s="277"/>
      <c r="Q449" s="277"/>
      <c r="R449" s="277"/>
      <c r="S449" s="277"/>
    </row>
    <row r="450" spans="1:19" s="2" customFormat="1">
      <c r="A450" s="429">
        <v>430</v>
      </c>
      <c r="B450" s="430" t="s">
        <v>798</v>
      </c>
      <c r="C450" s="429" t="s">
        <v>12</v>
      </c>
      <c r="D450" s="429" t="s">
        <v>10</v>
      </c>
      <c r="E450" s="429" t="s">
        <v>8</v>
      </c>
      <c r="F450" s="27">
        <v>190</v>
      </c>
      <c r="G450" s="27">
        <f t="shared" si="6"/>
        <v>190</v>
      </c>
      <c r="H450" s="429"/>
      <c r="J450" s="277"/>
      <c r="K450" s="277"/>
      <c r="L450" s="277"/>
      <c r="M450" s="277"/>
      <c r="N450" s="277"/>
      <c r="O450" s="277"/>
      <c r="P450" s="277"/>
      <c r="Q450" s="277"/>
      <c r="R450" s="277"/>
      <c r="S450" s="277"/>
    </row>
    <row r="451" spans="1:19" s="2" customFormat="1" ht="16.5" customHeight="1">
      <c r="A451" s="429">
        <v>431</v>
      </c>
      <c r="B451" s="430" t="s">
        <v>817</v>
      </c>
      <c r="C451" s="429" t="s">
        <v>6</v>
      </c>
      <c r="D451" s="429" t="s">
        <v>7</v>
      </c>
      <c r="E451" s="438" t="s">
        <v>8</v>
      </c>
      <c r="F451" s="27">
        <v>190</v>
      </c>
      <c r="G451" s="27">
        <f t="shared" si="6"/>
        <v>190</v>
      </c>
      <c r="H451" s="429"/>
      <c r="J451" s="277"/>
      <c r="K451" s="277"/>
      <c r="L451" s="277"/>
      <c r="M451" s="277"/>
      <c r="N451" s="277"/>
      <c r="O451" s="277"/>
      <c r="P451" s="277"/>
      <c r="Q451" s="277"/>
      <c r="R451" s="277"/>
      <c r="S451" s="277"/>
    </row>
    <row r="452" spans="1:19" s="2" customFormat="1">
      <c r="A452" s="429">
        <v>432</v>
      </c>
      <c r="B452" s="430" t="s">
        <v>842</v>
      </c>
      <c r="C452" s="429" t="s">
        <v>6</v>
      </c>
      <c r="D452" s="429" t="s">
        <v>7</v>
      </c>
      <c r="E452" s="429" t="s">
        <v>8</v>
      </c>
      <c r="F452" s="27">
        <v>190</v>
      </c>
      <c r="G452" s="27">
        <v>190</v>
      </c>
      <c r="H452" s="429"/>
      <c r="J452" s="277"/>
      <c r="K452" s="277"/>
      <c r="L452" s="277"/>
      <c r="M452" s="277"/>
      <c r="N452" s="277"/>
      <c r="O452" s="277"/>
      <c r="P452" s="277"/>
      <c r="Q452" s="277"/>
      <c r="R452" s="277"/>
      <c r="S452" s="277"/>
    </row>
    <row r="453" spans="1:19" s="2" customFormat="1">
      <c r="A453" s="429">
        <v>433</v>
      </c>
      <c r="B453" s="430" t="s">
        <v>875</v>
      </c>
      <c r="C453" s="429" t="s">
        <v>14</v>
      </c>
      <c r="D453" s="429" t="s">
        <v>7</v>
      </c>
      <c r="E453" s="429" t="s">
        <v>8</v>
      </c>
      <c r="F453" s="27">
        <v>190</v>
      </c>
      <c r="G453" s="27">
        <f t="shared" ref="G453:G462" si="7">F453</f>
        <v>190</v>
      </c>
      <c r="H453" s="429"/>
      <c r="J453" s="277"/>
      <c r="K453" s="277"/>
      <c r="L453" s="277"/>
      <c r="M453" s="277"/>
      <c r="N453" s="277"/>
      <c r="O453" s="277"/>
      <c r="P453" s="277"/>
      <c r="Q453" s="277"/>
      <c r="R453" s="277"/>
      <c r="S453" s="277"/>
    </row>
    <row r="454" spans="1:19" s="2" customFormat="1">
      <c r="A454" s="429">
        <v>434</v>
      </c>
      <c r="B454" s="430" t="s">
        <v>913</v>
      </c>
      <c r="C454" s="429" t="s">
        <v>18</v>
      </c>
      <c r="D454" s="429" t="s">
        <v>7</v>
      </c>
      <c r="E454" s="429" t="s">
        <v>8</v>
      </c>
      <c r="F454" s="27">
        <v>190</v>
      </c>
      <c r="G454" s="27">
        <f t="shared" si="7"/>
        <v>190</v>
      </c>
      <c r="H454" s="429"/>
      <c r="J454" s="277"/>
      <c r="K454" s="277"/>
      <c r="L454" s="277"/>
      <c r="M454" s="277"/>
      <c r="N454" s="277"/>
      <c r="O454" s="277"/>
      <c r="P454" s="277"/>
      <c r="Q454" s="277"/>
      <c r="R454" s="277"/>
      <c r="S454" s="277"/>
    </row>
    <row r="455" spans="1:19" s="2" customFormat="1">
      <c r="A455" s="429">
        <v>435</v>
      </c>
      <c r="B455" s="430" t="s">
        <v>914</v>
      </c>
      <c r="C455" s="429" t="s">
        <v>12</v>
      </c>
      <c r="D455" s="429" t="s">
        <v>7</v>
      </c>
      <c r="E455" s="429" t="s">
        <v>8</v>
      </c>
      <c r="F455" s="27">
        <v>190</v>
      </c>
      <c r="G455" s="27">
        <f t="shared" si="7"/>
        <v>190</v>
      </c>
      <c r="H455" s="429"/>
      <c r="J455" s="277"/>
      <c r="K455" s="277"/>
      <c r="L455" s="277"/>
      <c r="M455" s="277"/>
      <c r="N455" s="277"/>
      <c r="O455" s="277"/>
      <c r="P455" s="277"/>
      <c r="Q455" s="277"/>
      <c r="R455" s="277"/>
      <c r="S455" s="277"/>
    </row>
    <row r="456" spans="1:19" s="2" customFormat="1" ht="33">
      <c r="A456" s="429">
        <v>436</v>
      </c>
      <c r="B456" s="430" t="s">
        <v>940</v>
      </c>
      <c r="C456" s="429" t="s">
        <v>6</v>
      </c>
      <c r="D456" s="429" t="s">
        <v>7</v>
      </c>
      <c r="E456" s="429" t="s">
        <v>8</v>
      </c>
      <c r="F456" s="27">
        <v>190</v>
      </c>
      <c r="G456" s="27">
        <f t="shared" si="7"/>
        <v>190</v>
      </c>
      <c r="H456" s="429"/>
      <c r="J456" s="277"/>
      <c r="K456" s="277"/>
      <c r="L456" s="278"/>
      <c r="M456" s="278"/>
      <c r="N456" s="278"/>
      <c r="O456" s="278"/>
      <c r="P456" s="278"/>
      <c r="Q456" s="278"/>
      <c r="R456" s="278"/>
      <c r="S456" s="278"/>
    </row>
    <row r="457" spans="1:19" s="2" customFormat="1">
      <c r="A457" s="429">
        <v>437</v>
      </c>
      <c r="B457" s="430" t="s">
        <v>989</v>
      </c>
      <c r="C457" s="429" t="s">
        <v>6</v>
      </c>
      <c r="D457" s="429" t="s">
        <v>7</v>
      </c>
      <c r="E457" s="429" t="s">
        <v>8</v>
      </c>
      <c r="F457" s="27">
        <v>190</v>
      </c>
      <c r="G457" s="27">
        <f t="shared" si="7"/>
        <v>190</v>
      </c>
      <c r="H457" s="429"/>
      <c r="J457" s="277"/>
      <c r="K457" s="277"/>
      <c r="L457" s="277"/>
      <c r="M457" s="277"/>
      <c r="N457" s="277"/>
      <c r="O457" s="277"/>
      <c r="P457" s="277"/>
      <c r="Q457" s="277"/>
      <c r="R457" s="277"/>
      <c r="S457" s="277"/>
    </row>
    <row r="458" spans="1:19" s="2" customFormat="1">
      <c r="A458" s="429">
        <v>438</v>
      </c>
      <c r="B458" s="430" t="s">
        <v>121</v>
      </c>
      <c r="C458" s="429" t="s">
        <v>6</v>
      </c>
      <c r="D458" s="429" t="s">
        <v>7</v>
      </c>
      <c r="E458" s="429" t="s">
        <v>8</v>
      </c>
      <c r="F458" s="27">
        <v>200</v>
      </c>
      <c r="G458" s="27">
        <f t="shared" si="7"/>
        <v>200</v>
      </c>
      <c r="H458" s="429"/>
      <c r="J458" s="277"/>
      <c r="K458" s="277"/>
      <c r="L458" s="277"/>
      <c r="M458" s="277"/>
      <c r="N458" s="277"/>
      <c r="O458" s="277"/>
      <c r="P458" s="277"/>
      <c r="Q458" s="277"/>
      <c r="R458" s="277"/>
      <c r="S458" s="277"/>
    </row>
    <row r="459" spans="1:19" s="2" customFormat="1" ht="16.5" customHeight="1">
      <c r="A459" s="429">
        <v>439</v>
      </c>
      <c r="B459" s="430" t="s">
        <v>401</v>
      </c>
      <c r="C459" s="429" t="s">
        <v>15</v>
      </c>
      <c r="D459" s="429" t="s">
        <v>7</v>
      </c>
      <c r="E459" s="429" t="s">
        <v>8</v>
      </c>
      <c r="F459" s="27">
        <v>200</v>
      </c>
      <c r="G459" s="27">
        <f t="shared" si="7"/>
        <v>200</v>
      </c>
      <c r="H459" s="429"/>
      <c r="J459" s="277"/>
      <c r="K459" s="277"/>
      <c r="L459" s="277"/>
      <c r="M459" s="277"/>
      <c r="N459" s="277"/>
      <c r="O459" s="277"/>
      <c r="P459" s="277"/>
      <c r="Q459" s="277"/>
      <c r="R459" s="277"/>
      <c r="S459" s="277"/>
    </row>
    <row r="460" spans="1:19" s="2" customFormat="1" ht="16.5" customHeight="1">
      <c r="A460" s="429">
        <v>440</v>
      </c>
      <c r="B460" s="430" t="s">
        <v>407</v>
      </c>
      <c r="C460" s="429" t="s">
        <v>6</v>
      </c>
      <c r="D460" s="429" t="s">
        <v>7</v>
      </c>
      <c r="E460" s="431" t="s">
        <v>8</v>
      </c>
      <c r="F460" s="440">
        <v>200</v>
      </c>
      <c r="G460" s="27">
        <f t="shared" si="7"/>
        <v>200</v>
      </c>
      <c r="H460" s="429"/>
      <c r="J460" s="277"/>
      <c r="K460" s="277"/>
      <c r="L460" s="277"/>
      <c r="M460" s="277"/>
      <c r="N460" s="277"/>
      <c r="O460" s="277"/>
      <c r="P460" s="277"/>
      <c r="Q460" s="277"/>
      <c r="R460" s="277"/>
      <c r="S460" s="277"/>
    </row>
    <row r="461" spans="1:19" s="2" customFormat="1" ht="16.5" customHeight="1">
      <c r="A461" s="429">
        <v>441</v>
      </c>
      <c r="B461" s="430" t="s">
        <v>518</v>
      </c>
      <c r="C461" s="429"/>
      <c r="D461" s="429"/>
      <c r="E461" s="431" t="s">
        <v>8</v>
      </c>
      <c r="F461" s="439">
        <v>200</v>
      </c>
      <c r="G461" s="27">
        <f t="shared" si="7"/>
        <v>200</v>
      </c>
      <c r="H461" s="429"/>
      <c r="J461" s="277"/>
      <c r="K461" s="277"/>
      <c r="L461" s="277"/>
      <c r="M461" s="277"/>
      <c r="N461" s="277"/>
      <c r="O461" s="277"/>
      <c r="P461" s="277"/>
      <c r="Q461" s="277"/>
      <c r="R461" s="277"/>
      <c r="S461" s="277"/>
    </row>
    <row r="462" spans="1:19" s="2" customFormat="1" ht="16.5" customHeight="1">
      <c r="A462" s="429">
        <v>442</v>
      </c>
      <c r="B462" s="430" t="s">
        <v>643</v>
      </c>
      <c r="C462" s="429" t="s">
        <v>18</v>
      </c>
      <c r="D462" s="429" t="s">
        <v>7</v>
      </c>
      <c r="E462" s="438" t="s">
        <v>8</v>
      </c>
      <c r="F462" s="27">
        <v>200</v>
      </c>
      <c r="G462" s="27">
        <f t="shared" si="7"/>
        <v>200</v>
      </c>
      <c r="H462" s="429"/>
      <c r="J462" s="277"/>
      <c r="K462" s="277"/>
      <c r="L462" s="277"/>
      <c r="M462" s="277"/>
      <c r="N462" s="277"/>
      <c r="O462" s="277"/>
      <c r="P462" s="277"/>
      <c r="Q462" s="277"/>
      <c r="R462" s="277"/>
      <c r="S462" s="277"/>
    </row>
    <row r="463" spans="1:19" s="2" customFormat="1">
      <c r="A463" s="429">
        <v>443</v>
      </c>
      <c r="B463" s="430" t="s">
        <v>286</v>
      </c>
      <c r="C463" s="429" t="s">
        <v>14</v>
      </c>
      <c r="D463" s="429" t="s">
        <v>10</v>
      </c>
      <c r="E463" s="429" t="s">
        <v>13</v>
      </c>
      <c r="F463" s="27">
        <v>227</v>
      </c>
      <c r="G463" s="27">
        <v>215</v>
      </c>
      <c r="H463" s="429"/>
      <c r="J463" s="277"/>
      <c r="K463" s="277"/>
      <c r="L463" s="277"/>
      <c r="M463" s="277"/>
      <c r="N463" s="277"/>
      <c r="O463" s="277"/>
      <c r="P463" s="277"/>
      <c r="Q463" s="277"/>
      <c r="R463" s="277"/>
      <c r="S463" s="277"/>
    </row>
    <row r="464" spans="1:19" s="2" customFormat="1">
      <c r="A464" s="429">
        <v>444</v>
      </c>
      <c r="B464" s="433" t="s">
        <v>997</v>
      </c>
      <c r="C464" s="434" t="s">
        <v>9</v>
      </c>
      <c r="D464" s="434" t="s">
        <v>7</v>
      </c>
      <c r="E464" s="434" t="s">
        <v>8</v>
      </c>
      <c r="F464" s="442">
        <v>215</v>
      </c>
      <c r="G464" s="27">
        <f t="shared" ref="G464:G481" si="8">F464</f>
        <v>215</v>
      </c>
      <c r="H464" s="434"/>
      <c r="I464" s="8"/>
      <c r="J464" s="228"/>
      <c r="K464" s="228"/>
      <c r="L464" s="277"/>
      <c r="M464" s="277"/>
      <c r="N464" s="277"/>
      <c r="O464" s="277"/>
      <c r="P464" s="277"/>
      <c r="Q464" s="277"/>
      <c r="R464" s="277"/>
      <c r="S464" s="277"/>
    </row>
    <row r="465" spans="1:19" s="2" customFormat="1">
      <c r="A465" s="429">
        <v>445</v>
      </c>
      <c r="B465" s="430" t="s">
        <v>79</v>
      </c>
      <c r="C465" s="429"/>
      <c r="D465" s="429"/>
      <c r="E465" s="429" t="s">
        <v>8</v>
      </c>
      <c r="F465" s="437">
        <v>215</v>
      </c>
      <c r="G465" s="27">
        <f t="shared" si="8"/>
        <v>215</v>
      </c>
      <c r="H465" s="429"/>
      <c r="J465" s="277"/>
      <c r="K465" s="277"/>
      <c r="L465" s="277"/>
      <c r="M465" s="277"/>
      <c r="N465" s="277"/>
      <c r="O465" s="277"/>
      <c r="P465" s="277"/>
      <c r="Q465" s="277"/>
      <c r="R465" s="277"/>
      <c r="S465" s="277"/>
    </row>
    <row r="466" spans="1:19" s="2" customFormat="1">
      <c r="A466" s="429">
        <v>446</v>
      </c>
      <c r="B466" s="430" t="s">
        <v>87</v>
      </c>
      <c r="C466" s="429" t="s">
        <v>6</v>
      </c>
      <c r="D466" s="429" t="s">
        <v>7</v>
      </c>
      <c r="E466" s="429" t="s">
        <v>8</v>
      </c>
      <c r="F466" s="437">
        <v>215</v>
      </c>
      <c r="G466" s="27">
        <f t="shared" si="8"/>
        <v>215</v>
      </c>
      <c r="H466" s="429"/>
      <c r="J466" s="277"/>
      <c r="K466" s="277"/>
      <c r="L466" s="277"/>
      <c r="M466" s="277"/>
      <c r="N466" s="277"/>
      <c r="O466" s="277"/>
      <c r="P466" s="277"/>
      <c r="Q466" s="277"/>
      <c r="R466" s="277"/>
      <c r="S466" s="277"/>
    </row>
    <row r="467" spans="1:19" s="2" customFormat="1" ht="33">
      <c r="A467" s="429">
        <v>447</v>
      </c>
      <c r="B467" s="430" t="s">
        <v>156</v>
      </c>
      <c r="C467" s="429" t="s">
        <v>9</v>
      </c>
      <c r="D467" s="429" t="s">
        <v>7</v>
      </c>
      <c r="E467" s="429" t="s">
        <v>8</v>
      </c>
      <c r="F467" s="437">
        <v>215</v>
      </c>
      <c r="G467" s="27">
        <f t="shared" si="8"/>
        <v>215</v>
      </c>
      <c r="H467" s="429"/>
      <c r="J467" s="277"/>
      <c r="K467" s="277"/>
      <c r="L467" s="277"/>
      <c r="M467" s="277"/>
      <c r="N467" s="277"/>
      <c r="O467" s="277"/>
      <c r="P467" s="277"/>
      <c r="Q467" s="277"/>
      <c r="R467" s="277"/>
      <c r="S467" s="277"/>
    </row>
    <row r="468" spans="1:19" s="2" customFormat="1" ht="33">
      <c r="A468" s="429">
        <v>448</v>
      </c>
      <c r="B468" s="430" t="s">
        <v>186</v>
      </c>
      <c r="C468" s="429" t="s">
        <v>9</v>
      </c>
      <c r="D468" s="429" t="s">
        <v>7</v>
      </c>
      <c r="E468" s="429" t="s">
        <v>8</v>
      </c>
      <c r="F468" s="437">
        <v>215</v>
      </c>
      <c r="G468" s="27">
        <f t="shared" si="8"/>
        <v>215</v>
      </c>
      <c r="H468" s="429"/>
      <c r="J468" s="277"/>
      <c r="K468" s="277"/>
      <c r="L468" s="277"/>
      <c r="M468" s="277"/>
      <c r="N468" s="277"/>
      <c r="O468" s="277"/>
      <c r="P468" s="277"/>
      <c r="Q468" s="277"/>
      <c r="R468" s="277"/>
      <c r="S468" s="277"/>
    </row>
    <row r="469" spans="1:19" s="2" customFormat="1" ht="16.5" customHeight="1">
      <c r="A469" s="429">
        <v>449</v>
      </c>
      <c r="B469" s="430" t="s">
        <v>244</v>
      </c>
      <c r="C469" s="429" t="s">
        <v>14</v>
      </c>
      <c r="D469" s="429" t="s">
        <v>7</v>
      </c>
      <c r="E469" s="431" t="s">
        <v>8</v>
      </c>
      <c r="F469" s="432">
        <v>215</v>
      </c>
      <c r="G469" s="27">
        <f t="shared" si="8"/>
        <v>215</v>
      </c>
      <c r="H469" s="429"/>
      <c r="J469" s="277"/>
      <c r="K469" s="277"/>
      <c r="L469" s="277"/>
      <c r="M469" s="277"/>
      <c r="N469" s="277"/>
      <c r="O469" s="277"/>
      <c r="P469" s="277"/>
      <c r="Q469" s="277"/>
      <c r="R469" s="277"/>
      <c r="S469" s="277"/>
    </row>
    <row r="470" spans="1:19" s="2" customFormat="1">
      <c r="A470" s="429">
        <v>450</v>
      </c>
      <c r="B470" s="430" t="s">
        <v>306</v>
      </c>
      <c r="C470" s="429" t="s">
        <v>9</v>
      </c>
      <c r="D470" s="429" t="s">
        <v>7</v>
      </c>
      <c r="E470" s="429" t="s">
        <v>8</v>
      </c>
      <c r="F470" s="437">
        <v>215</v>
      </c>
      <c r="G470" s="27">
        <f t="shared" si="8"/>
        <v>215</v>
      </c>
      <c r="H470" s="429"/>
      <c r="J470" s="277"/>
      <c r="K470" s="277"/>
      <c r="L470" s="277"/>
      <c r="M470" s="277"/>
      <c r="N470" s="277"/>
      <c r="O470" s="277"/>
      <c r="P470" s="277"/>
      <c r="Q470" s="277"/>
      <c r="R470" s="277"/>
      <c r="S470" s="277"/>
    </row>
    <row r="471" spans="1:19" s="2" customFormat="1" ht="33" customHeight="1">
      <c r="A471" s="429">
        <v>451</v>
      </c>
      <c r="B471" s="430" t="s">
        <v>376</v>
      </c>
      <c r="C471" s="429"/>
      <c r="D471" s="429"/>
      <c r="E471" s="431" t="s">
        <v>8</v>
      </c>
      <c r="F471" s="440">
        <v>215</v>
      </c>
      <c r="G471" s="27">
        <f t="shared" si="8"/>
        <v>215</v>
      </c>
      <c r="H471" s="429"/>
      <c r="J471" s="277"/>
      <c r="K471" s="277"/>
      <c r="L471" s="277"/>
      <c r="M471" s="277"/>
      <c r="N471" s="277"/>
      <c r="O471" s="277"/>
      <c r="P471" s="277"/>
      <c r="Q471" s="277"/>
      <c r="R471" s="277"/>
      <c r="S471" s="277"/>
    </row>
    <row r="472" spans="1:19" s="2" customFormat="1">
      <c r="A472" s="429">
        <v>452</v>
      </c>
      <c r="B472" s="430" t="s">
        <v>383</v>
      </c>
      <c r="C472" s="429" t="s">
        <v>9</v>
      </c>
      <c r="D472" s="429" t="s">
        <v>7</v>
      </c>
      <c r="E472" s="429" t="s">
        <v>8</v>
      </c>
      <c r="F472" s="437">
        <v>215</v>
      </c>
      <c r="G472" s="27">
        <f t="shared" si="8"/>
        <v>215</v>
      </c>
      <c r="H472" s="429"/>
      <c r="J472" s="277"/>
      <c r="K472" s="277"/>
      <c r="L472" s="277"/>
      <c r="M472" s="277"/>
      <c r="N472" s="277"/>
      <c r="O472" s="277"/>
      <c r="P472" s="277"/>
      <c r="Q472" s="277"/>
      <c r="R472" s="277"/>
      <c r="S472" s="277"/>
    </row>
    <row r="473" spans="1:19" s="2" customFormat="1">
      <c r="A473" s="429">
        <v>453</v>
      </c>
      <c r="B473" s="430" t="s">
        <v>453</v>
      </c>
      <c r="C473" s="429" t="s">
        <v>12</v>
      </c>
      <c r="D473" s="429" t="s">
        <v>7</v>
      </c>
      <c r="E473" s="429" t="s">
        <v>8</v>
      </c>
      <c r="F473" s="27">
        <v>215</v>
      </c>
      <c r="G473" s="27">
        <f t="shared" si="8"/>
        <v>215</v>
      </c>
      <c r="H473" s="429"/>
      <c r="J473" s="277"/>
      <c r="K473" s="277"/>
      <c r="L473" s="277"/>
      <c r="M473" s="277"/>
      <c r="N473" s="277"/>
      <c r="O473" s="277"/>
      <c r="P473" s="277"/>
      <c r="Q473" s="277"/>
      <c r="R473" s="277"/>
      <c r="S473" s="277"/>
    </row>
    <row r="474" spans="1:19" s="2" customFormat="1" ht="16.5" customHeight="1">
      <c r="A474" s="429">
        <v>454</v>
      </c>
      <c r="B474" s="430" t="s">
        <v>737</v>
      </c>
      <c r="C474" s="429"/>
      <c r="D474" s="429"/>
      <c r="E474" s="431" t="s">
        <v>8</v>
      </c>
      <c r="F474" s="432">
        <v>215</v>
      </c>
      <c r="G474" s="27">
        <f t="shared" si="8"/>
        <v>215</v>
      </c>
      <c r="H474" s="429"/>
      <c r="J474" s="277"/>
      <c r="K474" s="277"/>
      <c r="L474" s="277"/>
      <c r="M474" s="277"/>
      <c r="N474" s="277"/>
      <c r="O474" s="277"/>
      <c r="P474" s="277"/>
      <c r="Q474" s="277"/>
      <c r="R474" s="277"/>
      <c r="S474" s="277"/>
    </row>
    <row r="475" spans="1:19" s="2" customFormat="1" ht="16.5" customHeight="1">
      <c r="A475" s="429">
        <v>455</v>
      </c>
      <c r="B475" s="430" t="s">
        <v>794</v>
      </c>
      <c r="C475" s="429"/>
      <c r="D475" s="429"/>
      <c r="E475" s="429" t="s">
        <v>8</v>
      </c>
      <c r="F475" s="437">
        <v>215</v>
      </c>
      <c r="G475" s="27">
        <f t="shared" si="8"/>
        <v>215</v>
      </c>
      <c r="H475" s="429"/>
      <c r="J475" s="277"/>
      <c r="K475" s="277"/>
      <c r="L475" s="277"/>
      <c r="M475" s="277"/>
      <c r="N475" s="277"/>
      <c r="O475" s="277"/>
      <c r="P475" s="277"/>
      <c r="Q475" s="277"/>
      <c r="R475" s="277"/>
      <c r="S475" s="277"/>
    </row>
    <row r="476" spans="1:19" s="2" customFormat="1" ht="16.5" customHeight="1">
      <c r="A476" s="429">
        <v>456</v>
      </c>
      <c r="B476" s="430" t="s">
        <v>811</v>
      </c>
      <c r="C476" s="429" t="s">
        <v>6</v>
      </c>
      <c r="D476" s="429" t="s">
        <v>7</v>
      </c>
      <c r="E476" s="429" t="s">
        <v>8</v>
      </c>
      <c r="F476" s="437">
        <v>215</v>
      </c>
      <c r="G476" s="27">
        <f t="shared" si="8"/>
        <v>215</v>
      </c>
      <c r="H476" s="429"/>
      <c r="J476" s="277"/>
      <c r="K476" s="277"/>
      <c r="L476" s="277"/>
      <c r="M476" s="277"/>
      <c r="N476" s="277"/>
      <c r="O476" s="277"/>
      <c r="P476" s="277"/>
      <c r="Q476" s="277"/>
      <c r="R476" s="277"/>
      <c r="S476" s="277"/>
    </row>
    <row r="477" spans="1:19" s="2" customFormat="1">
      <c r="A477" s="429">
        <v>457</v>
      </c>
      <c r="B477" s="430" t="s">
        <v>966</v>
      </c>
      <c r="C477" s="429" t="s">
        <v>9</v>
      </c>
      <c r="D477" s="429" t="s">
        <v>7</v>
      </c>
      <c r="E477" s="429" t="s">
        <v>8</v>
      </c>
      <c r="F477" s="437">
        <v>215</v>
      </c>
      <c r="G477" s="27">
        <f t="shared" si="8"/>
        <v>215</v>
      </c>
      <c r="H477" s="429"/>
      <c r="J477" s="277"/>
      <c r="K477" s="277"/>
      <c r="L477" s="277"/>
      <c r="M477" s="277"/>
      <c r="N477" s="277"/>
      <c r="O477" s="277"/>
      <c r="P477" s="277"/>
      <c r="Q477" s="277"/>
      <c r="R477" s="277"/>
      <c r="S477" s="277"/>
    </row>
    <row r="478" spans="1:19" s="2" customFormat="1" ht="33" customHeight="1">
      <c r="A478" s="429">
        <v>458</v>
      </c>
      <c r="B478" s="430" t="s">
        <v>990</v>
      </c>
      <c r="C478" s="429"/>
      <c r="D478" s="429" t="s">
        <v>7</v>
      </c>
      <c r="E478" s="431" t="s">
        <v>8</v>
      </c>
      <c r="F478" s="440">
        <v>215</v>
      </c>
      <c r="G478" s="27">
        <f t="shared" si="8"/>
        <v>215</v>
      </c>
      <c r="H478" s="429"/>
      <c r="J478" s="277"/>
      <c r="K478" s="277"/>
      <c r="L478" s="277"/>
      <c r="M478" s="277"/>
      <c r="N478" s="277"/>
      <c r="O478" s="277"/>
      <c r="P478" s="277"/>
      <c r="Q478" s="277"/>
      <c r="R478" s="277"/>
      <c r="S478" s="277"/>
    </row>
    <row r="479" spans="1:19" s="2" customFormat="1" ht="33">
      <c r="A479" s="429">
        <v>459</v>
      </c>
      <c r="B479" s="430" t="s">
        <v>386</v>
      </c>
      <c r="C479" s="429" t="s">
        <v>9</v>
      </c>
      <c r="D479" s="429" t="s">
        <v>7</v>
      </c>
      <c r="E479" s="429" t="s">
        <v>8</v>
      </c>
      <c r="F479" s="437">
        <v>215</v>
      </c>
      <c r="G479" s="27">
        <f t="shared" si="8"/>
        <v>215</v>
      </c>
      <c r="H479" s="429"/>
      <c r="J479" s="277"/>
      <c r="K479" s="277"/>
      <c r="L479" s="277"/>
      <c r="M479" s="277"/>
      <c r="N479" s="277"/>
      <c r="O479" s="277"/>
      <c r="P479" s="277"/>
      <c r="Q479" s="277"/>
      <c r="R479" s="277"/>
      <c r="S479" s="277"/>
    </row>
    <row r="480" spans="1:19" s="2" customFormat="1">
      <c r="A480" s="429">
        <v>460</v>
      </c>
      <c r="B480" s="430" t="s">
        <v>638</v>
      </c>
      <c r="C480" s="429" t="s">
        <v>9</v>
      </c>
      <c r="D480" s="429" t="s">
        <v>10</v>
      </c>
      <c r="E480" s="438" t="s">
        <v>25</v>
      </c>
      <c r="F480" s="27">
        <v>215</v>
      </c>
      <c r="G480" s="27">
        <f t="shared" si="8"/>
        <v>215</v>
      </c>
      <c r="H480" s="429"/>
      <c r="J480" s="277"/>
      <c r="K480" s="277"/>
      <c r="L480" s="277"/>
      <c r="M480" s="277"/>
      <c r="N480" s="277"/>
      <c r="O480" s="277"/>
      <c r="P480" s="277"/>
      <c r="Q480" s="277"/>
      <c r="R480" s="277"/>
      <c r="S480" s="277"/>
    </row>
    <row r="481" spans="1:43" s="2" customFormat="1">
      <c r="A481" s="429">
        <v>461</v>
      </c>
      <c r="B481" s="430" t="s">
        <v>528</v>
      </c>
      <c r="C481" s="429"/>
      <c r="D481" s="429"/>
      <c r="E481" s="429"/>
      <c r="F481" s="436">
        <v>215</v>
      </c>
      <c r="G481" s="27">
        <f t="shared" si="8"/>
        <v>215</v>
      </c>
      <c r="H481" s="429"/>
      <c r="J481" s="277"/>
      <c r="K481" s="277"/>
      <c r="L481" s="277"/>
      <c r="M481" s="277"/>
      <c r="N481" s="277"/>
      <c r="O481" s="277"/>
      <c r="P481" s="277"/>
      <c r="Q481" s="277"/>
      <c r="R481" s="277"/>
      <c r="S481" s="277"/>
    </row>
    <row r="482" spans="1:43" s="292" customFormat="1">
      <c r="A482" s="429">
        <v>462</v>
      </c>
      <c r="B482" s="433" t="s">
        <v>557</v>
      </c>
      <c r="C482" s="434" t="s">
        <v>12</v>
      </c>
      <c r="D482" s="434" t="s">
        <v>7</v>
      </c>
      <c r="E482" s="434" t="s">
        <v>8</v>
      </c>
      <c r="F482" s="31">
        <v>227</v>
      </c>
      <c r="G482" s="31">
        <v>215</v>
      </c>
      <c r="H482" s="434"/>
      <c r="I482" s="282"/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</row>
    <row r="483" spans="1:43" s="2" customFormat="1">
      <c r="A483" s="429">
        <v>463</v>
      </c>
      <c r="B483" s="430" t="s">
        <v>191</v>
      </c>
      <c r="C483" s="429" t="s">
        <v>14</v>
      </c>
      <c r="D483" s="429" t="s">
        <v>7</v>
      </c>
      <c r="E483" s="429" t="s">
        <v>21</v>
      </c>
      <c r="F483" s="27">
        <v>232</v>
      </c>
      <c r="G483" s="27">
        <v>220</v>
      </c>
      <c r="H483" s="429"/>
      <c r="J483" s="277"/>
      <c r="K483" s="277"/>
      <c r="L483" s="278"/>
      <c r="M483" s="278"/>
      <c r="N483" s="278"/>
      <c r="O483" s="278"/>
      <c r="P483" s="278"/>
      <c r="Q483" s="278"/>
      <c r="R483" s="278"/>
      <c r="S483" s="278"/>
    </row>
    <row r="484" spans="1:43" s="2" customFormat="1">
      <c r="A484" s="429">
        <v>464</v>
      </c>
      <c r="B484" s="430" t="s">
        <v>598</v>
      </c>
      <c r="C484" s="429" t="s">
        <v>14</v>
      </c>
      <c r="D484" s="429" t="s">
        <v>10</v>
      </c>
      <c r="E484" s="429" t="s">
        <v>11</v>
      </c>
      <c r="F484" s="27">
        <v>232</v>
      </c>
      <c r="G484" s="27">
        <v>220</v>
      </c>
      <c r="H484" s="429"/>
      <c r="J484" s="277"/>
      <c r="K484" s="277"/>
      <c r="L484" s="277"/>
      <c r="M484" s="277"/>
      <c r="N484" s="277"/>
      <c r="O484" s="277"/>
      <c r="P484" s="277"/>
      <c r="Q484" s="277"/>
      <c r="R484" s="277"/>
      <c r="S484" s="277"/>
    </row>
    <row r="485" spans="1:43" s="2" customFormat="1" ht="27" customHeight="1">
      <c r="A485" s="429">
        <v>465</v>
      </c>
      <c r="B485" s="430" t="s">
        <v>345</v>
      </c>
      <c r="C485" s="429" t="s">
        <v>12</v>
      </c>
      <c r="D485" s="429" t="s">
        <v>10</v>
      </c>
      <c r="E485" s="429" t="s">
        <v>11</v>
      </c>
      <c r="F485" s="27">
        <v>232</v>
      </c>
      <c r="G485" s="27">
        <v>220</v>
      </c>
      <c r="H485" s="429"/>
      <c r="J485" s="277"/>
      <c r="K485" s="277"/>
      <c r="L485" s="277"/>
      <c r="M485" s="277"/>
      <c r="N485" s="277"/>
      <c r="O485" s="277"/>
      <c r="P485" s="277"/>
      <c r="Q485" s="277"/>
      <c r="R485" s="277"/>
      <c r="S485" s="277"/>
    </row>
    <row r="486" spans="1:43" s="2" customFormat="1">
      <c r="A486" s="429">
        <v>466</v>
      </c>
      <c r="B486" s="430" t="s">
        <v>309</v>
      </c>
      <c r="C486" s="429" t="s">
        <v>14</v>
      </c>
      <c r="D486" s="429" t="s">
        <v>10</v>
      </c>
      <c r="E486" s="429" t="s">
        <v>11</v>
      </c>
      <c r="F486" s="27">
        <v>232</v>
      </c>
      <c r="G486" s="27">
        <v>220</v>
      </c>
      <c r="H486" s="429"/>
      <c r="J486" s="277"/>
      <c r="K486" s="277"/>
      <c r="L486" s="277"/>
      <c r="M486" s="277"/>
      <c r="N486" s="277"/>
      <c r="O486" s="277"/>
      <c r="P486" s="277"/>
      <c r="Q486" s="277"/>
      <c r="R486" s="277"/>
      <c r="S486" s="277"/>
    </row>
    <row r="487" spans="1:43" s="2" customFormat="1">
      <c r="A487" s="429">
        <v>467</v>
      </c>
      <c r="B487" s="430" t="s">
        <v>385</v>
      </c>
      <c r="C487" s="429" t="s">
        <v>18</v>
      </c>
      <c r="D487" s="429" t="s">
        <v>10</v>
      </c>
      <c r="E487" s="429" t="s">
        <v>11</v>
      </c>
      <c r="F487" s="27">
        <v>232</v>
      </c>
      <c r="G487" s="27">
        <v>220</v>
      </c>
      <c r="H487" s="429"/>
      <c r="J487" s="277"/>
      <c r="K487" s="277"/>
      <c r="L487" s="277"/>
      <c r="M487" s="277"/>
      <c r="N487" s="277"/>
      <c r="O487" s="277"/>
      <c r="P487" s="277"/>
      <c r="Q487" s="277"/>
      <c r="R487" s="277"/>
      <c r="S487" s="277"/>
    </row>
    <row r="488" spans="1:43" s="2" customFormat="1" ht="16.5" customHeight="1">
      <c r="A488" s="429">
        <v>468</v>
      </c>
      <c r="B488" s="430" t="s">
        <v>442</v>
      </c>
      <c r="C488" s="429" t="s">
        <v>16</v>
      </c>
      <c r="D488" s="429" t="s">
        <v>10</v>
      </c>
      <c r="E488" s="429" t="s">
        <v>11</v>
      </c>
      <c r="F488" s="27">
        <v>232</v>
      </c>
      <c r="G488" s="27">
        <v>220</v>
      </c>
      <c r="H488" s="429"/>
      <c r="J488" s="277"/>
      <c r="K488" s="277"/>
      <c r="L488" s="277"/>
      <c r="M488" s="277"/>
      <c r="N488" s="277"/>
      <c r="O488" s="277"/>
      <c r="P488" s="277"/>
      <c r="Q488" s="277"/>
      <c r="R488" s="277"/>
      <c r="S488" s="277"/>
    </row>
    <row r="489" spans="1:43" s="2" customFormat="1">
      <c r="A489" s="429">
        <v>469</v>
      </c>
      <c r="B489" s="430" t="s">
        <v>576</v>
      </c>
      <c r="C489" s="429" t="s">
        <v>14</v>
      </c>
      <c r="D489" s="429" t="s">
        <v>10</v>
      </c>
      <c r="E489" s="429" t="s">
        <v>11</v>
      </c>
      <c r="F489" s="27">
        <v>232</v>
      </c>
      <c r="G489" s="27">
        <v>220</v>
      </c>
      <c r="H489" s="429"/>
      <c r="J489" s="277"/>
      <c r="K489" s="277"/>
      <c r="L489" s="277"/>
      <c r="M489" s="277"/>
      <c r="N489" s="277"/>
      <c r="O489" s="277"/>
      <c r="P489" s="277"/>
      <c r="Q489" s="277"/>
      <c r="R489" s="277"/>
      <c r="S489" s="277"/>
    </row>
    <row r="490" spans="1:43" s="2" customFormat="1" ht="16.5" customHeight="1">
      <c r="A490" s="429">
        <v>470</v>
      </c>
      <c r="B490" s="430" t="s">
        <v>649</v>
      </c>
      <c r="C490" s="429" t="s">
        <v>6</v>
      </c>
      <c r="D490" s="429" t="s">
        <v>10</v>
      </c>
      <c r="E490" s="429" t="s">
        <v>11</v>
      </c>
      <c r="F490" s="27">
        <v>232</v>
      </c>
      <c r="G490" s="27">
        <v>220</v>
      </c>
      <c r="H490" s="429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</row>
    <row r="491" spans="1:43" s="2" customFormat="1" ht="33" customHeight="1">
      <c r="A491" s="429">
        <v>471</v>
      </c>
      <c r="B491" s="430" t="s">
        <v>963</v>
      </c>
      <c r="C491" s="429" t="s">
        <v>18</v>
      </c>
      <c r="D491" s="429" t="s">
        <v>10</v>
      </c>
      <c r="E491" s="429" t="s">
        <v>11</v>
      </c>
      <c r="F491" s="27">
        <v>232</v>
      </c>
      <c r="G491" s="27">
        <v>220</v>
      </c>
      <c r="H491" s="429"/>
      <c r="J491" s="277"/>
      <c r="K491" s="277"/>
      <c r="L491" s="277"/>
      <c r="M491" s="277"/>
      <c r="N491" s="277"/>
      <c r="O491" s="277"/>
      <c r="P491" s="277"/>
      <c r="Q491" s="277"/>
      <c r="R491" s="277"/>
      <c r="S491" s="277"/>
    </row>
    <row r="492" spans="1:43" s="2" customFormat="1" ht="16.5" customHeight="1">
      <c r="A492" s="429">
        <v>472</v>
      </c>
      <c r="B492" s="430" t="s">
        <v>195</v>
      </c>
      <c r="C492" s="429" t="s">
        <v>12</v>
      </c>
      <c r="D492" s="429" t="s">
        <v>10</v>
      </c>
      <c r="E492" s="429" t="s">
        <v>13</v>
      </c>
      <c r="F492" s="27">
        <v>220</v>
      </c>
      <c r="G492" s="27">
        <f>F492</f>
        <v>220</v>
      </c>
      <c r="H492" s="429"/>
      <c r="J492" s="277"/>
      <c r="K492" s="277"/>
      <c r="L492" s="277"/>
      <c r="M492" s="277"/>
      <c r="N492" s="277"/>
      <c r="O492" s="277"/>
      <c r="P492" s="277"/>
      <c r="Q492" s="277"/>
      <c r="R492" s="277"/>
      <c r="S492" s="277"/>
    </row>
    <row r="493" spans="1:43" s="2" customFormat="1">
      <c r="A493" s="429">
        <v>473</v>
      </c>
      <c r="B493" s="430" t="s">
        <v>146</v>
      </c>
      <c r="C493" s="429" t="s">
        <v>14</v>
      </c>
      <c r="D493" s="429" t="s">
        <v>10</v>
      </c>
      <c r="E493" s="429" t="s">
        <v>13</v>
      </c>
      <c r="F493" s="27">
        <v>232</v>
      </c>
      <c r="G493" s="27">
        <v>220</v>
      </c>
      <c r="H493" s="429"/>
      <c r="J493" s="277"/>
      <c r="K493" s="277"/>
      <c r="L493" s="277"/>
      <c r="M493" s="277"/>
      <c r="N493" s="277"/>
      <c r="O493" s="277"/>
      <c r="P493" s="277"/>
      <c r="Q493" s="277"/>
      <c r="R493" s="277"/>
      <c r="S493" s="277"/>
    </row>
    <row r="494" spans="1:43" s="2" customFormat="1" ht="16.5" customHeight="1">
      <c r="A494" s="429">
        <v>474</v>
      </c>
      <c r="B494" s="430" t="s">
        <v>531</v>
      </c>
      <c r="C494" s="429" t="s">
        <v>16</v>
      </c>
      <c r="D494" s="429" t="s">
        <v>10</v>
      </c>
      <c r="E494" s="429" t="s">
        <v>13</v>
      </c>
      <c r="F494" s="27">
        <v>232</v>
      </c>
      <c r="G494" s="27">
        <v>220</v>
      </c>
      <c r="H494" s="429"/>
      <c r="J494" s="277"/>
      <c r="K494" s="277"/>
      <c r="L494" s="277"/>
      <c r="M494" s="277"/>
      <c r="N494" s="277"/>
      <c r="O494" s="277"/>
      <c r="P494" s="277"/>
      <c r="Q494" s="277"/>
      <c r="R494" s="277"/>
      <c r="S494" s="277"/>
    </row>
    <row r="495" spans="1:43" s="2" customFormat="1">
      <c r="A495" s="429">
        <v>475</v>
      </c>
      <c r="B495" s="430" t="s">
        <v>561</v>
      </c>
      <c r="C495" s="429" t="s">
        <v>14</v>
      </c>
      <c r="D495" s="429" t="s">
        <v>10</v>
      </c>
      <c r="E495" s="429" t="s">
        <v>13</v>
      </c>
      <c r="F495" s="27">
        <v>232</v>
      </c>
      <c r="G495" s="27">
        <v>220</v>
      </c>
      <c r="H495" s="429"/>
      <c r="J495" s="277"/>
      <c r="K495" s="277"/>
      <c r="L495" s="277"/>
      <c r="M495" s="277"/>
      <c r="N495" s="277"/>
      <c r="O495" s="277"/>
      <c r="P495" s="277"/>
      <c r="Q495" s="277"/>
      <c r="R495" s="277"/>
      <c r="S495" s="277"/>
    </row>
    <row r="496" spans="1:43" s="2" customFormat="1" ht="33" customHeight="1">
      <c r="A496" s="429">
        <v>476</v>
      </c>
      <c r="B496" s="430" t="s">
        <v>302</v>
      </c>
      <c r="C496" s="429" t="s">
        <v>14</v>
      </c>
      <c r="D496" s="429" t="s">
        <v>10</v>
      </c>
      <c r="E496" s="429" t="s">
        <v>13</v>
      </c>
      <c r="F496" s="27">
        <v>232</v>
      </c>
      <c r="G496" s="27">
        <v>220</v>
      </c>
      <c r="H496" s="429"/>
      <c r="J496" s="277"/>
      <c r="K496" s="277"/>
      <c r="L496" s="277"/>
      <c r="M496" s="277"/>
      <c r="N496" s="277"/>
      <c r="O496" s="277"/>
      <c r="P496" s="277"/>
      <c r="Q496" s="277"/>
      <c r="R496" s="277"/>
      <c r="S496" s="277"/>
    </row>
    <row r="497" spans="1:19" s="2" customFormat="1">
      <c r="A497" s="429">
        <v>477</v>
      </c>
      <c r="B497" s="430" t="s">
        <v>682</v>
      </c>
      <c r="C497" s="429" t="s">
        <v>14</v>
      </c>
      <c r="D497" s="429" t="s">
        <v>7</v>
      </c>
      <c r="E497" s="429" t="s">
        <v>13</v>
      </c>
      <c r="F497" s="27">
        <v>232</v>
      </c>
      <c r="G497" s="27">
        <v>220</v>
      </c>
      <c r="H497" s="429"/>
      <c r="J497" s="277"/>
      <c r="K497" s="277"/>
      <c r="L497" s="277"/>
      <c r="M497" s="277"/>
      <c r="N497" s="277"/>
      <c r="O497" s="277"/>
      <c r="P497" s="277"/>
      <c r="Q497" s="277"/>
      <c r="R497" s="277"/>
      <c r="S497" s="277"/>
    </row>
    <row r="498" spans="1:19" s="2" customFormat="1">
      <c r="A498" s="429">
        <v>478</v>
      </c>
      <c r="B498" s="430" t="s">
        <v>792</v>
      </c>
      <c r="C498" s="429" t="s">
        <v>6</v>
      </c>
      <c r="D498" s="429" t="s">
        <v>10</v>
      </c>
      <c r="E498" s="429" t="s">
        <v>13</v>
      </c>
      <c r="F498" s="27">
        <v>232</v>
      </c>
      <c r="G498" s="27">
        <v>220</v>
      </c>
      <c r="H498" s="429"/>
      <c r="J498" s="277"/>
      <c r="K498" s="277"/>
      <c r="L498" s="277"/>
      <c r="M498" s="277"/>
      <c r="N498" s="277"/>
      <c r="O498" s="277"/>
      <c r="P498" s="277"/>
      <c r="Q498" s="277"/>
      <c r="R498" s="277"/>
      <c r="S498" s="277"/>
    </row>
    <row r="499" spans="1:19" s="2" customFormat="1">
      <c r="A499" s="429">
        <v>479</v>
      </c>
      <c r="B499" s="430" t="s">
        <v>876</v>
      </c>
      <c r="C499" s="429" t="s">
        <v>6</v>
      </c>
      <c r="D499" s="429" t="s">
        <v>10</v>
      </c>
      <c r="E499" s="429" t="s">
        <v>13</v>
      </c>
      <c r="F499" s="27">
        <v>232</v>
      </c>
      <c r="G499" s="27">
        <v>220</v>
      </c>
      <c r="H499" s="429"/>
      <c r="J499" s="277"/>
      <c r="K499" s="277"/>
      <c r="L499" s="277"/>
      <c r="M499" s="277"/>
      <c r="N499" s="277"/>
      <c r="O499" s="277"/>
      <c r="P499" s="277"/>
      <c r="Q499" s="277"/>
      <c r="R499" s="277"/>
      <c r="S499" s="277"/>
    </row>
    <row r="500" spans="1:19" s="2" customFormat="1">
      <c r="A500" s="429">
        <v>480</v>
      </c>
      <c r="B500" s="430" t="s">
        <v>115</v>
      </c>
      <c r="C500" s="429" t="s">
        <v>16</v>
      </c>
      <c r="D500" s="429" t="s">
        <v>10</v>
      </c>
      <c r="E500" s="429" t="s">
        <v>13</v>
      </c>
      <c r="F500" s="27">
        <v>232</v>
      </c>
      <c r="G500" s="27">
        <v>220</v>
      </c>
      <c r="H500" s="429"/>
      <c r="J500" s="277"/>
      <c r="K500" s="277"/>
      <c r="L500" s="277"/>
      <c r="M500" s="277"/>
      <c r="N500" s="277"/>
      <c r="O500" s="277"/>
      <c r="P500" s="277"/>
      <c r="Q500" s="277"/>
      <c r="R500" s="277"/>
      <c r="S500" s="277"/>
    </row>
    <row r="501" spans="1:19" s="2" customFormat="1" ht="33">
      <c r="A501" s="429">
        <v>481</v>
      </c>
      <c r="B501" s="430" t="s">
        <v>169</v>
      </c>
      <c r="C501" s="429" t="s">
        <v>16</v>
      </c>
      <c r="D501" s="429" t="s">
        <v>10</v>
      </c>
      <c r="E501" s="429" t="s">
        <v>13</v>
      </c>
      <c r="F501" s="27">
        <v>232</v>
      </c>
      <c r="G501" s="27">
        <v>220</v>
      </c>
      <c r="H501" s="429"/>
      <c r="J501" s="277"/>
      <c r="K501" s="277"/>
      <c r="L501" s="277"/>
      <c r="M501" s="277"/>
      <c r="N501" s="277"/>
      <c r="O501" s="277"/>
      <c r="P501" s="277"/>
      <c r="Q501" s="277"/>
      <c r="R501" s="277"/>
      <c r="S501" s="277"/>
    </row>
    <row r="502" spans="1:19" s="2" customFormat="1" ht="16.5" customHeight="1">
      <c r="A502" s="429">
        <v>482</v>
      </c>
      <c r="B502" s="430" t="s">
        <v>290</v>
      </c>
      <c r="C502" s="429" t="s">
        <v>18</v>
      </c>
      <c r="D502" s="429" t="s">
        <v>10</v>
      </c>
      <c r="E502" s="429" t="s">
        <v>13</v>
      </c>
      <c r="F502" s="27">
        <v>232</v>
      </c>
      <c r="G502" s="27">
        <v>220</v>
      </c>
      <c r="H502" s="429"/>
      <c r="J502" s="277"/>
      <c r="K502" s="277"/>
      <c r="L502" s="277"/>
      <c r="M502" s="277"/>
      <c r="N502" s="277"/>
      <c r="O502" s="277"/>
      <c r="P502" s="277"/>
      <c r="Q502" s="277"/>
      <c r="R502" s="277"/>
      <c r="S502" s="277"/>
    </row>
    <row r="503" spans="1:19" s="2" customFormat="1" ht="16.5" customHeight="1">
      <c r="A503" s="429">
        <v>483</v>
      </c>
      <c r="B503" s="430" t="s">
        <v>343</v>
      </c>
      <c r="C503" s="429" t="s">
        <v>16</v>
      </c>
      <c r="D503" s="429" t="s">
        <v>10</v>
      </c>
      <c r="E503" s="429" t="s">
        <v>13</v>
      </c>
      <c r="F503" s="27">
        <v>232</v>
      </c>
      <c r="G503" s="27">
        <v>220</v>
      </c>
      <c r="H503" s="429"/>
      <c r="J503" s="277"/>
      <c r="K503" s="277"/>
      <c r="L503" s="277"/>
      <c r="M503" s="277"/>
      <c r="N503" s="277"/>
      <c r="O503" s="277"/>
      <c r="P503" s="277"/>
      <c r="Q503" s="277"/>
      <c r="R503" s="277"/>
      <c r="S503" s="277"/>
    </row>
    <row r="504" spans="1:19" s="2" customFormat="1" ht="16.5" customHeight="1">
      <c r="A504" s="429">
        <v>484</v>
      </c>
      <c r="B504" s="430" t="s">
        <v>365</v>
      </c>
      <c r="C504" s="429" t="s">
        <v>12</v>
      </c>
      <c r="D504" s="429" t="s">
        <v>10</v>
      </c>
      <c r="E504" s="429" t="s">
        <v>13</v>
      </c>
      <c r="F504" s="27">
        <v>232</v>
      </c>
      <c r="G504" s="27">
        <v>220</v>
      </c>
      <c r="H504" s="429"/>
      <c r="J504" s="277"/>
      <c r="K504" s="277"/>
      <c r="L504" s="277"/>
      <c r="M504" s="277"/>
      <c r="N504" s="277"/>
      <c r="O504" s="277"/>
      <c r="P504" s="277"/>
      <c r="Q504" s="277"/>
      <c r="R504" s="277"/>
      <c r="S504" s="277"/>
    </row>
    <row r="505" spans="1:19" s="2" customFormat="1" ht="33" customHeight="1">
      <c r="A505" s="429">
        <v>485</v>
      </c>
      <c r="B505" s="430" t="s">
        <v>391</v>
      </c>
      <c r="C505" s="429" t="s">
        <v>14</v>
      </c>
      <c r="D505" s="429" t="s">
        <v>10</v>
      </c>
      <c r="E505" s="429" t="s">
        <v>13</v>
      </c>
      <c r="F505" s="27">
        <v>232</v>
      </c>
      <c r="G505" s="27">
        <v>220</v>
      </c>
      <c r="H505" s="429"/>
      <c r="J505" s="277"/>
      <c r="K505" s="277"/>
      <c r="L505" s="277"/>
      <c r="M505" s="277"/>
      <c r="N505" s="277"/>
      <c r="O505" s="277"/>
      <c r="P505" s="277"/>
      <c r="Q505" s="277"/>
      <c r="R505" s="277"/>
      <c r="S505" s="277"/>
    </row>
    <row r="506" spans="1:19" s="2" customFormat="1" ht="33">
      <c r="A506" s="429">
        <v>486</v>
      </c>
      <c r="B506" s="430" t="s">
        <v>395</v>
      </c>
      <c r="C506" s="429" t="s">
        <v>18</v>
      </c>
      <c r="D506" s="429" t="s">
        <v>7</v>
      </c>
      <c r="E506" s="429" t="s">
        <v>13</v>
      </c>
      <c r="F506" s="27">
        <v>232</v>
      </c>
      <c r="G506" s="27">
        <v>220</v>
      </c>
      <c r="H506" s="429"/>
      <c r="J506" s="277"/>
      <c r="K506" s="277"/>
      <c r="L506" s="277"/>
      <c r="M506" s="277"/>
      <c r="N506" s="277"/>
      <c r="O506" s="277"/>
      <c r="P506" s="277"/>
      <c r="Q506" s="277"/>
      <c r="R506" s="277"/>
      <c r="S506" s="277"/>
    </row>
    <row r="507" spans="1:19" s="2" customFormat="1" ht="33" customHeight="1">
      <c r="A507" s="429">
        <v>487</v>
      </c>
      <c r="B507" s="430" t="s">
        <v>590</v>
      </c>
      <c r="C507" s="429" t="s">
        <v>14</v>
      </c>
      <c r="D507" s="429" t="s">
        <v>7</v>
      </c>
      <c r="E507" s="429" t="s">
        <v>13</v>
      </c>
      <c r="F507" s="27">
        <v>232</v>
      </c>
      <c r="G507" s="27">
        <v>220</v>
      </c>
      <c r="H507" s="429"/>
      <c r="J507" s="277"/>
      <c r="K507" s="277"/>
      <c r="L507" s="277"/>
      <c r="M507" s="277"/>
      <c r="N507" s="277"/>
      <c r="O507" s="277"/>
      <c r="P507" s="277"/>
      <c r="Q507" s="277"/>
      <c r="R507" s="277"/>
      <c r="S507" s="277"/>
    </row>
    <row r="508" spans="1:19" s="2" customFormat="1" ht="33">
      <c r="A508" s="429">
        <v>488</v>
      </c>
      <c r="B508" s="430" t="s">
        <v>617</v>
      </c>
      <c r="C508" s="429" t="s">
        <v>6</v>
      </c>
      <c r="D508" s="429" t="s">
        <v>10</v>
      </c>
      <c r="E508" s="429" t="s">
        <v>13</v>
      </c>
      <c r="F508" s="27">
        <v>232</v>
      </c>
      <c r="G508" s="27">
        <v>220</v>
      </c>
      <c r="H508" s="429"/>
      <c r="J508" s="277"/>
      <c r="K508" s="277"/>
      <c r="L508" s="277"/>
      <c r="M508" s="277"/>
      <c r="N508" s="277"/>
      <c r="O508" s="277"/>
      <c r="P508" s="277"/>
      <c r="Q508" s="277"/>
      <c r="R508" s="277"/>
      <c r="S508" s="277"/>
    </row>
    <row r="509" spans="1:19" s="2" customFormat="1" ht="33" customHeight="1">
      <c r="A509" s="429">
        <v>489</v>
      </c>
      <c r="B509" s="430" t="s">
        <v>857</v>
      </c>
      <c r="C509" s="429" t="s">
        <v>16</v>
      </c>
      <c r="D509" s="429" t="s">
        <v>10</v>
      </c>
      <c r="E509" s="429" t="s">
        <v>13</v>
      </c>
      <c r="F509" s="27">
        <v>232</v>
      </c>
      <c r="G509" s="27">
        <v>220</v>
      </c>
      <c r="H509" s="429"/>
      <c r="J509" s="277"/>
      <c r="K509" s="277"/>
      <c r="L509" s="277"/>
      <c r="M509" s="277"/>
      <c r="N509" s="277"/>
      <c r="O509" s="277"/>
      <c r="P509" s="277"/>
      <c r="Q509" s="277"/>
      <c r="R509" s="277"/>
      <c r="S509" s="277"/>
    </row>
    <row r="510" spans="1:19" s="2" customFormat="1" ht="16.5" customHeight="1">
      <c r="A510" s="429">
        <v>490</v>
      </c>
      <c r="B510" s="430" t="s">
        <v>858</v>
      </c>
      <c r="C510" s="429" t="s">
        <v>15</v>
      </c>
      <c r="D510" s="429" t="s">
        <v>10</v>
      </c>
      <c r="E510" s="429" t="s">
        <v>13</v>
      </c>
      <c r="F510" s="27">
        <v>232</v>
      </c>
      <c r="G510" s="27">
        <v>220</v>
      </c>
      <c r="H510" s="429"/>
      <c r="J510" s="277"/>
      <c r="K510" s="277"/>
      <c r="L510" s="277"/>
      <c r="M510" s="277"/>
      <c r="N510" s="277"/>
      <c r="O510" s="277"/>
      <c r="P510" s="277"/>
      <c r="Q510" s="277"/>
      <c r="R510" s="277"/>
      <c r="S510" s="277"/>
    </row>
    <row r="511" spans="1:19" s="2" customFormat="1" ht="16.5" customHeight="1">
      <c r="A511" s="429">
        <v>491</v>
      </c>
      <c r="B511" s="430" t="s">
        <v>889</v>
      </c>
      <c r="C511" s="429" t="s">
        <v>15</v>
      </c>
      <c r="D511" s="429" t="s">
        <v>10</v>
      </c>
      <c r="E511" s="429" t="s">
        <v>13</v>
      </c>
      <c r="F511" s="27">
        <v>232</v>
      </c>
      <c r="G511" s="27">
        <v>220</v>
      </c>
      <c r="H511" s="429"/>
      <c r="J511" s="277"/>
      <c r="K511" s="277"/>
      <c r="L511" s="277"/>
      <c r="M511" s="277"/>
      <c r="N511" s="277"/>
      <c r="O511" s="277"/>
      <c r="P511" s="277"/>
      <c r="Q511" s="277"/>
      <c r="R511" s="277"/>
      <c r="S511" s="277"/>
    </row>
    <row r="512" spans="1:19" s="2" customFormat="1">
      <c r="A512" s="429">
        <v>492</v>
      </c>
      <c r="B512" s="430" t="s">
        <v>908</v>
      </c>
      <c r="C512" s="429" t="s">
        <v>15</v>
      </c>
      <c r="D512" s="429" t="s">
        <v>7</v>
      </c>
      <c r="E512" s="429" t="s">
        <v>13</v>
      </c>
      <c r="F512" s="27">
        <v>232</v>
      </c>
      <c r="G512" s="27">
        <v>220</v>
      </c>
      <c r="H512" s="429"/>
      <c r="J512" s="277"/>
      <c r="K512" s="277"/>
      <c r="L512" s="277"/>
      <c r="M512" s="277"/>
      <c r="N512" s="277"/>
      <c r="O512" s="277"/>
      <c r="P512" s="277"/>
      <c r="Q512" s="277"/>
      <c r="R512" s="277"/>
      <c r="S512" s="277"/>
    </row>
    <row r="513" spans="1:19" s="2" customFormat="1" ht="33" customHeight="1">
      <c r="A513" s="429">
        <v>493</v>
      </c>
      <c r="B513" s="430" t="s">
        <v>1004</v>
      </c>
      <c r="C513" s="429" t="s">
        <v>16</v>
      </c>
      <c r="D513" s="429" t="s">
        <v>10</v>
      </c>
      <c r="E513" s="429" t="s">
        <v>13</v>
      </c>
      <c r="F513" s="27">
        <v>232</v>
      </c>
      <c r="G513" s="27">
        <v>220</v>
      </c>
      <c r="H513" s="429"/>
      <c r="J513" s="277"/>
      <c r="K513" s="277"/>
      <c r="L513" s="277"/>
      <c r="M513" s="277"/>
      <c r="N513" s="277"/>
      <c r="O513" s="277"/>
      <c r="P513" s="277"/>
      <c r="Q513" s="277"/>
      <c r="R513" s="277"/>
      <c r="S513" s="277"/>
    </row>
    <row r="514" spans="1:19" s="2" customFormat="1">
      <c r="A514" s="429">
        <v>494</v>
      </c>
      <c r="B514" s="430" t="s">
        <v>301</v>
      </c>
      <c r="C514" s="429" t="s">
        <v>12</v>
      </c>
      <c r="D514" s="429" t="s">
        <v>10</v>
      </c>
      <c r="E514" s="429" t="s">
        <v>20</v>
      </c>
      <c r="F514" s="27">
        <v>220</v>
      </c>
      <c r="G514" s="27">
        <f t="shared" ref="G514:G524" si="9">F514</f>
        <v>220</v>
      </c>
      <c r="H514" s="429"/>
      <c r="J514" s="277"/>
      <c r="K514" s="277"/>
      <c r="L514" s="277"/>
      <c r="M514" s="277"/>
      <c r="N514" s="277"/>
      <c r="O514" s="277"/>
      <c r="P514" s="277"/>
      <c r="Q514" s="277"/>
      <c r="R514" s="277"/>
      <c r="S514" s="277"/>
    </row>
    <row r="515" spans="1:19" s="2" customFormat="1" ht="33" customHeight="1">
      <c r="A515" s="429">
        <v>495</v>
      </c>
      <c r="B515" s="430" t="s">
        <v>307</v>
      </c>
      <c r="C515" s="429" t="s">
        <v>12</v>
      </c>
      <c r="D515" s="429" t="s">
        <v>10</v>
      </c>
      <c r="E515" s="429" t="s">
        <v>20</v>
      </c>
      <c r="F515" s="27">
        <v>220</v>
      </c>
      <c r="G515" s="27">
        <f t="shared" si="9"/>
        <v>220</v>
      </c>
      <c r="H515" s="429"/>
      <c r="J515" s="277"/>
      <c r="K515" s="277"/>
      <c r="L515" s="277"/>
      <c r="M515" s="277"/>
      <c r="N515" s="277"/>
      <c r="O515" s="277"/>
      <c r="P515" s="277"/>
      <c r="Q515" s="277"/>
      <c r="R515" s="277"/>
      <c r="S515" s="277"/>
    </row>
    <row r="516" spans="1:19" s="2" customFormat="1" ht="16.5" customHeight="1">
      <c r="A516" s="429">
        <v>496</v>
      </c>
      <c r="B516" s="430" t="s">
        <v>398</v>
      </c>
      <c r="C516" s="429" t="s">
        <v>6</v>
      </c>
      <c r="D516" s="429" t="s">
        <v>10</v>
      </c>
      <c r="E516" s="429" t="s">
        <v>20</v>
      </c>
      <c r="F516" s="27">
        <v>220</v>
      </c>
      <c r="G516" s="27">
        <f t="shared" si="9"/>
        <v>220</v>
      </c>
      <c r="H516" s="429"/>
      <c r="J516" s="277"/>
      <c r="K516" s="277"/>
      <c r="L516" s="277"/>
      <c r="M516" s="277"/>
      <c r="N516" s="277"/>
      <c r="O516" s="277"/>
      <c r="P516" s="277"/>
      <c r="Q516" s="277"/>
      <c r="R516" s="277"/>
      <c r="S516" s="277"/>
    </row>
    <row r="517" spans="1:19" s="2" customFormat="1">
      <c r="A517" s="429">
        <v>497</v>
      </c>
      <c r="B517" s="430" t="s">
        <v>492</v>
      </c>
      <c r="C517" s="429" t="s">
        <v>14</v>
      </c>
      <c r="D517" s="429" t="s">
        <v>10</v>
      </c>
      <c r="E517" s="429" t="s">
        <v>20</v>
      </c>
      <c r="F517" s="27">
        <v>220</v>
      </c>
      <c r="G517" s="27">
        <f t="shared" si="9"/>
        <v>220</v>
      </c>
      <c r="H517" s="429"/>
      <c r="J517" s="277"/>
      <c r="K517" s="277"/>
      <c r="L517" s="277"/>
      <c r="M517" s="277"/>
      <c r="N517" s="277"/>
      <c r="O517" s="277"/>
      <c r="P517" s="277"/>
      <c r="Q517" s="277"/>
      <c r="R517" s="277"/>
      <c r="S517" s="277"/>
    </row>
    <row r="518" spans="1:19" s="2" customFormat="1" ht="16.5" customHeight="1">
      <c r="A518" s="429">
        <v>498</v>
      </c>
      <c r="B518" s="430" t="s">
        <v>530</v>
      </c>
      <c r="C518" s="429" t="s">
        <v>12</v>
      </c>
      <c r="D518" s="429" t="s">
        <v>10</v>
      </c>
      <c r="E518" s="429" t="s">
        <v>20</v>
      </c>
      <c r="F518" s="27">
        <v>220</v>
      </c>
      <c r="G518" s="27">
        <f t="shared" si="9"/>
        <v>220</v>
      </c>
      <c r="H518" s="429"/>
      <c r="J518" s="277"/>
      <c r="K518" s="277"/>
      <c r="L518" s="277"/>
      <c r="M518" s="277"/>
      <c r="N518" s="277"/>
      <c r="O518" s="277"/>
      <c r="P518" s="277"/>
      <c r="Q518" s="277"/>
      <c r="R518" s="277"/>
      <c r="S518" s="277"/>
    </row>
    <row r="519" spans="1:19" s="2" customFormat="1" ht="33">
      <c r="A519" s="429">
        <v>499</v>
      </c>
      <c r="B519" s="430" t="s">
        <v>567</v>
      </c>
      <c r="C519" s="429" t="s">
        <v>14</v>
      </c>
      <c r="D519" s="429" t="s">
        <v>10</v>
      </c>
      <c r="E519" s="429" t="s">
        <v>20</v>
      </c>
      <c r="F519" s="27">
        <v>220</v>
      </c>
      <c r="G519" s="27">
        <f t="shared" si="9"/>
        <v>220</v>
      </c>
      <c r="H519" s="429"/>
      <c r="J519" s="277"/>
      <c r="K519" s="277"/>
      <c r="L519" s="277"/>
      <c r="M519" s="277"/>
      <c r="N519" s="277"/>
      <c r="O519" s="277"/>
      <c r="P519" s="277"/>
      <c r="Q519" s="277"/>
      <c r="R519" s="277"/>
      <c r="S519" s="277"/>
    </row>
    <row r="520" spans="1:19" s="2" customFormat="1" ht="16.5" customHeight="1">
      <c r="A520" s="429">
        <v>500</v>
      </c>
      <c r="B520" s="430" t="s">
        <v>600</v>
      </c>
      <c r="C520" s="429" t="s">
        <v>12</v>
      </c>
      <c r="D520" s="429" t="s">
        <v>10</v>
      </c>
      <c r="E520" s="429" t="s">
        <v>20</v>
      </c>
      <c r="F520" s="27">
        <v>220</v>
      </c>
      <c r="G520" s="27">
        <f t="shared" si="9"/>
        <v>220</v>
      </c>
      <c r="H520" s="429"/>
      <c r="J520" s="277"/>
      <c r="K520" s="277"/>
      <c r="L520" s="277"/>
      <c r="M520" s="277"/>
      <c r="N520" s="277"/>
      <c r="O520" s="277"/>
      <c r="P520" s="277"/>
      <c r="Q520" s="277"/>
      <c r="R520" s="277"/>
      <c r="S520" s="277"/>
    </row>
    <row r="521" spans="1:19" s="2" customFormat="1" ht="16.5" customHeight="1">
      <c r="A521" s="429">
        <v>501</v>
      </c>
      <c r="B521" s="430" t="s">
        <v>680</v>
      </c>
      <c r="C521" s="429" t="s">
        <v>12</v>
      </c>
      <c r="D521" s="429" t="s">
        <v>10</v>
      </c>
      <c r="E521" s="429" t="s">
        <v>20</v>
      </c>
      <c r="F521" s="27">
        <v>220</v>
      </c>
      <c r="G521" s="27">
        <f t="shared" si="9"/>
        <v>220</v>
      </c>
      <c r="H521" s="429"/>
      <c r="J521" s="277"/>
      <c r="K521" s="277"/>
      <c r="L521" s="277"/>
      <c r="M521" s="277"/>
      <c r="N521" s="277"/>
      <c r="O521" s="277"/>
      <c r="P521" s="277"/>
      <c r="Q521" s="277"/>
      <c r="R521" s="277"/>
      <c r="S521" s="277"/>
    </row>
    <row r="522" spans="1:19" s="2" customFormat="1">
      <c r="A522" s="429">
        <v>502</v>
      </c>
      <c r="B522" s="430" t="s">
        <v>721</v>
      </c>
      <c r="C522" s="429" t="s">
        <v>12</v>
      </c>
      <c r="D522" s="429" t="s">
        <v>10</v>
      </c>
      <c r="E522" s="429" t="s">
        <v>20</v>
      </c>
      <c r="F522" s="27">
        <v>220</v>
      </c>
      <c r="G522" s="27">
        <f t="shared" si="9"/>
        <v>220</v>
      </c>
      <c r="H522" s="429"/>
      <c r="J522" s="277"/>
      <c r="K522" s="277"/>
      <c r="L522" s="277"/>
      <c r="M522" s="277"/>
      <c r="N522" s="277"/>
      <c r="O522" s="277"/>
      <c r="P522" s="277"/>
      <c r="Q522" s="277"/>
      <c r="R522" s="277"/>
      <c r="S522" s="277"/>
    </row>
    <row r="523" spans="1:19" s="6" customFormat="1">
      <c r="A523" s="429">
        <v>503</v>
      </c>
      <c r="B523" s="430" t="s">
        <v>839</v>
      </c>
      <c r="C523" s="429" t="s">
        <v>12</v>
      </c>
      <c r="D523" s="429" t="s">
        <v>10</v>
      </c>
      <c r="E523" s="429" t="s">
        <v>20</v>
      </c>
      <c r="F523" s="27">
        <v>220</v>
      </c>
      <c r="G523" s="27">
        <f t="shared" si="9"/>
        <v>220</v>
      </c>
      <c r="H523" s="429"/>
      <c r="I523" s="2"/>
      <c r="J523" s="277"/>
      <c r="K523" s="277"/>
      <c r="L523" s="277"/>
      <c r="M523" s="277"/>
      <c r="N523" s="277"/>
      <c r="O523" s="277"/>
      <c r="P523" s="277"/>
      <c r="Q523" s="277"/>
      <c r="R523" s="277"/>
      <c r="S523" s="277"/>
    </row>
    <row r="524" spans="1:19" s="2" customFormat="1" ht="43.5" customHeight="1">
      <c r="A524" s="429">
        <v>504</v>
      </c>
      <c r="B524" s="430" t="s">
        <v>840</v>
      </c>
      <c r="C524" s="429" t="s">
        <v>14</v>
      </c>
      <c r="D524" s="429" t="s">
        <v>10</v>
      </c>
      <c r="E524" s="429" t="s">
        <v>20</v>
      </c>
      <c r="F524" s="27">
        <v>220</v>
      </c>
      <c r="G524" s="27">
        <f t="shared" si="9"/>
        <v>220</v>
      </c>
      <c r="H524" s="429"/>
      <c r="J524" s="277"/>
      <c r="K524" s="277"/>
      <c r="L524" s="277"/>
      <c r="M524" s="277"/>
      <c r="N524" s="277"/>
      <c r="O524" s="277"/>
      <c r="P524" s="277"/>
      <c r="Q524" s="277"/>
      <c r="R524" s="277"/>
      <c r="S524" s="277"/>
    </row>
    <row r="525" spans="1:19" s="2" customFormat="1" ht="66">
      <c r="A525" s="429">
        <v>505</v>
      </c>
      <c r="B525" s="430" t="s">
        <v>1039</v>
      </c>
      <c r="C525" s="429" t="s">
        <v>12</v>
      </c>
      <c r="D525" s="429" t="s">
        <v>10</v>
      </c>
      <c r="E525" s="429" t="s">
        <v>20</v>
      </c>
      <c r="F525" s="27">
        <v>234</v>
      </c>
      <c r="G525" s="27">
        <v>345</v>
      </c>
      <c r="H525" s="429" t="s">
        <v>46</v>
      </c>
      <c r="J525" s="277"/>
      <c r="K525" s="277"/>
      <c r="L525" s="277"/>
      <c r="M525" s="277"/>
      <c r="N525" s="277"/>
      <c r="O525" s="277"/>
      <c r="P525" s="277"/>
      <c r="Q525" s="277"/>
      <c r="R525" s="277"/>
      <c r="S525" s="277"/>
    </row>
    <row r="526" spans="1:19" s="2" customFormat="1" ht="33">
      <c r="A526" s="429">
        <v>506</v>
      </c>
      <c r="B526" s="430" t="s">
        <v>732</v>
      </c>
      <c r="C526" s="429" t="s">
        <v>12</v>
      </c>
      <c r="D526" s="429" t="s">
        <v>7</v>
      </c>
      <c r="E526" s="429" t="s">
        <v>8</v>
      </c>
      <c r="F526" s="27">
        <v>200</v>
      </c>
      <c r="G526" s="27">
        <v>220</v>
      </c>
      <c r="H526" s="429"/>
      <c r="J526" s="277"/>
      <c r="K526" s="277"/>
      <c r="L526" s="277"/>
      <c r="M526" s="277"/>
      <c r="N526" s="277"/>
      <c r="O526" s="277"/>
      <c r="P526" s="277"/>
      <c r="Q526" s="277"/>
      <c r="R526" s="277"/>
      <c r="S526" s="277"/>
    </row>
    <row r="527" spans="1:19" s="2" customFormat="1" ht="16.5" customHeight="1">
      <c r="A527" s="429">
        <v>507</v>
      </c>
      <c r="B527" s="430" t="s">
        <v>878</v>
      </c>
      <c r="C527" s="429" t="s">
        <v>6</v>
      </c>
      <c r="D527" s="429" t="s">
        <v>7</v>
      </c>
      <c r="E527" s="429" t="s">
        <v>8</v>
      </c>
      <c r="F527" s="27">
        <v>180</v>
      </c>
      <c r="G527" s="32">
        <v>220</v>
      </c>
      <c r="H527" s="429"/>
      <c r="J527" s="277"/>
      <c r="K527" s="277"/>
      <c r="L527" s="277"/>
      <c r="M527" s="277"/>
      <c r="N527" s="277"/>
      <c r="O527" s="277"/>
      <c r="P527" s="277"/>
      <c r="Q527" s="277"/>
      <c r="R527" s="277"/>
      <c r="S527" s="277"/>
    </row>
    <row r="528" spans="1:19" s="2" customFormat="1">
      <c r="A528" s="429">
        <v>508</v>
      </c>
      <c r="B528" s="430" t="s">
        <v>515</v>
      </c>
      <c r="C528" s="429" t="s">
        <v>14</v>
      </c>
      <c r="D528" s="429" t="s">
        <v>7</v>
      </c>
      <c r="E528" s="429" t="s">
        <v>8</v>
      </c>
      <c r="F528" s="436">
        <v>220</v>
      </c>
      <c r="G528" s="27">
        <f t="shared" ref="G528:G564" si="10">F528</f>
        <v>220</v>
      </c>
      <c r="H528" s="429"/>
      <c r="J528" s="277"/>
      <c r="K528" s="277"/>
      <c r="L528" s="277"/>
      <c r="M528" s="277"/>
      <c r="N528" s="277"/>
      <c r="O528" s="277"/>
      <c r="P528" s="277"/>
      <c r="Q528" s="277"/>
      <c r="R528" s="277"/>
      <c r="S528" s="277"/>
    </row>
    <row r="529" spans="1:19" s="2" customFormat="1" ht="16.5" customHeight="1">
      <c r="A529" s="429">
        <v>509</v>
      </c>
      <c r="B529" s="430" t="s">
        <v>644</v>
      </c>
      <c r="C529" s="429" t="s">
        <v>16</v>
      </c>
      <c r="D529" s="429" t="s">
        <v>7</v>
      </c>
      <c r="E529" s="429" t="s">
        <v>8</v>
      </c>
      <c r="F529" s="27">
        <v>220</v>
      </c>
      <c r="G529" s="27">
        <f t="shared" si="10"/>
        <v>220</v>
      </c>
      <c r="H529" s="429"/>
      <c r="J529" s="277"/>
      <c r="K529" s="277"/>
      <c r="L529" s="277"/>
      <c r="M529" s="277"/>
      <c r="N529" s="277"/>
      <c r="O529" s="277"/>
      <c r="P529" s="277"/>
      <c r="Q529" s="277"/>
      <c r="R529" s="277"/>
      <c r="S529" s="277"/>
    </row>
    <row r="530" spans="1:19" s="2" customFormat="1" ht="33" customHeight="1">
      <c r="A530" s="429">
        <v>510</v>
      </c>
      <c r="B530" s="430" t="s">
        <v>775</v>
      </c>
      <c r="C530" s="429" t="s">
        <v>6</v>
      </c>
      <c r="D530" s="429" t="s">
        <v>7</v>
      </c>
      <c r="E530" s="429" t="s">
        <v>8</v>
      </c>
      <c r="F530" s="27">
        <v>220</v>
      </c>
      <c r="G530" s="27">
        <f t="shared" si="10"/>
        <v>220</v>
      </c>
      <c r="H530" s="429"/>
      <c r="J530" s="277"/>
      <c r="K530" s="277"/>
      <c r="L530" s="277"/>
      <c r="M530" s="277"/>
      <c r="N530" s="277"/>
      <c r="O530" s="277"/>
      <c r="P530" s="277"/>
      <c r="Q530" s="277"/>
      <c r="R530" s="277"/>
      <c r="S530" s="277"/>
    </row>
    <row r="531" spans="1:19" s="2" customFormat="1" ht="16.5" customHeight="1">
      <c r="A531" s="429">
        <v>511</v>
      </c>
      <c r="B531" s="430" t="s">
        <v>125</v>
      </c>
      <c r="C531" s="429"/>
      <c r="D531" s="429"/>
      <c r="E531" s="431" t="s">
        <v>8</v>
      </c>
      <c r="F531" s="440">
        <v>220</v>
      </c>
      <c r="G531" s="27">
        <f t="shared" si="10"/>
        <v>220</v>
      </c>
      <c r="H531" s="429"/>
      <c r="J531" s="277"/>
      <c r="K531" s="277"/>
      <c r="L531" s="277"/>
      <c r="M531" s="277"/>
      <c r="N531" s="277"/>
      <c r="O531" s="277"/>
      <c r="P531" s="277"/>
      <c r="Q531" s="277"/>
      <c r="R531" s="277"/>
      <c r="S531" s="277"/>
    </row>
    <row r="532" spans="1:19" s="2" customFormat="1" ht="16.5" customHeight="1">
      <c r="A532" s="429">
        <v>512</v>
      </c>
      <c r="B532" s="430" t="s">
        <v>672</v>
      </c>
      <c r="C532" s="429" t="s">
        <v>14</v>
      </c>
      <c r="D532" s="429" t="s">
        <v>10</v>
      </c>
      <c r="E532" s="429" t="s">
        <v>8</v>
      </c>
      <c r="F532" s="27">
        <v>220</v>
      </c>
      <c r="G532" s="27">
        <f t="shared" si="10"/>
        <v>220</v>
      </c>
      <c r="H532" s="429"/>
      <c r="J532" s="277"/>
      <c r="K532" s="277"/>
      <c r="L532" s="277"/>
      <c r="M532" s="277"/>
      <c r="N532" s="277"/>
      <c r="O532" s="277"/>
      <c r="P532" s="277"/>
      <c r="Q532" s="277"/>
      <c r="R532" s="277"/>
      <c r="S532" s="277"/>
    </row>
    <row r="533" spans="1:19" s="2" customFormat="1" ht="16.5" customHeight="1">
      <c r="A533" s="429">
        <v>513</v>
      </c>
      <c r="B533" s="430" t="s">
        <v>675</v>
      </c>
      <c r="C533" s="429"/>
      <c r="D533" s="429" t="s">
        <v>10</v>
      </c>
      <c r="E533" s="431" t="s">
        <v>8</v>
      </c>
      <c r="F533" s="440">
        <v>220</v>
      </c>
      <c r="G533" s="27">
        <f t="shared" si="10"/>
        <v>220</v>
      </c>
      <c r="H533" s="429"/>
      <c r="J533" s="277"/>
      <c r="K533" s="277"/>
      <c r="L533" s="277"/>
      <c r="M533" s="277"/>
      <c r="N533" s="277"/>
      <c r="O533" s="277"/>
      <c r="P533" s="277"/>
      <c r="Q533" s="277"/>
      <c r="R533" s="277"/>
      <c r="S533" s="277"/>
    </row>
    <row r="534" spans="1:19" s="2" customFormat="1" ht="33" customHeight="1">
      <c r="A534" s="429">
        <v>514</v>
      </c>
      <c r="B534" s="430" t="s">
        <v>982</v>
      </c>
      <c r="C534" s="429"/>
      <c r="D534" s="429"/>
      <c r="E534" s="443" t="s">
        <v>8</v>
      </c>
      <c r="F534" s="27">
        <v>220</v>
      </c>
      <c r="G534" s="27">
        <f t="shared" si="10"/>
        <v>220</v>
      </c>
      <c r="H534" s="429"/>
      <c r="J534" s="277"/>
      <c r="K534" s="277"/>
      <c r="L534" s="277"/>
      <c r="M534" s="277"/>
      <c r="N534" s="277"/>
      <c r="O534" s="277"/>
      <c r="P534" s="277"/>
      <c r="Q534" s="277"/>
      <c r="R534" s="277"/>
      <c r="S534" s="277"/>
    </row>
    <row r="535" spans="1:19" s="2" customFormat="1" ht="16.5" customHeight="1">
      <c r="A535" s="429">
        <v>515</v>
      </c>
      <c r="B535" s="430" t="s">
        <v>793</v>
      </c>
      <c r="C535" s="429"/>
      <c r="D535" s="429"/>
      <c r="E535" s="443" t="s">
        <v>8</v>
      </c>
      <c r="F535" s="27">
        <v>220</v>
      </c>
      <c r="G535" s="27">
        <f t="shared" si="10"/>
        <v>220</v>
      </c>
      <c r="H535" s="429"/>
      <c r="J535" s="277"/>
      <c r="K535" s="277"/>
      <c r="L535" s="277"/>
      <c r="M535" s="277"/>
      <c r="N535" s="277"/>
      <c r="O535" s="277"/>
      <c r="P535" s="277"/>
      <c r="Q535" s="277"/>
      <c r="R535" s="277"/>
      <c r="S535" s="277"/>
    </row>
    <row r="536" spans="1:19" s="2" customFormat="1" ht="33" customHeight="1">
      <c r="A536" s="429">
        <v>516</v>
      </c>
      <c r="B536" s="430" t="s">
        <v>348</v>
      </c>
      <c r="C536" s="429" t="s">
        <v>9</v>
      </c>
      <c r="D536" s="429" t="s">
        <v>7</v>
      </c>
      <c r="E536" s="443" t="s">
        <v>8</v>
      </c>
      <c r="F536" s="27">
        <v>220</v>
      </c>
      <c r="G536" s="27">
        <f t="shared" si="10"/>
        <v>220</v>
      </c>
      <c r="H536" s="429"/>
      <c r="J536" s="277"/>
      <c r="K536" s="277"/>
      <c r="L536" s="277"/>
      <c r="M536" s="277"/>
      <c r="N536" s="277"/>
      <c r="O536" s="277"/>
      <c r="P536" s="277"/>
      <c r="Q536" s="277"/>
      <c r="R536" s="277"/>
      <c r="S536" s="277"/>
    </row>
    <row r="537" spans="1:19" s="2" customFormat="1">
      <c r="A537" s="429">
        <v>517</v>
      </c>
      <c r="B537" s="430" t="s">
        <v>58</v>
      </c>
      <c r="C537" s="429" t="s">
        <v>14</v>
      </c>
      <c r="D537" s="429" t="s">
        <v>7</v>
      </c>
      <c r="E537" s="429" t="s">
        <v>8</v>
      </c>
      <c r="F537" s="436">
        <v>220</v>
      </c>
      <c r="G537" s="27">
        <f t="shared" si="10"/>
        <v>220</v>
      </c>
      <c r="H537" s="429"/>
      <c r="J537" s="277"/>
      <c r="K537" s="277"/>
      <c r="L537" s="277"/>
      <c r="M537" s="277"/>
      <c r="N537" s="277"/>
      <c r="O537" s="277"/>
      <c r="P537" s="277"/>
      <c r="Q537" s="277"/>
      <c r="R537" s="277"/>
      <c r="S537" s="277"/>
    </row>
    <row r="538" spans="1:19" s="2" customFormat="1" ht="33" customHeight="1">
      <c r="A538" s="429">
        <v>518</v>
      </c>
      <c r="B538" s="430" t="s">
        <v>75</v>
      </c>
      <c r="C538" s="429" t="s">
        <v>6</v>
      </c>
      <c r="D538" s="429" t="s">
        <v>10</v>
      </c>
      <c r="E538" s="429" t="s">
        <v>8</v>
      </c>
      <c r="F538" s="436">
        <v>220</v>
      </c>
      <c r="G538" s="27">
        <f t="shared" si="10"/>
        <v>220</v>
      </c>
      <c r="H538" s="429"/>
      <c r="J538" s="277"/>
      <c r="K538" s="277"/>
      <c r="L538" s="277"/>
      <c r="M538" s="277"/>
      <c r="N538" s="277"/>
      <c r="O538" s="277"/>
      <c r="P538" s="277"/>
      <c r="Q538" s="277"/>
      <c r="R538" s="277"/>
      <c r="S538" s="277"/>
    </row>
    <row r="539" spans="1:19" s="2" customFormat="1" ht="33">
      <c r="A539" s="429">
        <v>519</v>
      </c>
      <c r="B539" s="430" t="s">
        <v>77</v>
      </c>
      <c r="C539" s="429" t="s">
        <v>9</v>
      </c>
      <c r="D539" s="429" t="s">
        <v>7</v>
      </c>
      <c r="E539" s="438" t="s">
        <v>8</v>
      </c>
      <c r="F539" s="27">
        <v>220</v>
      </c>
      <c r="G539" s="27">
        <f t="shared" si="10"/>
        <v>220</v>
      </c>
      <c r="H539" s="429"/>
      <c r="J539" s="277"/>
      <c r="K539" s="277"/>
      <c r="L539" s="277"/>
      <c r="M539" s="277"/>
      <c r="N539" s="277"/>
      <c r="O539" s="277"/>
      <c r="P539" s="277"/>
      <c r="Q539" s="277"/>
      <c r="R539" s="277"/>
      <c r="S539" s="277"/>
    </row>
    <row r="540" spans="1:19" s="2" customFormat="1">
      <c r="A540" s="429">
        <v>520</v>
      </c>
      <c r="B540" s="430" t="s">
        <v>88</v>
      </c>
      <c r="C540" s="429" t="s">
        <v>14</v>
      </c>
      <c r="D540" s="429" t="s">
        <v>7</v>
      </c>
      <c r="E540" s="429" t="s">
        <v>8</v>
      </c>
      <c r="F540" s="27">
        <v>220</v>
      </c>
      <c r="G540" s="27">
        <f t="shared" si="10"/>
        <v>220</v>
      </c>
      <c r="H540" s="429"/>
      <c r="J540" s="277"/>
      <c r="K540" s="277"/>
      <c r="L540" s="277"/>
      <c r="M540" s="277"/>
      <c r="N540" s="277"/>
      <c r="O540" s="277"/>
      <c r="P540" s="277"/>
      <c r="Q540" s="277"/>
      <c r="R540" s="277"/>
      <c r="S540" s="277"/>
    </row>
    <row r="541" spans="1:19" s="2" customFormat="1" ht="17.100000000000001" customHeight="1">
      <c r="A541" s="429">
        <v>521</v>
      </c>
      <c r="B541" s="430" t="s">
        <v>96</v>
      </c>
      <c r="C541" s="429" t="s">
        <v>14</v>
      </c>
      <c r="D541" s="429" t="s">
        <v>7</v>
      </c>
      <c r="E541" s="429" t="s">
        <v>8</v>
      </c>
      <c r="F541" s="27">
        <v>220</v>
      </c>
      <c r="G541" s="27">
        <f t="shared" si="10"/>
        <v>220</v>
      </c>
      <c r="H541" s="429"/>
      <c r="J541" s="277"/>
      <c r="K541" s="277"/>
      <c r="L541" s="277"/>
      <c r="M541" s="277"/>
      <c r="N541" s="277"/>
      <c r="O541" s="277"/>
      <c r="P541" s="277"/>
      <c r="Q541" s="277"/>
      <c r="R541" s="277"/>
      <c r="S541" s="277"/>
    </row>
    <row r="542" spans="1:19" s="2" customFormat="1" ht="33">
      <c r="A542" s="429">
        <v>522</v>
      </c>
      <c r="B542" s="430" t="s">
        <v>98</v>
      </c>
      <c r="C542" s="429"/>
      <c r="D542" s="429" t="s">
        <v>7</v>
      </c>
      <c r="E542" s="429" t="s">
        <v>8</v>
      </c>
      <c r="F542" s="437">
        <v>220</v>
      </c>
      <c r="G542" s="27">
        <f t="shared" si="10"/>
        <v>220</v>
      </c>
      <c r="H542" s="429"/>
      <c r="J542" s="277"/>
      <c r="K542" s="277"/>
      <c r="L542" s="277"/>
      <c r="M542" s="277"/>
      <c r="N542" s="277"/>
      <c r="O542" s="277"/>
      <c r="P542" s="277"/>
      <c r="Q542" s="277"/>
      <c r="R542" s="277"/>
      <c r="S542" s="277"/>
    </row>
    <row r="543" spans="1:19" s="2" customFormat="1" ht="33">
      <c r="A543" s="429">
        <v>523</v>
      </c>
      <c r="B543" s="430" t="s">
        <v>104</v>
      </c>
      <c r="C543" s="429" t="s">
        <v>6</v>
      </c>
      <c r="D543" s="429" t="s">
        <v>7</v>
      </c>
      <c r="E543" s="429" t="s">
        <v>8</v>
      </c>
      <c r="F543" s="27">
        <v>220</v>
      </c>
      <c r="G543" s="27">
        <f t="shared" si="10"/>
        <v>220</v>
      </c>
      <c r="H543" s="429"/>
      <c r="J543" s="277"/>
      <c r="K543" s="277"/>
      <c r="L543" s="277"/>
      <c r="M543" s="277"/>
      <c r="N543" s="277"/>
      <c r="O543" s="277"/>
      <c r="P543" s="277"/>
      <c r="Q543" s="277"/>
      <c r="R543" s="277"/>
      <c r="S543" s="277"/>
    </row>
    <row r="544" spans="1:19" s="2" customFormat="1" ht="33" customHeight="1">
      <c r="A544" s="429">
        <v>524</v>
      </c>
      <c r="B544" s="430" t="s">
        <v>112</v>
      </c>
      <c r="C544" s="429"/>
      <c r="D544" s="429"/>
      <c r="E544" s="429" t="s">
        <v>8</v>
      </c>
      <c r="F544" s="436">
        <v>220</v>
      </c>
      <c r="G544" s="27">
        <f t="shared" si="10"/>
        <v>220</v>
      </c>
      <c r="H544" s="429"/>
      <c r="J544" s="277"/>
      <c r="K544" s="277"/>
      <c r="L544" s="277"/>
      <c r="M544" s="277"/>
      <c r="N544" s="277"/>
      <c r="O544" s="277"/>
      <c r="P544" s="277"/>
      <c r="Q544" s="277"/>
      <c r="R544" s="277"/>
      <c r="S544" s="277"/>
    </row>
    <row r="545" spans="1:19" s="6" customFormat="1" ht="25.5" customHeight="1">
      <c r="A545" s="429">
        <v>525</v>
      </c>
      <c r="B545" s="430" t="s">
        <v>135</v>
      </c>
      <c r="C545" s="429" t="s">
        <v>15</v>
      </c>
      <c r="D545" s="429" t="s">
        <v>7</v>
      </c>
      <c r="E545" s="438" t="s">
        <v>8</v>
      </c>
      <c r="F545" s="27">
        <v>220</v>
      </c>
      <c r="G545" s="27">
        <f t="shared" si="10"/>
        <v>220</v>
      </c>
      <c r="H545" s="429"/>
      <c r="I545" s="2"/>
      <c r="J545" s="277"/>
      <c r="K545" s="277"/>
      <c r="L545" s="277"/>
      <c r="M545" s="277"/>
      <c r="N545" s="277"/>
      <c r="O545" s="277"/>
      <c r="P545" s="277"/>
      <c r="Q545" s="277"/>
      <c r="R545" s="277"/>
      <c r="S545" s="277"/>
    </row>
    <row r="546" spans="1:19" s="2" customFormat="1">
      <c r="A546" s="429">
        <v>526</v>
      </c>
      <c r="B546" s="430" t="s">
        <v>137</v>
      </c>
      <c r="C546" s="429" t="s">
        <v>6</v>
      </c>
      <c r="D546" s="429" t="s">
        <v>7</v>
      </c>
      <c r="E546" s="429" t="s">
        <v>8</v>
      </c>
      <c r="F546" s="27">
        <v>220</v>
      </c>
      <c r="G546" s="27">
        <f t="shared" si="10"/>
        <v>220</v>
      </c>
      <c r="H546" s="429"/>
      <c r="J546" s="277"/>
      <c r="K546" s="277"/>
      <c r="L546" s="277"/>
      <c r="M546" s="277"/>
      <c r="N546" s="277"/>
      <c r="O546" s="277"/>
      <c r="P546" s="277"/>
      <c r="Q546" s="277"/>
      <c r="R546" s="277"/>
      <c r="S546" s="277"/>
    </row>
    <row r="547" spans="1:19" s="2" customFormat="1" ht="16.5" customHeight="1">
      <c r="A547" s="429">
        <v>527</v>
      </c>
      <c r="B547" s="430" t="s">
        <v>158</v>
      </c>
      <c r="C547" s="429" t="s">
        <v>9</v>
      </c>
      <c r="D547" s="429"/>
      <c r="E547" s="429" t="s">
        <v>8</v>
      </c>
      <c r="F547" s="437">
        <v>220</v>
      </c>
      <c r="G547" s="27">
        <f t="shared" si="10"/>
        <v>220</v>
      </c>
      <c r="H547" s="429"/>
      <c r="J547" s="277"/>
      <c r="K547" s="277"/>
      <c r="L547" s="278"/>
      <c r="M547" s="278"/>
      <c r="N547" s="278"/>
      <c r="O547" s="278"/>
      <c r="P547" s="278"/>
      <c r="Q547" s="278"/>
      <c r="R547" s="278"/>
      <c r="S547" s="278"/>
    </row>
    <row r="548" spans="1:19" s="2" customFormat="1" ht="33">
      <c r="A548" s="429">
        <v>528</v>
      </c>
      <c r="B548" s="430" t="s">
        <v>639</v>
      </c>
      <c r="C548" s="429" t="s">
        <v>14</v>
      </c>
      <c r="D548" s="429" t="s">
        <v>7</v>
      </c>
      <c r="E548" s="429" t="s">
        <v>8</v>
      </c>
      <c r="F548" s="27">
        <v>220</v>
      </c>
      <c r="G548" s="27">
        <f t="shared" si="10"/>
        <v>220</v>
      </c>
      <c r="H548" s="429"/>
      <c r="J548" s="277"/>
      <c r="K548" s="277"/>
      <c r="L548" s="277"/>
      <c r="M548" s="277"/>
      <c r="N548" s="277"/>
      <c r="O548" s="277"/>
      <c r="P548" s="277"/>
      <c r="Q548" s="277"/>
      <c r="R548" s="277"/>
      <c r="S548" s="277"/>
    </row>
    <row r="549" spans="1:19" s="2" customFormat="1" ht="16.5" customHeight="1">
      <c r="A549" s="429">
        <v>529</v>
      </c>
      <c r="B549" s="430" t="s">
        <v>760</v>
      </c>
      <c r="C549" s="429" t="s">
        <v>14</v>
      </c>
      <c r="D549" s="429" t="s">
        <v>7</v>
      </c>
      <c r="E549" s="429" t="s">
        <v>8</v>
      </c>
      <c r="F549" s="436">
        <v>220</v>
      </c>
      <c r="G549" s="27">
        <f t="shared" si="10"/>
        <v>220</v>
      </c>
      <c r="H549" s="429"/>
      <c r="J549" s="277"/>
      <c r="K549" s="277"/>
      <c r="L549" s="277"/>
      <c r="M549" s="277"/>
      <c r="N549" s="277"/>
      <c r="O549" s="277"/>
      <c r="P549" s="277"/>
      <c r="Q549" s="277"/>
      <c r="R549" s="277"/>
      <c r="S549" s="277"/>
    </row>
    <row r="550" spans="1:19" s="2" customFormat="1" ht="16.5" customHeight="1">
      <c r="A550" s="429">
        <v>530</v>
      </c>
      <c r="B550" s="430" t="s">
        <v>882</v>
      </c>
      <c r="C550" s="429" t="s">
        <v>18</v>
      </c>
      <c r="D550" s="429" t="s">
        <v>7</v>
      </c>
      <c r="E550" s="429" t="s">
        <v>8</v>
      </c>
      <c r="F550" s="27">
        <v>220</v>
      </c>
      <c r="G550" s="27">
        <f t="shared" si="10"/>
        <v>220</v>
      </c>
      <c r="H550" s="429"/>
      <c r="J550" s="277"/>
      <c r="K550" s="277"/>
      <c r="L550" s="277"/>
      <c r="M550" s="277"/>
      <c r="N550" s="277"/>
      <c r="O550" s="277"/>
      <c r="P550" s="277"/>
      <c r="Q550" s="277"/>
      <c r="R550" s="277"/>
      <c r="S550" s="277"/>
    </row>
    <row r="551" spans="1:19" s="2" customFormat="1" ht="33" customHeight="1">
      <c r="A551" s="429">
        <v>531</v>
      </c>
      <c r="B551" s="430" t="s">
        <v>893</v>
      </c>
      <c r="C551" s="429" t="s">
        <v>12</v>
      </c>
      <c r="D551" s="429" t="s">
        <v>7</v>
      </c>
      <c r="E551" s="431" t="s">
        <v>8</v>
      </c>
      <c r="F551" s="439">
        <v>220</v>
      </c>
      <c r="G551" s="27">
        <f t="shared" si="10"/>
        <v>220</v>
      </c>
      <c r="H551" s="429"/>
      <c r="J551" s="277"/>
      <c r="K551" s="277"/>
      <c r="L551" s="277"/>
      <c r="M551" s="277"/>
      <c r="N551" s="277"/>
      <c r="O551" s="277"/>
      <c r="P551" s="277"/>
      <c r="Q551" s="277"/>
      <c r="R551" s="277"/>
      <c r="S551" s="277"/>
    </row>
    <row r="552" spans="1:19" s="2" customFormat="1" ht="16.5" customHeight="1">
      <c r="A552" s="429">
        <v>532</v>
      </c>
      <c r="B552" s="430" t="s">
        <v>898</v>
      </c>
      <c r="C552" s="429" t="s">
        <v>12</v>
      </c>
      <c r="D552" s="429" t="s">
        <v>7</v>
      </c>
      <c r="E552" s="429" t="s">
        <v>8</v>
      </c>
      <c r="F552" s="27">
        <v>220</v>
      </c>
      <c r="G552" s="27">
        <f t="shared" si="10"/>
        <v>220</v>
      </c>
      <c r="H552" s="429"/>
      <c r="J552" s="277"/>
      <c r="K552" s="277"/>
      <c r="L552" s="277"/>
      <c r="M552" s="277"/>
      <c r="N552" s="277"/>
      <c r="O552" s="277"/>
      <c r="P552" s="277"/>
      <c r="Q552" s="277"/>
      <c r="R552" s="277"/>
      <c r="S552" s="277"/>
    </row>
    <row r="553" spans="1:19" s="2" customFormat="1" ht="16.5" customHeight="1">
      <c r="A553" s="429">
        <v>533</v>
      </c>
      <c r="B553" s="430" t="s">
        <v>901</v>
      </c>
      <c r="C553" s="429" t="s">
        <v>15</v>
      </c>
      <c r="D553" s="429" t="s">
        <v>7</v>
      </c>
      <c r="E553" s="431" t="s">
        <v>8</v>
      </c>
      <c r="F553" s="432">
        <v>220</v>
      </c>
      <c r="G553" s="27">
        <f t="shared" si="10"/>
        <v>220</v>
      </c>
      <c r="H553" s="429"/>
      <c r="J553" s="277"/>
      <c r="K553" s="277"/>
      <c r="L553" s="277"/>
      <c r="M553" s="277"/>
      <c r="N553" s="277"/>
      <c r="O553" s="277"/>
      <c r="P553" s="277"/>
      <c r="Q553" s="277"/>
      <c r="R553" s="277"/>
      <c r="S553" s="277"/>
    </row>
    <row r="554" spans="1:19" s="2" customFormat="1" ht="16.5" customHeight="1">
      <c r="A554" s="429">
        <v>534</v>
      </c>
      <c r="B554" s="430" t="s">
        <v>902</v>
      </c>
      <c r="C554" s="429"/>
      <c r="D554" s="429"/>
      <c r="E554" s="431" t="s">
        <v>8</v>
      </c>
      <c r="F554" s="432">
        <v>220</v>
      </c>
      <c r="G554" s="27">
        <f t="shared" si="10"/>
        <v>220</v>
      </c>
      <c r="H554" s="429"/>
      <c r="J554" s="277"/>
      <c r="K554" s="277"/>
      <c r="L554" s="277"/>
      <c r="M554" s="277"/>
      <c r="N554" s="277"/>
      <c r="O554" s="277"/>
      <c r="P554" s="277"/>
      <c r="Q554" s="277"/>
      <c r="R554" s="277"/>
      <c r="S554" s="277"/>
    </row>
    <row r="555" spans="1:19" s="2" customFormat="1" ht="33" customHeight="1">
      <c r="A555" s="429">
        <v>535</v>
      </c>
      <c r="B555" s="430" t="s">
        <v>916</v>
      </c>
      <c r="C555" s="429" t="s">
        <v>14</v>
      </c>
      <c r="D555" s="429" t="s">
        <v>7</v>
      </c>
      <c r="E555" s="431" t="s">
        <v>8</v>
      </c>
      <c r="F555" s="432">
        <v>220</v>
      </c>
      <c r="G555" s="27">
        <f t="shared" si="10"/>
        <v>220</v>
      </c>
      <c r="H555" s="429"/>
      <c r="J555" s="277"/>
      <c r="K555" s="277"/>
      <c r="L555" s="277"/>
      <c r="M555" s="277"/>
      <c r="N555" s="277"/>
      <c r="O555" s="277"/>
      <c r="P555" s="277"/>
      <c r="Q555" s="277"/>
      <c r="R555" s="277"/>
      <c r="S555" s="277"/>
    </row>
    <row r="556" spans="1:19" s="2" customFormat="1" ht="16.5" customHeight="1">
      <c r="A556" s="429">
        <v>536</v>
      </c>
      <c r="B556" s="430" t="s">
        <v>927</v>
      </c>
      <c r="C556" s="429" t="s">
        <v>6</v>
      </c>
      <c r="D556" s="429" t="s">
        <v>10</v>
      </c>
      <c r="E556" s="429" t="s">
        <v>8</v>
      </c>
      <c r="F556" s="27">
        <v>220</v>
      </c>
      <c r="G556" s="27">
        <f t="shared" si="10"/>
        <v>220</v>
      </c>
      <c r="H556" s="429"/>
      <c r="J556" s="277"/>
      <c r="K556" s="277"/>
      <c r="L556" s="277"/>
      <c r="M556" s="277"/>
      <c r="N556" s="277"/>
      <c r="O556" s="277"/>
      <c r="P556" s="277"/>
      <c r="Q556" s="277"/>
      <c r="R556" s="277"/>
      <c r="S556" s="277"/>
    </row>
    <row r="557" spans="1:19" s="2" customFormat="1" ht="16.5" customHeight="1">
      <c r="A557" s="429">
        <v>537</v>
      </c>
      <c r="B557" s="430" t="s">
        <v>949</v>
      </c>
      <c r="C557" s="429" t="s">
        <v>6</v>
      </c>
      <c r="D557" s="429" t="s">
        <v>7</v>
      </c>
      <c r="E557" s="431" t="s">
        <v>8</v>
      </c>
      <c r="F557" s="432">
        <v>220</v>
      </c>
      <c r="G557" s="27">
        <f t="shared" si="10"/>
        <v>220</v>
      </c>
      <c r="H557" s="429"/>
      <c r="J557" s="277"/>
      <c r="K557" s="277"/>
      <c r="L557" s="277"/>
      <c r="M557" s="277"/>
      <c r="N557" s="277"/>
      <c r="O557" s="277"/>
      <c r="P557" s="277"/>
      <c r="Q557" s="277"/>
      <c r="R557" s="277"/>
      <c r="S557" s="277"/>
    </row>
    <row r="558" spans="1:19" s="2" customFormat="1" ht="16.5" customHeight="1">
      <c r="A558" s="429">
        <v>538</v>
      </c>
      <c r="B558" s="430" t="s">
        <v>958</v>
      </c>
      <c r="C558" s="429"/>
      <c r="D558" s="429"/>
      <c r="E558" s="429" t="s">
        <v>8</v>
      </c>
      <c r="F558" s="437">
        <v>220</v>
      </c>
      <c r="G558" s="27">
        <f t="shared" si="10"/>
        <v>220</v>
      </c>
      <c r="H558" s="429"/>
      <c r="J558" s="277"/>
      <c r="K558" s="277"/>
      <c r="L558" s="277"/>
      <c r="M558" s="277"/>
      <c r="N558" s="277"/>
      <c r="O558" s="277"/>
      <c r="P558" s="277"/>
      <c r="Q558" s="277"/>
      <c r="R558" s="277"/>
      <c r="S558" s="277"/>
    </row>
    <row r="559" spans="1:19" s="2" customFormat="1" ht="33">
      <c r="A559" s="429">
        <v>539</v>
      </c>
      <c r="B559" s="430" t="s">
        <v>959</v>
      </c>
      <c r="C559" s="429" t="s">
        <v>6</v>
      </c>
      <c r="D559" s="429" t="s">
        <v>7</v>
      </c>
      <c r="E559" s="438" t="s">
        <v>8</v>
      </c>
      <c r="F559" s="27">
        <v>220</v>
      </c>
      <c r="G559" s="27">
        <f t="shared" si="10"/>
        <v>220</v>
      </c>
      <c r="H559" s="429"/>
      <c r="J559" s="277"/>
      <c r="K559" s="277"/>
      <c r="L559" s="277"/>
      <c r="M559" s="277"/>
      <c r="N559" s="277"/>
      <c r="O559" s="277"/>
      <c r="P559" s="277"/>
      <c r="Q559" s="277"/>
      <c r="R559" s="277"/>
      <c r="S559" s="277"/>
    </row>
    <row r="560" spans="1:19" s="2" customFormat="1" ht="33" customHeight="1">
      <c r="A560" s="429">
        <v>540</v>
      </c>
      <c r="B560" s="430" t="s">
        <v>968</v>
      </c>
      <c r="C560" s="429" t="s">
        <v>18</v>
      </c>
      <c r="D560" s="429" t="s">
        <v>7</v>
      </c>
      <c r="E560" s="429" t="s">
        <v>8</v>
      </c>
      <c r="F560" s="27">
        <v>220</v>
      </c>
      <c r="G560" s="27">
        <f t="shared" si="10"/>
        <v>220</v>
      </c>
      <c r="H560" s="429"/>
      <c r="J560" s="277"/>
      <c r="K560" s="277"/>
      <c r="L560" s="277"/>
      <c r="M560" s="277"/>
      <c r="N560" s="277"/>
      <c r="O560" s="277"/>
      <c r="P560" s="277"/>
      <c r="Q560" s="277"/>
      <c r="R560" s="277"/>
      <c r="S560" s="277"/>
    </row>
    <row r="561" spans="1:19" s="2" customFormat="1">
      <c r="A561" s="429">
        <v>541</v>
      </c>
      <c r="B561" s="430" t="s">
        <v>980</v>
      </c>
      <c r="C561" s="429" t="s">
        <v>12</v>
      </c>
      <c r="D561" s="429" t="s">
        <v>7</v>
      </c>
      <c r="E561" s="438" t="s">
        <v>8</v>
      </c>
      <c r="F561" s="27">
        <v>220</v>
      </c>
      <c r="G561" s="27">
        <f t="shared" si="10"/>
        <v>220</v>
      </c>
      <c r="H561" s="429"/>
      <c r="J561" s="277"/>
      <c r="K561" s="277"/>
      <c r="L561" s="277"/>
      <c r="M561" s="277"/>
      <c r="N561" s="277"/>
      <c r="O561" s="277"/>
      <c r="P561" s="277"/>
      <c r="Q561" s="277"/>
      <c r="R561" s="277"/>
      <c r="S561" s="277"/>
    </row>
    <row r="562" spans="1:19" s="2" customFormat="1" ht="15" customHeight="1">
      <c r="A562" s="429">
        <v>542</v>
      </c>
      <c r="B562" s="430" t="s">
        <v>985</v>
      </c>
      <c r="C562" s="429" t="s">
        <v>14</v>
      </c>
      <c r="D562" s="429" t="s">
        <v>10</v>
      </c>
      <c r="E562" s="429" t="s">
        <v>8</v>
      </c>
      <c r="F562" s="27">
        <v>220</v>
      </c>
      <c r="G562" s="27">
        <f t="shared" si="10"/>
        <v>220</v>
      </c>
      <c r="H562" s="429"/>
      <c r="J562" s="277"/>
      <c r="K562" s="277"/>
      <c r="L562" s="277"/>
      <c r="M562" s="277"/>
      <c r="N562" s="277"/>
      <c r="O562" s="277"/>
      <c r="P562" s="277"/>
      <c r="Q562" s="277"/>
      <c r="R562" s="277"/>
      <c r="S562" s="277"/>
    </row>
    <row r="563" spans="1:19" s="2" customFormat="1" ht="16.5" customHeight="1">
      <c r="A563" s="429">
        <v>543</v>
      </c>
      <c r="B563" s="430" t="s">
        <v>998</v>
      </c>
      <c r="C563" s="429" t="s">
        <v>14</v>
      </c>
      <c r="D563" s="429" t="s">
        <v>7</v>
      </c>
      <c r="E563" s="429" t="s">
        <v>8</v>
      </c>
      <c r="F563" s="436">
        <v>220</v>
      </c>
      <c r="G563" s="27">
        <f t="shared" si="10"/>
        <v>220</v>
      </c>
      <c r="H563" s="429"/>
      <c r="J563" s="277"/>
      <c r="K563" s="277"/>
      <c r="L563" s="277"/>
      <c r="M563" s="277"/>
      <c r="N563" s="277"/>
      <c r="O563" s="277"/>
      <c r="P563" s="277"/>
      <c r="Q563" s="277"/>
      <c r="R563" s="277"/>
      <c r="S563" s="277"/>
    </row>
    <row r="564" spans="1:19" s="2" customFormat="1" ht="33" customHeight="1">
      <c r="A564" s="429">
        <v>544</v>
      </c>
      <c r="B564" s="430" t="s">
        <v>1011</v>
      </c>
      <c r="C564" s="429"/>
      <c r="D564" s="429"/>
      <c r="E564" s="431" t="s">
        <v>8</v>
      </c>
      <c r="F564" s="432">
        <v>220</v>
      </c>
      <c r="G564" s="27">
        <f t="shared" si="10"/>
        <v>220</v>
      </c>
      <c r="H564" s="429"/>
      <c r="J564" s="277"/>
      <c r="K564" s="277"/>
      <c r="L564" s="277"/>
      <c r="M564" s="277"/>
      <c r="N564" s="277"/>
      <c r="O564" s="277"/>
      <c r="P564" s="277"/>
      <c r="Q564" s="277"/>
      <c r="R564" s="277"/>
      <c r="S564" s="277"/>
    </row>
    <row r="565" spans="1:19" s="2" customFormat="1">
      <c r="A565" s="429">
        <v>545</v>
      </c>
      <c r="B565" s="430" t="s">
        <v>870</v>
      </c>
      <c r="C565" s="429" t="s">
        <v>18</v>
      </c>
      <c r="D565" s="429" t="s">
        <v>7</v>
      </c>
      <c r="E565" s="429" t="s">
        <v>8</v>
      </c>
      <c r="F565" s="27">
        <v>232</v>
      </c>
      <c r="G565" s="27">
        <v>220</v>
      </c>
      <c r="H565" s="429"/>
      <c r="J565" s="277"/>
      <c r="K565" s="277"/>
      <c r="L565" s="277"/>
      <c r="M565" s="277"/>
      <c r="N565" s="277"/>
      <c r="O565" s="277"/>
      <c r="P565" s="277"/>
      <c r="Q565" s="277"/>
      <c r="R565" s="277"/>
      <c r="S565" s="277"/>
    </row>
    <row r="566" spans="1:19" s="2" customFormat="1" ht="33" customHeight="1">
      <c r="A566" s="429">
        <v>546</v>
      </c>
      <c r="B566" s="430" t="s">
        <v>177</v>
      </c>
      <c r="C566" s="429" t="s">
        <v>18</v>
      </c>
      <c r="D566" s="429" t="s">
        <v>7</v>
      </c>
      <c r="E566" s="429" t="s">
        <v>8</v>
      </c>
      <c r="F566" s="27">
        <v>232</v>
      </c>
      <c r="G566" s="27">
        <v>220</v>
      </c>
      <c r="H566" s="429"/>
      <c r="J566" s="277"/>
      <c r="K566" s="277"/>
      <c r="L566" s="277"/>
      <c r="M566" s="277"/>
      <c r="N566" s="277"/>
      <c r="O566" s="277"/>
      <c r="P566" s="277"/>
      <c r="Q566" s="277"/>
      <c r="R566" s="277"/>
      <c r="S566" s="277"/>
    </row>
    <row r="567" spans="1:19" s="2" customFormat="1">
      <c r="A567" s="429">
        <v>547</v>
      </c>
      <c r="B567" s="430" t="s">
        <v>928</v>
      </c>
      <c r="C567" s="429" t="s">
        <v>14</v>
      </c>
      <c r="D567" s="429" t="s">
        <v>10</v>
      </c>
      <c r="E567" s="429" t="s">
        <v>8</v>
      </c>
      <c r="F567" s="27">
        <v>232</v>
      </c>
      <c r="G567" s="27">
        <v>220</v>
      </c>
      <c r="H567" s="429"/>
      <c r="J567" s="277"/>
      <c r="K567" s="277"/>
      <c r="L567" s="277"/>
      <c r="M567" s="277"/>
      <c r="N567" s="277"/>
      <c r="O567" s="277"/>
      <c r="P567" s="277"/>
      <c r="Q567" s="277"/>
      <c r="R567" s="277"/>
      <c r="S567" s="277"/>
    </row>
    <row r="568" spans="1:19" s="2" customFormat="1">
      <c r="A568" s="429">
        <v>548</v>
      </c>
      <c r="B568" s="430" t="s">
        <v>91</v>
      </c>
      <c r="C568" s="429" t="s">
        <v>12</v>
      </c>
      <c r="D568" s="429" t="s">
        <v>7</v>
      </c>
      <c r="E568" s="429" t="s">
        <v>8</v>
      </c>
      <c r="F568" s="27">
        <v>232</v>
      </c>
      <c r="G568" s="27">
        <v>220</v>
      </c>
      <c r="H568" s="429"/>
      <c r="J568" s="277"/>
      <c r="K568" s="277"/>
      <c r="L568" s="277"/>
      <c r="M568" s="277"/>
      <c r="N568" s="277"/>
      <c r="O568" s="277"/>
      <c r="P568" s="277"/>
      <c r="Q568" s="277"/>
      <c r="R568" s="277"/>
      <c r="S568" s="277"/>
    </row>
    <row r="569" spans="1:19" s="2" customFormat="1">
      <c r="A569" s="429">
        <v>549</v>
      </c>
      <c r="B569" s="430" t="s">
        <v>138</v>
      </c>
      <c r="C569" s="429" t="s">
        <v>14</v>
      </c>
      <c r="D569" s="429" t="s">
        <v>7</v>
      </c>
      <c r="E569" s="429" t="s">
        <v>8</v>
      </c>
      <c r="F569" s="27">
        <v>232</v>
      </c>
      <c r="G569" s="27">
        <v>220</v>
      </c>
      <c r="H569" s="429"/>
      <c r="J569" s="277"/>
      <c r="K569" s="277"/>
      <c r="L569" s="277"/>
      <c r="M569" s="277"/>
      <c r="N569" s="277"/>
      <c r="O569" s="277"/>
      <c r="P569" s="277"/>
      <c r="Q569" s="277"/>
      <c r="R569" s="277"/>
      <c r="S569" s="277"/>
    </row>
    <row r="570" spans="1:19" s="2" customFormat="1">
      <c r="A570" s="429">
        <v>550</v>
      </c>
      <c r="B570" s="430" t="s">
        <v>187</v>
      </c>
      <c r="C570" s="429" t="s">
        <v>18</v>
      </c>
      <c r="D570" s="429" t="s">
        <v>7</v>
      </c>
      <c r="E570" s="429" t="s">
        <v>8</v>
      </c>
      <c r="F570" s="27">
        <v>232</v>
      </c>
      <c r="G570" s="27">
        <v>220</v>
      </c>
      <c r="H570" s="429"/>
      <c r="J570" s="277"/>
      <c r="K570" s="277"/>
      <c r="L570" s="277"/>
      <c r="M570" s="277"/>
      <c r="N570" s="277"/>
      <c r="O570" s="277"/>
      <c r="P570" s="277"/>
      <c r="Q570" s="277"/>
      <c r="R570" s="277"/>
      <c r="S570" s="277"/>
    </row>
    <row r="571" spans="1:19" s="2" customFormat="1">
      <c r="A571" s="429">
        <v>551</v>
      </c>
      <c r="B571" s="430" t="s">
        <v>199</v>
      </c>
      <c r="C571" s="429" t="s">
        <v>15</v>
      </c>
      <c r="D571" s="429" t="s">
        <v>7</v>
      </c>
      <c r="E571" s="429" t="s">
        <v>8</v>
      </c>
      <c r="F571" s="27">
        <v>232</v>
      </c>
      <c r="G571" s="27">
        <v>220</v>
      </c>
      <c r="H571" s="429"/>
      <c r="J571" s="277"/>
      <c r="K571" s="277"/>
      <c r="L571" s="277"/>
      <c r="M571" s="277"/>
      <c r="N571" s="277"/>
      <c r="O571" s="277"/>
      <c r="P571" s="277"/>
      <c r="Q571" s="277"/>
      <c r="R571" s="277"/>
      <c r="S571" s="277"/>
    </row>
    <row r="572" spans="1:19" s="2" customFormat="1">
      <c r="A572" s="429">
        <v>552</v>
      </c>
      <c r="B572" s="430" t="s">
        <v>233</v>
      </c>
      <c r="C572" s="429" t="s">
        <v>12</v>
      </c>
      <c r="D572" s="429" t="s">
        <v>10</v>
      </c>
      <c r="E572" s="429" t="s">
        <v>8</v>
      </c>
      <c r="F572" s="27">
        <v>232</v>
      </c>
      <c r="G572" s="27">
        <v>220</v>
      </c>
      <c r="H572" s="429"/>
      <c r="J572" s="277"/>
      <c r="K572" s="277"/>
      <c r="L572" s="277"/>
      <c r="M572" s="277"/>
      <c r="N572" s="277"/>
      <c r="O572" s="277"/>
      <c r="P572" s="277"/>
      <c r="Q572" s="277"/>
      <c r="R572" s="277"/>
      <c r="S572" s="277"/>
    </row>
    <row r="573" spans="1:19" s="2" customFormat="1">
      <c r="A573" s="429">
        <v>553</v>
      </c>
      <c r="B573" s="430" t="s">
        <v>419</v>
      </c>
      <c r="C573" s="429" t="s">
        <v>12</v>
      </c>
      <c r="D573" s="429" t="s">
        <v>7</v>
      </c>
      <c r="E573" s="429" t="s">
        <v>8</v>
      </c>
      <c r="F573" s="27">
        <v>232</v>
      </c>
      <c r="G573" s="27">
        <v>220</v>
      </c>
      <c r="H573" s="429"/>
      <c r="J573" s="277"/>
      <c r="K573" s="277"/>
      <c r="L573" s="277"/>
      <c r="M573" s="277"/>
      <c r="N573" s="277"/>
      <c r="O573" s="277"/>
      <c r="P573" s="277"/>
      <c r="Q573" s="277"/>
      <c r="R573" s="277"/>
      <c r="S573" s="277"/>
    </row>
    <row r="574" spans="1:19" s="2" customFormat="1" ht="33">
      <c r="A574" s="429">
        <v>554</v>
      </c>
      <c r="B574" s="430" t="s">
        <v>484</v>
      </c>
      <c r="C574" s="429" t="s">
        <v>18</v>
      </c>
      <c r="D574" s="429" t="s">
        <v>7</v>
      </c>
      <c r="E574" s="429" t="s">
        <v>8</v>
      </c>
      <c r="F574" s="27">
        <v>232</v>
      </c>
      <c r="G574" s="27">
        <v>220</v>
      </c>
      <c r="H574" s="429"/>
      <c r="J574" s="277"/>
      <c r="K574" s="277"/>
      <c r="L574" s="277"/>
      <c r="M574" s="277"/>
      <c r="N574" s="277"/>
      <c r="O574" s="277"/>
      <c r="P574" s="277"/>
      <c r="Q574" s="277"/>
      <c r="R574" s="277"/>
      <c r="S574" s="277"/>
    </row>
    <row r="575" spans="1:19" s="2" customFormat="1" ht="33">
      <c r="A575" s="429">
        <v>555</v>
      </c>
      <c r="B575" s="430" t="s">
        <v>500</v>
      </c>
      <c r="C575" s="429" t="s">
        <v>16</v>
      </c>
      <c r="D575" s="429" t="s">
        <v>10</v>
      </c>
      <c r="E575" s="429" t="s">
        <v>8</v>
      </c>
      <c r="F575" s="27">
        <v>232</v>
      </c>
      <c r="G575" s="27">
        <v>220</v>
      </c>
      <c r="H575" s="429"/>
      <c r="J575" s="277"/>
      <c r="K575" s="277"/>
      <c r="L575" s="277"/>
      <c r="M575" s="277"/>
      <c r="N575" s="277"/>
      <c r="O575" s="277"/>
      <c r="P575" s="277"/>
      <c r="Q575" s="277"/>
      <c r="R575" s="277"/>
      <c r="S575" s="277"/>
    </row>
    <row r="576" spans="1:19" s="2" customFormat="1">
      <c r="A576" s="429">
        <v>556</v>
      </c>
      <c r="B576" s="430" t="s">
        <v>516</v>
      </c>
      <c r="C576" s="429" t="s">
        <v>6</v>
      </c>
      <c r="D576" s="429" t="s">
        <v>7</v>
      </c>
      <c r="E576" s="429" t="s">
        <v>8</v>
      </c>
      <c r="F576" s="27">
        <v>232</v>
      </c>
      <c r="G576" s="27">
        <v>220</v>
      </c>
      <c r="H576" s="429"/>
      <c r="J576" s="277"/>
      <c r="K576" s="277"/>
      <c r="L576" s="278"/>
      <c r="M576" s="278"/>
      <c r="N576" s="278"/>
      <c r="O576" s="278"/>
      <c r="P576" s="278"/>
      <c r="Q576" s="278"/>
      <c r="R576" s="278"/>
      <c r="S576" s="278"/>
    </row>
    <row r="577" spans="1:19" s="2" customFormat="1" ht="33">
      <c r="A577" s="429">
        <v>557</v>
      </c>
      <c r="B577" s="430" t="s">
        <v>517</v>
      </c>
      <c r="C577" s="429" t="s">
        <v>14</v>
      </c>
      <c r="D577" s="429" t="s">
        <v>7</v>
      </c>
      <c r="E577" s="429" t="s">
        <v>8</v>
      </c>
      <c r="F577" s="27">
        <v>232</v>
      </c>
      <c r="G577" s="27">
        <v>220</v>
      </c>
      <c r="H577" s="429"/>
      <c r="J577" s="277"/>
      <c r="K577" s="277"/>
      <c r="L577" s="277"/>
      <c r="M577" s="277"/>
      <c r="N577" s="277"/>
      <c r="O577" s="277"/>
      <c r="P577" s="277"/>
      <c r="Q577" s="277"/>
      <c r="R577" s="277"/>
      <c r="S577" s="277"/>
    </row>
    <row r="578" spans="1:19" s="2" customFormat="1">
      <c r="A578" s="429">
        <v>558</v>
      </c>
      <c r="B578" s="430" t="s">
        <v>606</v>
      </c>
      <c r="C578" s="429" t="s">
        <v>6</v>
      </c>
      <c r="D578" s="429" t="s">
        <v>7</v>
      </c>
      <c r="E578" s="429" t="s">
        <v>8</v>
      </c>
      <c r="F578" s="27">
        <v>232</v>
      </c>
      <c r="G578" s="27">
        <v>220</v>
      </c>
      <c r="H578" s="429"/>
      <c r="J578" s="277"/>
      <c r="K578" s="277"/>
      <c r="L578" s="277"/>
      <c r="M578" s="277"/>
      <c r="N578" s="277"/>
      <c r="O578" s="277"/>
      <c r="P578" s="277"/>
      <c r="Q578" s="277"/>
      <c r="R578" s="277"/>
      <c r="S578" s="277"/>
    </row>
    <row r="579" spans="1:19" s="2" customFormat="1">
      <c r="A579" s="429">
        <v>559</v>
      </c>
      <c r="B579" s="430" t="s">
        <v>611</v>
      </c>
      <c r="C579" s="429" t="s">
        <v>14</v>
      </c>
      <c r="D579" s="429" t="s">
        <v>7</v>
      </c>
      <c r="E579" s="429" t="s">
        <v>8</v>
      </c>
      <c r="F579" s="27">
        <v>232</v>
      </c>
      <c r="G579" s="27">
        <v>220</v>
      </c>
      <c r="H579" s="429"/>
      <c r="J579" s="277"/>
      <c r="K579" s="277"/>
      <c r="L579" s="277"/>
      <c r="M579" s="277"/>
      <c r="N579" s="277"/>
      <c r="O579" s="277"/>
      <c r="P579" s="277"/>
      <c r="Q579" s="277"/>
      <c r="R579" s="277"/>
      <c r="S579" s="277"/>
    </row>
    <row r="580" spans="1:19" s="2" customFormat="1">
      <c r="A580" s="429">
        <v>560</v>
      </c>
      <c r="B580" s="430" t="s">
        <v>629</v>
      </c>
      <c r="C580" s="429" t="s">
        <v>18</v>
      </c>
      <c r="D580" s="429" t="s">
        <v>7</v>
      </c>
      <c r="E580" s="429" t="s">
        <v>8</v>
      </c>
      <c r="F580" s="27">
        <v>232</v>
      </c>
      <c r="G580" s="27">
        <v>220</v>
      </c>
      <c r="H580" s="429"/>
      <c r="J580" s="277"/>
      <c r="K580" s="277"/>
      <c r="L580" s="277"/>
      <c r="M580" s="277"/>
      <c r="N580" s="277"/>
      <c r="O580" s="277"/>
      <c r="P580" s="277"/>
      <c r="Q580" s="277"/>
      <c r="R580" s="277"/>
      <c r="S580" s="277"/>
    </row>
    <row r="581" spans="1:19" s="2" customFormat="1">
      <c r="A581" s="429">
        <v>561</v>
      </c>
      <c r="B581" s="430" t="s">
        <v>700</v>
      </c>
      <c r="C581" s="429" t="s">
        <v>18</v>
      </c>
      <c r="D581" s="429" t="s">
        <v>7</v>
      </c>
      <c r="E581" s="429" t="s">
        <v>8</v>
      </c>
      <c r="F581" s="27">
        <v>232</v>
      </c>
      <c r="G581" s="27">
        <v>220</v>
      </c>
      <c r="H581" s="429"/>
      <c r="J581" s="277"/>
      <c r="K581" s="277"/>
      <c r="L581" s="277"/>
      <c r="M581" s="277"/>
      <c r="N581" s="277"/>
      <c r="O581" s="277"/>
      <c r="P581" s="277"/>
      <c r="Q581" s="277"/>
      <c r="R581" s="277"/>
      <c r="S581" s="277"/>
    </row>
    <row r="582" spans="1:19" s="2" customFormat="1" ht="23.25" customHeight="1">
      <c r="A582" s="429">
        <v>562</v>
      </c>
      <c r="B582" s="430" t="s">
        <v>716</v>
      </c>
      <c r="C582" s="429" t="s">
        <v>6</v>
      </c>
      <c r="D582" s="429" t="s">
        <v>7</v>
      </c>
      <c r="E582" s="429" t="s">
        <v>8</v>
      </c>
      <c r="F582" s="27">
        <v>232</v>
      </c>
      <c r="G582" s="27">
        <v>220</v>
      </c>
      <c r="H582" s="429"/>
      <c r="J582" s="277"/>
      <c r="K582" s="277"/>
      <c r="L582" s="277"/>
      <c r="M582" s="277"/>
      <c r="N582" s="277"/>
      <c r="O582" s="277"/>
      <c r="P582" s="277"/>
      <c r="Q582" s="277"/>
      <c r="R582" s="277"/>
      <c r="S582" s="277"/>
    </row>
    <row r="583" spans="1:19" s="2" customFormat="1" ht="16.5" customHeight="1">
      <c r="A583" s="429">
        <v>563</v>
      </c>
      <c r="B583" s="430" t="s">
        <v>724</v>
      </c>
      <c r="C583" s="429" t="s">
        <v>18</v>
      </c>
      <c r="D583" s="429" t="s">
        <v>7</v>
      </c>
      <c r="E583" s="429" t="s">
        <v>8</v>
      </c>
      <c r="F583" s="27">
        <v>232</v>
      </c>
      <c r="G583" s="27">
        <v>220</v>
      </c>
      <c r="H583" s="429"/>
      <c r="J583" s="277"/>
      <c r="K583" s="277"/>
      <c r="L583" s="277"/>
      <c r="M583" s="277"/>
      <c r="N583" s="277"/>
      <c r="O583" s="277"/>
      <c r="P583" s="277"/>
      <c r="Q583" s="277"/>
      <c r="R583" s="277"/>
      <c r="S583" s="277"/>
    </row>
    <row r="584" spans="1:19" s="2" customFormat="1" ht="16.5" customHeight="1">
      <c r="A584" s="429">
        <v>564</v>
      </c>
      <c r="B584" s="430" t="s">
        <v>160</v>
      </c>
      <c r="C584" s="429" t="s">
        <v>6</v>
      </c>
      <c r="D584" s="429" t="s">
        <v>7</v>
      </c>
      <c r="E584" s="429" t="s">
        <v>8</v>
      </c>
      <c r="F584" s="27">
        <v>220</v>
      </c>
      <c r="G584" s="27">
        <f t="shared" ref="G584:G601" si="11">F584</f>
        <v>220</v>
      </c>
      <c r="H584" s="429"/>
      <c r="J584" s="277"/>
      <c r="K584" s="277"/>
      <c r="L584" s="277"/>
      <c r="M584" s="277"/>
      <c r="N584" s="277"/>
      <c r="O584" s="277"/>
      <c r="P584" s="277"/>
      <c r="Q584" s="277"/>
      <c r="R584" s="277"/>
      <c r="S584" s="277"/>
    </row>
    <row r="585" spans="1:19" s="2" customFormat="1" ht="16.5" customHeight="1">
      <c r="A585" s="429">
        <v>565</v>
      </c>
      <c r="B585" s="430" t="s">
        <v>165</v>
      </c>
      <c r="C585" s="429" t="s">
        <v>16</v>
      </c>
      <c r="D585" s="429" t="s">
        <v>7</v>
      </c>
      <c r="E585" s="429" t="s">
        <v>8</v>
      </c>
      <c r="F585" s="27">
        <v>220</v>
      </c>
      <c r="G585" s="27">
        <f t="shared" si="11"/>
        <v>220</v>
      </c>
      <c r="H585" s="429"/>
      <c r="J585" s="277"/>
      <c r="K585" s="277"/>
      <c r="L585" s="277"/>
      <c r="M585" s="277"/>
      <c r="N585" s="277"/>
      <c r="O585" s="277"/>
      <c r="P585" s="277"/>
      <c r="Q585" s="277"/>
      <c r="R585" s="277"/>
      <c r="S585" s="277"/>
    </row>
    <row r="586" spans="1:19" s="2" customFormat="1" ht="33" customHeight="1">
      <c r="A586" s="429">
        <v>566</v>
      </c>
      <c r="B586" s="430" t="s">
        <v>176</v>
      </c>
      <c r="C586" s="429" t="s">
        <v>6</v>
      </c>
      <c r="D586" s="429" t="s">
        <v>7</v>
      </c>
      <c r="E586" s="431" t="s">
        <v>8</v>
      </c>
      <c r="F586" s="432">
        <v>220</v>
      </c>
      <c r="G586" s="27">
        <f t="shared" si="11"/>
        <v>220</v>
      </c>
      <c r="H586" s="429"/>
      <c r="J586" s="277"/>
      <c r="K586" s="277"/>
      <c r="L586" s="277"/>
      <c r="M586" s="277"/>
      <c r="N586" s="277"/>
      <c r="O586" s="277"/>
      <c r="P586" s="277"/>
      <c r="Q586" s="277"/>
      <c r="R586" s="277"/>
      <c r="S586" s="277"/>
    </row>
    <row r="587" spans="1:19" s="2" customFormat="1" ht="16.5" customHeight="1">
      <c r="A587" s="429">
        <v>567</v>
      </c>
      <c r="B587" s="430" t="s">
        <v>185</v>
      </c>
      <c r="C587" s="429"/>
      <c r="D587" s="429"/>
      <c r="E587" s="431" t="s">
        <v>8</v>
      </c>
      <c r="F587" s="440">
        <v>220</v>
      </c>
      <c r="G587" s="27">
        <f t="shared" si="11"/>
        <v>220</v>
      </c>
      <c r="H587" s="429"/>
      <c r="J587" s="277"/>
      <c r="K587" s="277"/>
      <c r="L587" s="277"/>
      <c r="M587" s="277"/>
      <c r="N587" s="277"/>
      <c r="O587" s="277"/>
      <c r="P587" s="277"/>
      <c r="Q587" s="277"/>
      <c r="R587" s="277"/>
      <c r="S587" s="277"/>
    </row>
    <row r="588" spans="1:19" s="2" customFormat="1">
      <c r="A588" s="429">
        <v>568</v>
      </c>
      <c r="B588" s="430" t="s">
        <v>200</v>
      </c>
      <c r="C588" s="429"/>
      <c r="D588" s="429" t="s">
        <v>10</v>
      </c>
      <c r="E588" s="431" t="s">
        <v>8</v>
      </c>
      <c r="F588" s="440">
        <v>220</v>
      </c>
      <c r="G588" s="27">
        <f t="shared" si="11"/>
        <v>220</v>
      </c>
      <c r="H588" s="429"/>
      <c r="J588" s="277"/>
      <c r="K588" s="277"/>
      <c r="L588" s="277"/>
      <c r="M588" s="277"/>
      <c r="N588" s="277"/>
      <c r="O588" s="277"/>
      <c r="P588" s="277"/>
      <c r="Q588" s="277"/>
      <c r="R588" s="277"/>
      <c r="S588" s="277"/>
    </row>
    <row r="589" spans="1:19" s="2" customFormat="1" ht="33" customHeight="1">
      <c r="A589" s="429">
        <v>569</v>
      </c>
      <c r="B589" s="430" t="s">
        <v>205</v>
      </c>
      <c r="C589" s="429" t="s">
        <v>6</v>
      </c>
      <c r="D589" s="429" t="s">
        <v>7</v>
      </c>
      <c r="E589" s="429" t="s">
        <v>8</v>
      </c>
      <c r="F589" s="27">
        <v>220</v>
      </c>
      <c r="G589" s="27">
        <f t="shared" si="11"/>
        <v>220</v>
      </c>
      <c r="H589" s="429"/>
      <c r="J589" s="277"/>
      <c r="K589" s="277"/>
      <c r="L589" s="277"/>
      <c r="M589" s="277"/>
      <c r="N589" s="277"/>
      <c r="O589" s="277"/>
      <c r="P589" s="277"/>
      <c r="Q589" s="277"/>
      <c r="R589" s="277"/>
      <c r="S589" s="277"/>
    </row>
    <row r="590" spans="1:19" s="2" customFormat="1">
      <c r="A590" s="429">
        <v>570</v>
      </c>
      <c r="B590" s="430" t="s">
        <v>211</v>
      </c>
      <c r="C590" s="444" t="s">
        <v>18</v>
      </c>
      <c r="D590" s="444" t="s">
        <v>10</v>
      </c>
      <c r="E590" s="444" t="s">
        <v>8</v>
      </c>
      <c r="F590" s="42">
        <v>220</v>
      </c>
      <c r="G590" s="27">
        <f t="shared" si="11"/>
        <v>220</v>
      </c>
      <c r="H590" s="429"/>
      <c r="J590" s="277"/>
      <c r="K590" s="277"/>
      <c r="L590" s="277"/>
      <c r="M590" s="277"/>
      <c r="N590" s="277"/>
      <c r="O590" s="277"/>
      <c r="P590" s="277"/>
      <c r="Q590" s="277"/>
      <c r="R590" s="277"/>
      <c r="S590" s="277"/>
    </row>
    <row r="591" spans="1:19" s="2" customFormat="1" ht="33" customHeight="1">
      <c r="A591" s="429">
        <v>571</v>
      </c>
      <c r="B591" s="430" t="s">
        <v>212</v>
      </c>
      <c r="C591" s="429" t="s">
        <v>6</v>
      </c>
      <c r="D591" s="429" t="s">
        <v>7</v>
      </c>
      <c r="E591" s="429" t="s">
        <v>8</v>
      </c>
      <c r="F591" s="27">
        <v>220</v>
      </c>
      <c r="G591" s="27">
        <f t="shared" si="11"/>
        <v>220</v>
      </c>
      <c r="H591" s="429"/>
      <c r="J591" s="277"/>
      <c r="K591" s="277"/>
      <c r="L591" s="277"/>
      <c r="M591" s="277"/>
      <c r="N591" s="277"/>
      <c r="O591" s="277"/>
      <c r="P591" s="277"/>
      <c r="Q591" s="277"/>
      <c r="R591" s="277"/>
      <c r="S591" s="277"/>
    </row>
    <row r="592" spans="1:19" s="2" customFormat="1" ht="33" customHeight="1">
      <c r="A592" s="429">
        <v>572</v>
      </c>
      <c r="B592" s="430" t="s">
        <v>213</v>
      </c>
      <c r="C592" s="429" t="s">
        <v>14</v>
      </c>
      <c r="D592" s="429" t="s">
        <v>10</v>
      </c>
      <c r="E592" s="429" t="s">
        <v>8</v>
      </c>
      <c r="F592" s="27">
        <v>220</v>
      </c>
      <c r="G592" s="27">
        <f t="shared" si="11"/>
        <v>220</v>
      </c>
      <c r="H592" s="429"/>
      <c r="J592" s="277"/>
      <c r="K592" s="277"/>
      <c r="L592" s="277"/>
      <c r="M592" s="277"/>
      <c r="N592" s="277"/>
      <c r="O592" s="277"/>
      <c r="P592" s="277"/>
      <c r="Q592" s="277"/>
      <c r="R592" s="277"/>
      <c r="S592" s="277"/>
    </row>
    <row r="593" spans="1:19" s="2" customFormat="1" ht="33">
      <c r="A593" s="429">
        <v>573</v>
      </c>
      <c r="B593" s="430" t="s">
        <v>216</v>
      </c>
      <c r="C593" s="429" t="s">
        <v>16</v>
      </c>
      <c r="D593" s="429" t="s">
        <v>10</v>
      </c>
      <c r="E593" s="429" t="s">
        <v>8</v>
      </c>
      <c r="F593" s="27">
        <v>220</v>
      </c>
      <c r="G593" s="27">
        <f t="shared" si="11"/>
        <v>220</v>
      </c>
      <c r="H593" s="429"/>
      <c r="J593" s="277"/>
      <c r="K593" s="277"/>
      <c r="L593" s="277"/>
      <c r="M593" s="277"/>
      <c r="N593" s="277"/>
      <c r="O593" s="277"/>
      <c r="P593" s="277"/>
      <c r="Q593" s="277"/>
      <c r="R593" s="277"/>
      <c r="S593" s="277"/>
    </row>
    <row r="594" spans="1:19" s="2" customFormat="1" ht="16.5" customHeight="1">
      <c r="A594" s="429">
        <v>574</v>
      </c>
      <c r="B594" s="430" t="s">
        <v>238</v>
      </c>
      <c r="C594" s="429" t="s">
        <v>12</v>
      </c>
      <c r="D594" s="429" t="s">
        <v>10</v>
      </c>
      <c r="E594" s="429" t="s">
        <v>8</v>
      </c>
      <c r="F594" s="27">
        <v>220</v>
      </c>
      <c r="G594" s="27">
        <f t="shared" si="11"/>
        <v>220</v>
      </c>
      <c r="H594" s="429"/>
      <c r="J594" s="277"/>
      <c r="K594" s="277"/>
      <c r="L594" s="277"/>
      <c r="M594" s="277"/>
      <c r="N594" s="277"/>
      <c r="O594" s="277"/>
      <c r="P594" s="277"/>
      <c r="Q594" s="277"/>
      <c r="R594" s="277"/>
      <c r="S594" s="277"/>
    </row>
    <row r="595" spans="1:19" s="2" customFormat="1" ht="16.5" customHeight="1">
      <c r="A595" s="429">
        <v>575</v>
      </c>
      <c r="B595" s="430" t="s">
        <v>240</v>
      </c>
      <c r="C595" s="429"/>
      <c r="D595" s="429"/>
      <c r="E595" s="431" t="s">
        <v>8</v>
      </c>
      <c r="F595" s="439">
        <v>220</v>
      </c>
      <c r="G595" s="27">
        <f t="shared" si="11"/>
        <v>220</v>
      </c>
      <c r="H595" s="429"/>
      <c r="J595" s="277"/>
      <c r="K595" s="277"/>
      <c r="L595" s="277"/>
      <c r="M595" s="277"/>
      <c r="N595" s="277"/>
      <c r="O595" s="277"/>
      <c r="P595" s="277"/>
      <c r="Q595" s="277"/>
      <c r="R595" s="277"/>
      <c r="S595" s="277"/>
    </row>
    <row r="596" spans="1:19" s="2" customFormat="1" ht="33">
      <c r="A596" s="429">
        <v>576</v>
      </c>
      <c r="B596" s="430" t="s">
        <v>250</v>
      </c>
      <c r="C596" s="429" t="s">
        <v>14</v>
      </c>
      <c r="D596" s="429" t="s">
        <v>7</v>
      </c>
      <c r="E596" s="438" t="s">
        <v>8</v>
      </c>
      <c r="F596" s="27">
        <v>220</v>
      </c>
      <c r="G596" s="27">
        <f t="shared" si="11"/>
        <v>220</v>
      </c>
      <c r="H596" s="429"/>
      <c r="J596" s="277"/>
      <c r="K596" s="277"/>
      <c r="L596" s="277"/>
      <c r="M596" s="277"/>
      <c r="N596" s="277"/>
      <c r="O596" s="277"/>
      <c r="P596" s="277"/>
      <c r="Q596" s="277"/>
      <c r="R596" s="277"/>
      <c r="S596" s="277"/>
    </row>
    <row r="597" spans="1:19" s="2" customFormat="1" ht="33" customHeight="1">
      <c r="A597" s="429">
        <v>577</v>
      </c>
      <c r="B597" s="430" t="s">
        <v>253</v>
      </c>
      <c r="C597" s="429" t="s">
        <v>6</v>
      </c>
      <c r="D597" s="429" t="s">
        <v>7</v>
      </c>
      <c r="E597" s="429" t="s">
        <v>8</v>
      </c>
      <c r="F597" s="27">
        <v>220</v>
      </c>
      <c r="G597" s="27">
        <f t="shared" si="11"/>
        <v>220</v>
      </c>
      <c r="H597" s="429"/>
      <c r="J597" s="277"/>
      <c r="K597" s="277"/>
      <c r="L597" s="277"/>
      <c r="M597" s="277"/>
      <c r="N597" s="277"/>
      <c r="O597" s="277"/>
      <c r="P597" s="277"/>
      <c r="Q597" s="277"/>
      <c r="R597" s="277"/>
      <c r="S597" s="277"/>
    </row>
    <row r="598" spans="1:19" s="2" customFormat="1" ht="33">
      <c r="A598" s="429">
        <v>578</v>
      </c>
      <c r="B598" s="430" t="s">
        <v>257</v>
      </c>
      <c r="C598" s="429" t="s">
        <v>14</v>
      </c>
      <c r="D598" s="429" t="s">
        <v>7</v>
      </c>
      <c r="E598" s="438" t="s">
        <v>8</v>
      </c>
      <c r="F598" s="27">
        <v>220</v>
      </c>
      <c r="G598" s="27">
        <f t="shared" si="11"/>
        <v>220</v>
      </c>
      <c r="H598" s="429"/>
      <c r="J598" s="277"/>
      <c r="K598" s="277"/>
      <c r="L598" s="277"/>
      <c r="M598" s="277"/>
      <c r="N598" s="277"/>
      <c r="O598" s="277"/>
      <c r="P598" s="277"/>
      <c r="Q598" s="277"/>
      <c r="R598" s="277"/>
      <c r="S598" s="277"/>
    </row>
    <row r="599" spans="1:19" s="2" customFormat="1">
      <c r="A599" s="429">
        <v>579</v>
      </c>
      <c r="B599" s="430" t="s">
        <v>260</v>
      </c>
      <c r="C599" s="429" t="s">
        <v>18</v>
      </c>
      <c r="D599" s="429" t="s">
        <v>7</v>
      </c>
      <c r="E599" s="429" t="s">
        <v>8</v>
      </c>
      <c r="F599" s="27">
        <v>220</v>
      </c>
      <c r="G599" s="27">
        <f t="shared" si="11"/>
        <v>220</v>
      </c>
      <c r="H599" s="429"/>
      <c r="J599" s="277"/>
      <c r="K599" s="277"/>
      <c r="L599" s="277"/>
      <c r="M599" s="277"/>
      <c r="N599" s="277"/>
      <c r="O599" s="277"/>
      <c r="P599" s="277"/>
      <c r="Q599" s="277"/>
      <c r="R599" s="277"/>
      <c r="S599" s="277"/>
    </row>
    <row r="600" spans="1:19" s="2" customFormat="1" ht="33">
      <c r="A600" s="429">
        <v>580</v>
      </c>
      <c r="B600" s="430" t="s">
        <v>261</v>
      </c>
      <c r="C600" s="429"/>
      <c r="D600" s="429" t="s">
        <v>7</v>
      </c>
      <c r="E600" s="429" t="s">
        <v>8</v>
      </c>
      <c r="F600" s="437">
        <v>220</v>
      </c>
      <c r="G600" s="27">
        <f t="shared" si="11"/>
        <v>220</v>
      </c>
      <c r="H600" s="429"/>
      <c r="J600" s="277"/>
      <c r="K600" s="277"/>
      <c r="L600" s="277"/>
      <c r="M600" s="277"/>
      <c r="N600" s="277"/>
      <c r="O600" s="277"/>
      <c r="P600" s="277"/>
      <c r="Q600" s="277"/>
      <c r="R600" s="277"/>
      <c r="S600" s="277"/>
    </row>
    <row r="601" spans="1:19" s="2" customFormat="1" ht="33">
      <c r="A601" s="429">
        <v>581</v>
      </c>
      <c r="B601" s="430" t="s">
        <v>612</v>
      </c>
      <c r="C601" s="429" t="s">
        <v>6</v>
      </c>
      <c r="D601" s="429" t="s">
        <v>7</v>
      </c>
      <c r="E601" s="429" t="s">
        <v>8</v>
      </c>
      <c r="F601" s="27">
        <v>220</v>
      </c>
      <c r="G601" s="27">
        <f t="shared" si="11"/>
        <v>220</v>
      </c>
      <c r="H601" s="429"/>
      <c r="J601" s="277"/>
      <c r="K601" s="277"/>
      <c r="L601" s="277"/>
      <c r="M601" s="277"/>
      <c r="N601" s="277"/>
      <c r="O601" s="277"/>
      <c r="P601" s="277"/>
      <c r="Q601" s="277"/>
      <c r="R601" s="277"/>
      <c r="S601" s="277"/>
    </row>
    <row r="602" spans="1:19" s="2" customFormat="1" ht="33">
      <c r="A602" s="429">
        <v>582</v>
      </c>
      <c r="B602" s="430" t="s">
        <v>63</v>
      </c>
      <c r="C602" s="429" t="s">
        <v>12</v>
      </c>
      <c r="D602" s="429" t="s">
        <v>10</v>
      </c>
      <c r="E602" s="429" t="s">
        <v>8</v>
      </c>
      <c r="F602" s="27">
        <v>232</v>
      </c>
      <c r="G602" s="27">
        <v>220</v>
      </c>
      <c r="H602" s="429"/>
      <c r="J602" s="277"/>
      <c r="K602" s="277"/>
      <c r="L602" s="277"/>
      <c r="M602" s="277"/>
      <c r="N602" s="277"/>
      <c r="O602" s="277"/>
      <c r="P602" s="277"/>
      <c r="Q602" s="277"/>
      <c r="R602" s="277"/>
      <c r="S602" s="277"/>
    </row>
    <row r="603" spans="1:19" s="2" customFormat="1">
      <c r="A603" s="429">
        <v>583</v>
      </c>
      <c r="B603" s="430" t="s">
        <v>768</v>
      </c>
      <c r="C603" s="429" t="s">
        <v>18</v>
      </c>
      <c r="D603" s="429" t="s">
        <v>7</v>
      </c>
      <c r="E603" s="429" t="s">
        <v>8</v>
      </c>
      <c r="F603" s="27">
        <v>232</v>
      </c>
      <c r="G603" s="27">
        <v>220</v>
      </c>
      <c r="H603" s="429"/>
      <c r="J603" s="277"/>
      <c r="K603" s="277"/>
      <c r="L603" s="277"/>
      <c r="M603" s="277"/>
      <c r="N603" s="277"/>
      <c r="O603" s="277"/>
      <c r="P603" s="277"/>
      <c r="Q603" s="277"/>
      <c r="R603" s="277"/>
      <c r="S603" s="277"/>
    </row>
    <row r="604" spans="1:19" s="2" customFormat="1" ht="33">
      <c r="A604" s="429">
        <v>584</v>
      </c>
      <c r="B604" s="430" t="s">
        <v>873</v>
      </c>
      <c r="C604" s="429" t="s">
        <v>14</v>
      </c>
      <c r="D604" s="429" t="s">
        <v>7</v>
      </c>
      <c r="E604" s="429" t="s">
        <v>8</v>
      </c>
      <c r="F604" s="27">
        <v>232</v>
      </c>
      <c r="G604" s="27">
        <v>220</v>
      </c>
      <c r="H604" s="429"/>
      <c r="J604" s="277"/>
      <c r="K604" s="277"/>
      <c r="L604" s="277"/>
      <c r="M604" s="277"/>
      <c r="N604" s="277"/>
      <c r="O604" s="277"/>
      <c r="P604" s="277"/>
      <c r="Q604" s="277"/>
      <c r="R604" s="277"/>
      <c r="S604" s="277"/>
    </row>
    <row r="605" spans="1:19" s="2" customFormat="1">
      <c r="A605" s="429">
        <v>585</v>
      </c>
      <c r="B605" s="430" t="s">
        <v>909</v>
      </c>
      <c r="C605" s="429" t="s">
        <v>18</v>
      </c>
      <c r="D605" s="429" t="s">
        <v>7</v>
      </c>
      <c r="E605" s="429" t="s">
        <v>8</v>
      </c>
      <c r="F605" s="27">
        <v>232</v>
      </c>
      <c r="G605" s="27">
        <v>220</v>
      </c>
      <c r="H605" s="429"/>
      <c r="J605" s="277"/>
      <c r="K605" s="277"/>
      <c r="L605" s="277"/>
      <c r="M605" s="277"/>
      <c r="N605" s="277"/>
      <c r="O605" s="277"/>
      <c r="P605" s="277"/>
      <c r="Q605" s="277"/>
      <c r="R605" s="277"/>
      <c r="S605" s="277"/>
    </row>
    <row r="606" spans="1:19" s="2" customFormat="1" ht="33">
      <c r="A606" s="429">
        <v>586</v>
      </c>
      <c r="B606" s="430" t="s">
        <v>952</v>
      </c>
      <c r="C606" s="429" t="s">
        <v>15</v>
      </c>
      <c r="D606" s="429" t="s">
        <v>10</v>
      </c>
      <c r="E606" s="429" t="s">
        <v>8</v>
      </c>
      <c r="F606" s="27">
        <v>232</v>
      </c>
      <c r="G606" s="27">
        <v>220</v>
      </c>
      <c r="H606" s="429"/>
      <c r="J606" s="277"/>
      <c r="K606" s="277"/>
      <c r="L606" s="277"/>
      <c r="M606" s="277"/>
      <c r="N606" s="277"/>
      <c r="O606" s="277"/>
      <c r="P606" s="277"/>
      <c r="Q606" s="277"/>
      <c r="R606" s="277"/>
      <c r="S606" s="277"/>
    </row>
    <row r="607" spans="1:19" s="2" customFormat="1">
      <c r="A607" s="429">
        <v>587</v>
      </c>
      <c r="B607" s="430" t="s">
        <v>1007</v>
      </c>
      <c r="C607" s="429" t="s">
        <v>14</v>
      </c>
      <c r="D607" s="429" t="s">
        <v>10</v>
      </c>
      <c r="E607" s="429" t="s">
        <v>8</v>
      </c>
      <c r="F607" s="27">
        <v>232</v>
      </c>
      <c r="G607" s="27">
        <v>220</v>
      </c>
      <c r="H607" s="429"/>
      <c r="J607" s="277"/>
      <c r="K607" s="277"/>
      <c r="L607" s="277"/>
      <c r="M607" s="277"/>
      <c r="N607" s="277"/>
      <c r="O607" s="277"/>
      <c r="P607" s="277"/>
      <c r="Q607" s="277"/>
      <c r="R607" s="277"/>
      <c r="S607" s="277"/>
    </row>
    <row r="608" spans="1:19" s="2" customFormat="1" ht="33">
      <c r="A608" s="429">
        <v>588</v>
      </c>
      <c r="B608" s="430" t="s">
        <v>806</v>
      </c>
      <c r="C608" s="429" t="s">
        <v>6</v>
      </c>
      <c r="D608" s="429" t="s">
        <v>7</v>
      </c>
      <c r="E608" s="429" t="s">
        <v>8</v>
      </c>
      <c r="F608" s="437">
        <v>220</v>
      </c>
      <c r="G608" s="27">
        <f>F608</f>
        <v>220</v>
      </c>
      <c r="H608" s="429"/>
      <c r="J608" s="277"/>
      <c r="K608" s="277"/>
      <c r="L608" s="277"/>
      <c r="M608" s="277"/>
      <c r="N608" s="277"/>
      <c r="O608" s="277"/>
      <c r="P608" s="277"/>
      <c r="Q608" s="277"/>
      <c r="R608" s="277"/>
      <c r="S608" s="277"/>
    </row>
    <row r="609" spans="1:19" s="2" customFormat="1">
      <c r="A609" s="429">
        <v>589</v>
      </c>
      <c r="B609" s="430" t="s">
        <v>816</v>
      </c>
      <c r="C609" s="429" t="s">
        <v>15</v>
      </c>
      <c r="D609" s="429" t="s">
        <v>10</v>
      </c>
      <c r="E609" s="429" t="s">
        <v>8</v>
      </c>
      <c r="F609" s="27">
        <v>232</v>
      </c>
      <c r="G609" s="27">
        <v>220</v>
      </c>
      <c r="H609" s="429"/>
      <c r="J609" s="277"/>
      <c r="K609" s="277"/>
      <c r="L609" s="277"/>
      <c r="M609" s="277"/>
      <c r="N609" s="277"/>
      <c r="O609" s="277"/>
      <c r="P609" s="277"/>
      <c r="Q609" s="277"/>
      <c r="R609" s="277"/>
      <c r="S609" s="277"/>
    </row>
    <row r="610" spans="1:19" s="2" customFormat="1" ht="16.5" customHeight="1">
      <c r="A610" s="429">
        <v>590</v>
      </c>
      <c r="B610" s="430" t="s">
        <v>268</v>
      </c>
      <c r="C610" s="429" t="s">
        <v>6</v>
      </c>
      <c r="D610" s="429" t="s">
        <v>7</v>
      </c>
      <c r="E610" s="429" t="s">
        <v>8</v>
      </c>
      <c r="F610" s="27">
        <v>220</v>
      </c>
      <c r="G610" s="27">
        <f t="shared" ref="G610:G641" si="12">F610</f>
        <v>220</v>
      </c>
      <c r="H610" s="429"/>
      <c r="J610" s="277"/>
      <c r="K610" s="277"/>
      <c r="L610" s="277"/>
      <c r="M610" s="277"/>
      <c r="N610" s="277"/>
      <c r="O610" s="277"/>
      <c r="P610" s="277"/>
      <c r="Q610" s="277"/>
      <c r="R610" s="277"/>
      <c r="S610" s="277"/>
    </row>
    <row r="611" spans="1:19" s="2" customFormat="1" ht="33">
      <c r="A611" s="429">
        <v>591</v>
      </c>
      <c r="B611" s="430" t="s">
        <v>291</v>
      </c>
      <c r="C611" s="429" t="s">
        <v>12</v>
      </c>
      <c r="D611" s="429" t="s">
        <v>7</v>
      </c>
      <c r="E611" s="429" t="s">
        <v>8</v>
      </c>
      <c r="F611" s="27">
        <v>220</v>
      </c>
      <c r="G611" s="27">
        <f t="shared" si="12"/>
        <v>220</v>
      </c>
      <c r="H611" s="429"/>
      <c r="J611" s="277"/>
      <c r="K611" s="277"/>
      <c r="L611" s="277"/>
      <c r="M611" s="277"/>
      <c r="N611" s="277"/>
      <c r="O611" s="277"/>
      <c r="P611" s="277"/>
      <c r="Q611" s="277"/>
      <c r="R611" s="277"/>
      <c r="S611" s="277"/>
    </row>
    <row r="612" spans="1:19" s="2" customFormat="1">
      <c r="A612" s="429">
        <v>592</v>
      </c>
      <c r="B612" s="430" t="s">
        <v>373</v>
      </c>
      <c r="C612" s="429" t="s">
        <v>14</v>
      </c>
      <c r="D612" s="429" t="s">
        <v>7</v>
      </c>
      <c r="E612" s="429" t="s">
        <v>8</v>
      </c>
      <c r="F612" s="27">
        <v>220</v>
      </c>
      <c r="G612" s="27">
        <f t="shared" si="12"/>
        <v>220</v>
      </c>
      <c r="H612" s="429"/>
      <c r="J612" s="277"/>
      <c r="K612" s="277"/>
      <c r="L612" s="277"/>
      <c r="M612" s="277"/>
      <c r="N612" s="277"/>
      <c r="O612" s="277"/>
      <c r="P612" s="277"/>
      <c r="Q612" s="277"/>
      <c r="R612" s="277"/>
      <c r="S612" s="277"/>
    </row>
    <row r="613" spans="1:19" s="2" customFormat="1">
      <c r="A613" s="429">
        <v>593</v>
      </c>
      <c r="B613" s="430" t="s">
        <v>378</v>
      </c>
      <c r="C613" s="429" t="s">
        <v>18</v>
      </c>
      <c r="D613" s="429" t="s">
        <v>7</v>
      </c>
      <c r="E613" s="429" t="s">
        <v>8</v>
      </c>
      <c r="F613" s="27">
        <v>220</v>
      </c>
      <c r="G613" s="27">
        <f t="shared" si="12"/>
        <v>220</v>
      </c>
      <c r="H613" s="429"/>
      <c r="J613" s="277"/>
      <c r="K613" s="277"/>
      <c r="L613" s="277"/>
      <c r="M613" s="277"/>
      <c r="N613" s="277"/>
      <c r="O613" s="277"/>
      <c r="P613" s="277"/>
      <c r="Q613" s="277"/>
      <c r="R613" s="277"/>
      <c r="S613" s="277"/>
    </row>
    <row r="614" spans="1:19" s="6" customFormat="1">
      <c r="A614" s="429">
        <v>594</v>
      </c>
      <c r="B614" s="430" t="s">
        <v>403</v>
      </c>
      <c r="C614" s="429" t="s">
        <v>6</v>
      </c>
      <c r="D614" s="429" t="s">
        <v>7</v>
      </c>
      <c r="E614" s="429" t="s">
        <v>8</v>
      </c>
      <c r="F614" s="27">
        <v>220</v>
      </c>
      <c r="G614" s="27">
        <f t="shared" si="12"/>
        <v>220</v>
      </c>
      <c r="H614" s="429"/>
      <c r="I614" s="2"/>
      <c r="J614" s="277"/>
      <c r="K614" s="277"/>
      <c r="L614" s="277"/>
      <c r="M614" s="277"/>
      <c r="N614" s="277"/>
      <c r="O614" s="277"/>
      <c r="P614" s="277"/>
      <c r="Q614" s="277"/>
      <c r="R614" s="277"/>
      <c r="S614" s="277"/>
    </row>
    <row r="615" spans="1:19" s="2" customFormat="1">
      <c r="A615" s="429">
        <v>595</v>
      </c>
      <c r="B615" s="430" t="s">
        <v>414</v>
      </c>
      <c r="C615" s="429" t="s">
        <v>18</v>
      </c>
      <c r="D615" s="429" t="s">
        <v>7</v>
      </c>
      <c r="E615" s="429" t="s">
        <v>8</v>
      </c>
      <c r="F615" s="27">
        <v>220</v>
      </c>
      <c r="G615" s="27">
        <f t="shared" si="12"/>
        <v>220</v>
      </c>
      <c r="H615" s="429"/>
      <c r="J615" s="277"/>
      <c r="K615" s="277"/>
      <c r="L615" s="277"/>
      <c r="M615" s="277"/>
      <c r="N615" s="277"/>
      <c r="O615" s="277"/>
      <c r="P615" s="277"/>
      <c r="Q615" s="277"/>
      <c r="R615" s="277"/>
      <c r="S615" s="277"/>
    </row>
    <row r="616" spans="1:19" s="2" customFormat="1" ht="33">
      <c r="A616" s="429">
        <v>596</v>
      </c>
      <c r="B616" s="430" t="s">
        <v>418</v>
      </c>
      <c r="C616" s="429" t="s">
        <v>6</v>
      </c>
      <c r="D616" s="429" t="s">
        <v>7</v>
      </c>
      <c r="E616" s="429" t="s">
        <v>8</v>
      </c>
      <c r="F616" s="27">
        <v>220</v>
      </c>
      <c r="G616" s="27">
        <f t="shared" si="12"/>
        <v>220</v>
      </c>
      <c r="H616" s="429"/>
      <c r="J616" s="277"/>
      <c r="K616" s="277"/>
      <c r="L616" s="277"/>
      <c r="M616" s="277"/>
      <c r="N616" s="277"/>
      <c r="O616" s="277"/>
      <c r="P616" s="277"/>
      <c r="Q616" s="277"/>
      <c r="R616" s="277"/>
      <c r="S616" s="277"/>
    </row>
    <row r="617" spans="1:19" s="2" customFormat="1" ht="33">
      <c r="A617" s="429">
        <v>597</v>
      </c>
      <c r="B617" s="430" t="s">
        <v>429</v>
      </c>
      <c r="C617" s="429" t="s">
        <v>6</v>
      </c>
      <c r="D617" s="429" t="s">
        <v>10</v>
      </c>
      <c r="E617" s="429" t="s">
        <v>8</v>
      </c>
      <c r="F617" s="27">
        <v>220</v>
      </c>
      <c r="G617" s="27">
        <f t="shared" si="12"/>
        <v>220</v>
      </c>
      <c r="H617" s="429"/>
      <c r="J617" s="277"/>
      <c r="K617" s="277"/>
      <c r="L617" s="277"/>
      <c r="M617" s="277"/>
      <c r="N617" s="277"/>
      <c r="O617" s="277"/>
      <c r="P617" s="277"/>
      <c r="Q617" s="277"/>
      <c r="R617" s="277"/>
      <c r="S617" s="277"/>
    </row>
    <row r="618" spans="1:19" s="2" customFormat="1">
      <c r="A618" s="429">
        <v>598</v>
      </c>
      <c r="B618" s="430" t="s">
        <v>459</v>
      </c>
      <c r="C618" s="429" t="s">
        <v>14</v>
      </c>
      <c r="D618" s="429" t="s">
        <v>10</v>
      </c>
      <c r="E618" s="429" t="s">
        <v>8</v>
      </c>
      <c r="F618" s="27">
        <v>220</v>
      </c>
      <c r="G618" s="27">
        <f t="shared" si="12"/>
        <v>220</v>
      </c>
      <c r="H618" s="429"/>
      <c r="J618" s="277"/>
      <c r="K618" s="277"/>
      <c r="L618" s="277"/>
      <c r="M618" s="277"/>
      <c r="N618" s="277"/>
      <c r="O618" s="277"/>
      <c r="P618" s="277"/>
      <c r="Q618" s="277"/>
      <c r="R618" s="277"/>
      <c r="S618" s="277"/>
    </row>
    <row r="619" spans="1:19" s="2" customFormat="1">
      <c r="A619" s="429">
        <v>599</v>
      </c>
      <c r="B619" s="430" t="s">
        <v>464</v>
      </c>
      <c r="C619" s="429" t="s">
        <v>18</v>
      </c>
      <c r="D619" s="429" t="s">
        <v>10</v>
      </c>
      <c r="E619" s="429" t="s">
        <v>8</v>
      </c>
      <c r="F619" s="27">
        <v>220</v>
      </c>
      <c r="G619" s="27">
        <f t="shared" si="12"/>
        <v>220</v>
      </c>
      <c r="H619" s="429"/>
      <c r="J619" s="277"/>
      <c r="K619" s="277"/>
      <c r="L619" s="277"/>
      <c r="M619" s="277"/>
      <c r="N619" s="277"/>
      <c r="O619" s="277"/>
      <c r="P619" s="277"/>
      <c r="Q619" s="277"/>
      <c r="R619" s="277"/>
      <c r="S619" s="277"/>
    </row>
    <row r="620" spans="1:19" s="2" customFormat="1" ht="33">
      <c r="A620" s="429">
        <v>600</v>
      </c>
      <c r="B620" s="430" t="s">
        <v>496</v>
      </c>
      <c r="C620" s="429" t="s">
        <v>14</v>
      </c>
      <c r="D620" s="429" t="s">
        <v>7</v>
      </c>
      <c r="E620" s="429" t="s">
        <v>8</v>
      </c>
      <c r="F620" s="27">
        <v>220</v>
      </c>
      <c r="G620" s="27">
        <f t="shared" si="12"/>
        <v>220</v>
      </c>
      <c r="H620" s="429"/>
      <c r="J620" s="277"/>
      <c r="K620" s="277"/>
      <c r="L620" s="277"/>
      <c r="M620" s="277"/>
      <c r="N620" s="277"/>
      <c r="O620" s="277"/>
      <c r="P620" s="277"/>
      <c r="Q620" s="277"/>
      <c r="R620" s="277"/>
      <c r="S620" s="277"/>
    </row>
    <row r="621" spans="1:19" s="2" customFormat="1" ht="16.5" customHeight="1">
      <c r="A621" s="429">
        <v>601</v>
      </c>
      <c r="B621" s="430" t="s">
        <v>498</v>
      </c>
      <c r="C621" s="429" t="s">
        <v>6</v>
      </c>
      <c r="D621" s="429" t="s">
        <v>7</v>
      </c>
      <c r="E621" s="429" t="s">
        <v>8</v>
      </c>
      <c r="F621" s="27">
        <v>220</v>
      </c>
      <c r="G621" s="27">
        <f t="shared" si="12"/>
        <v>220</v>
      </c>
      <c r="H621" s="429"/>
      <c r="J621" s="277"/>
      <c r="K621" s="277"/>
      <c r="L621" s="277"/>
      <c r="M621" s="277"/>
      <c r="N621" s="277"/>
      <c r="O621" s="277"/>
      <c r="P621" s="277"/>
      <c r="Q621" s="277"/>
      <c r="R621" s="277"/>
      <c r="S621" s="277"/>
    </row>
    <row r="622" spans="1:19" s="2" customFormat="1" ht="33">
      <c r="A622" s="429">
        <v>602</v>
      </c>
      <c r="B622" s="430" t="s">
        <v>499</v>
      </c>
      <c r="C622" s="429" t="s">
        <v>6</v>
      </c>
      <c r="D622" s="429" t="s">
        <v>7</v>
      </c>
      <c r="E622" s="429" t="s">
        <v>8</v>
      </c>
      <c r="F622" s="27">
        <v>220</v>
      </c>
      <c r="G622" s="27">
        <f t="shared" si="12"/>
        <v>220</v>
      </c>
      <c r="H622" s="429"/>
      <c r="J622" s="277"/>
      <c r="K622" s="277"/>
      <c r="L622" s="277"/>
      <c r="M622" s="277"/>
      <c r="N622" s="277"/>
      <c r="O622" s="277"/>
      <c r="P622" s="277"/>
      <c r="Q622" s="277"/>
      <c r="R622" s="277"/>
      <c r="S622" s="277"/>
    </row>
    <row r="623" spans="1:19" s="2" customFormat="1" ht="33">
      <c r="A623" s="429">
        <v>603</v>
      </c>
      <c r="B623" s="430" t="s">
        <v>527</v>
      </c>
      <c r="C623" s="429" t="s">
        <v>12</v>
      </c>
      <c r="D623" s="429" t="s">
        <v>7</v>
      </c>
      <c r="E623" s="429" t="s">
        <v>8</v>
      </c>
      <c r="F623" s="27">
        <v>220</v>
      </c>
      <c r="G623" s="27">
        <f t="shared" si="12"/>
        <v>220</v>
      </c>
      <c r="H623" s="429"/>
      <c r="J623" s="277"/>
      <c r="K623" s="277"/>
      <c r="L623" s="277"/>
      <c r="M623" s="277"/>
      <c r="N623" s="277"/>
      <c r="O623" s="277"/>
      <c r="P623" s="277"/>
      <c r="Q623" s="277"/>
      <c r="R623" s="277"/>
      <c r="S623" s="277"/>
    </row>
    <row r="624" spans="1:19" s="2" customFormat="1" ht="33">
      <c r="A624" s="429">
        <v>604</v>
      </c>
      <c r="B624" s="430" t="s">
        <v>562</v>
      </c>
      <c r="C624" s="429" t="s">
        <v>6</v>
      </c>
      <c r="D624" s="429" t="s">
        <v>7</v>
      </c>
      <c r="E624" s="429" t="s">
        <v>8</v>
      </c>
      <c r="F624" s="27">
        <v>220</v>
      </c>
      <c r="G624" s="27">
        <f t="shared" si="12"/>
        <v>220</v>
      </c>
      <c r="H624" s="429"/>
      <c r="J624" s="277"/>
      <c r="K624" s="277"/>
      <c r="L624" s="277"/>
      <c r="M624" s="277"/>
      <c r="N624" s="277"/>
      <c r="O624" s="277"/>
      <c r="P624" s="277"/>
      <c r="Q624" s="277"/>
      <c r="R624" s="277"/>
      <c r="S624" s="277"/>
    </row>
    <row r="625" spans="1:19" s="2" customFormat="1">
      <c r="A625" s="429">
        <v>605</v>
      </c>
      <c r="B625" s="430" t="s">
        <v>565</v>
      </c>
      <c r="C625" s="429" t="s">
        <v>12</v>
      </c>
      <c r="D625" s="429" t="s">
        <v>7</v>
      </c>
      <c r="E625" s="429" t="s">
        <v>8</v>
      </c>
      <c r="F625" s="27">
        <v>220</v>
      </c>
      <c r="G625" s="27">
        <f t="shared" si="12"/>
        <v>220</v>
      </c>
      <c r="H625" s="429"/>
      <c r="J625" s="277"/>
      <c r="K625" s="277"/>
      <c r="L625" s="277"/>
      <c r="M625" s="277"/>
      <c r="N625" s="277"/>
      <c r="O625" s="277"/>
      <c r="P625" s="277"/>
      <c r="Q625" s="277"/>
      <c r="R625" s="277"/>
      <c r="S625" s="277"/>
    </row>
    <row r="626" spans="1:19" s="2" customFormat="1">
      <c r="A626" s="429">
        <v>606</v>
      </c>
      <c r="B626" s="430" t="s">
        <v>571</v>
      </c>
      <c r="C626" s="429" t="s">
        <v>14</v>
      </c>
      <c r="D626" s="429" t="s">
        <v>7</v>
      </c>
      <c r="E626" s="429" t="s">
        <v>8</v>
      </c>
      <c r="F626" s="27">
        <v>220</v>
      </c>
      <c r="G626" s="27">
        <f t="shared" si="12"/>
        <v>220</v>
      </c>
      <c r="H626" s="429"/>
      <c r="J626" s="277"/>
      <c r="K626" s="277"/>
      <c r="L626" s="277"/>
      <c r="M626" s="277"/>
      <c r="N626" s="277"/>
      <c r="O626" s="277"/>
      <c r="P626" s="277"/>
      <c r="Q626" s="277"/>
      <c r="R626" s="277"/>
      <c r="S626" s="277"/>
    </row>
    <row r="627" spans="1:19" s="2" customFormat="1" ht="33">
      <c r="A627" s="429">
        <v>607</v>
      </c>
      <c r="B627" s="430" t="s">
        <v>574</v>
      </c>
      <c r="C627" s="429" t="s">
        <v>12</v>
      </c>
      <c r="D627" s="429" t="s">
        <v>7</v>
      </c>
      <c r="E627" s="429" t="s">
        <v>8</v>
      </c>
      <c r="F627" s="27">
        <v>220</v>
      </c>
      <c r="G627" s="27">
        <f t="shared" si="12"/>
        <v>220</v>
      </c>
      <c r="H627" s="429"/>
      <c r="J627" s="277"/>
      <c r="K627" s="277"/>
      <c r="L627" s="277"/>
      <c r="M627" s="277"/>
      <c r="N627" s="277"/>
      <c r="O627" s="277"/>
      <c r="P627" s="277"/>
      <c r="Q627" s="277"/>
      <c r="R627" s="277"/>
      <c r="S627" s="277"/>
    </row>
    <row r="628" spans="1:19" s="2" customFormat="1" ht="33">
      <c r="A628" s="429">
        <v>608</v>
      </c>
      <c r="B628" s="430" t="s">
        <v>577</v>
      </c>
      <c r="C628" s="429" t="s">
        <v>6</v>
      </c>
      <c r="D628" s="429" t="s">
        <v>7</v>
      </c>
      <c r="E628" s="429" t="s">
        <v>8</v>
      </c>
      <c r="F628" s="27">
        <v>220</v>
      </c>
      <c r="G628" s="27">
        <f t="shared" si="12"/>
        <v>220</v>
      </c>
      <c r="H628" s="429"/>
      <c r="J628" s="277"/>
      <c r="K628" s="277"/>
      <c r="L628" s="277"/>
      <c r="M628" s="277"/>
      <c r="N628" s="277"/>
      <c r="O628" s="277"/>
      <c r="P628" s="277"/>
      <c r="Q628" s="277"/>
      <c r="R628" s="277"/>
      <c r="S628" s="277"/>
    </row>
    <row r="629" spans="1:19" s="2" customFormat="1" ht="33">
      <c r="A629" s="429">
        <v>609</v>
      </c>
      <c r="B629" s="430" t="s">
        <v>670</v>
      </c>
      <c r="C629" s="429" t="s">
        <v>16</v>
      </c>
      <c r="D629" s="429" t="s">
        <v>7</v>
      </c>
      <c r="E629" s="429" t="s">
        <v>8</v>
      </c>
      <c r="F629" s="27">
        <v>220</v>
      </c>
      <c r="G629" s="27">
        <f t="shared" si="12"/>
        <v>220</v>
      </c>
      <c r="H629" s="429"/>
      <c r="J629" s="277"/>
      <c r="K629" s="277"/>
      <c r="L629" s="277"/>
      <c r="M629" s="277"/>
      <c r="N629" s="277"/>
      <c r="O629" s="277"/>
      <c r="P629" s="277"/>
      <c r="Q629" s="277"/>
      <c r="R629" s="277"/>
      <c r="S629" s="277"/>
    </row>
    <row r="630" spans="1:19" s="2" customFormat="1">
      <c r="A630" s="429">
        <v>610</v>
      </c>
      <c r="B630" s="430" t="s">
        <v>681</v>
      </c>
      <c r="C630" s="429" t="s">
        <v>6</v>
      </c>
      <c r="D630" s="429" t="s">
        <v>7</v>
      </c>
      <c r="E630" s="429" t="s">
        <v>8</v>
      </c>
      <c r="F630" s="27">
        <v>220</v>
      </c>
      <c r="G630" s="27">
        <f t="shared" si="12"/>
        <v>220</v>
      </c>
      <c r="H630" s="429"/>
      <c r="J630" s="277"/>
      <c r="K630" s="277"/>
      <c r="L630" s="277"/>
      <c r="M630" s="277"/>
      <c r="N630" s="277"/>
      <c r="O630" s="277"/>
      <c r="P630" s="277"/>
      <c r="Q630" s="277"/>
      <c r="R630" s="277"/>
      <c r="S630" s="277"/>
    </row>
    <row r="631" spans="1:19" s="2" customFormat="1">
      <c r="A631" s="429">
        <v>611</v>
      </c>
      <c r="B631" s="430" t="s">
        <v>685</v>
      </c>
      <c r="C631" s="429" t="s">
        <v>6</v>
      </c>
      <c r="D631" s="429" t="s">
        <v>10</v>
      </c>
      <c r="E631" s="429" t="s">
        <v>8</v>
      </c>
      <c r="F631" s="27">
        <v>220</v>
      </c>
      <c r="G631" s="27">
        <f t="shared" si="12"/>
        <v>220</v>
      </c>
      <c r="H631" s="429"/>
      <c r="J631" s="277"/>
      <c r="K631" s="277"/>
      <c r="L631" s="277"/>
      <c r="M631" s="277"/>
      <c r="N631" s="277"/>
      <c r="O631" s="277"/>
      <c r="P631" s="277"/>
      <c r="Q631" s="277"/>
      <c r="R631" s="277"/>
      <c r="S631" s="277"/>
    </row>
    <row r="632" spans="1:19" s="2" customFormat="1">
      <c r="A632" s="429">
        <v>612</v>
      </c>
      <c r="B632" s="430" t="s">
        <v>709</v>
      </c>
      <c r="C632" s="429" t="s">
        <v>14</v>
      </c>
      <c r="D632" s="429" t="s">
        <v>10</v>
      </c>
      <c r="E632" s="429" t="s">
        <v>8</v>
      </c>
      <c r="F632" s="27">
        <v>220</v>
      </c>
      <c r="G632" s="27">
        <f t="shared" si="12"/>
        <v>220</v>
      </c>
      <c r="H632" s="429"/>
      <c r="J632" s="277"/>
      <c r="K632" s="277"/>
      <c r="L632" s="277"/>
      <c r="M632" s="277"/>
      <c r="N632" s="277"/>
      <c r="O632" s="277"/>
      <c r="P632" s="277"/>
      <c r="Q632" s="277"/>
      <c r="R632" s="277"/>
      <c r="S632" s="277"/>
    </row>
    <row r="633" spans="1:19" s="2" customFormat="1">
      <c r="A633" s="429">
        <v>613</v>
      </c>
      <c r="B633" s="430" t="s">
        <v>710</v>
      </c>
      <c r="C633" s="429" t="s">
        <v>14</v>
      </c>
      <c r="D633" s="429" t="s">
        <v>7</v>
      </c>
      <c r="E633" s="429" t="s">
        <v>8</v>
      </c>
      <c r="F633" s="27">
        <v>220</v>
      </c>
      <c r="G633" s="27">
        <f t="shared" si="12"/>
        <v>220</v>
      </c>
      <c r="H633" s="429"/>
      <c r="J633" s="277"/>
      <c r="K633" s="277"/>
      <c r="L633" s="277"/>
      <c r="M633" s="277"/>
      <c r="N633" s="277"/>
      <c r="O633" s="277"/>
      <c r="P633" s="277"/>
      <c r="Q633" s="277"/>
      <c r="R633" s="277"/>
      <c r="S633" s="277"/>
    </row>
    <row r="634" spans="1:19" s="2" customFormat="1">
      <c r="A634" s="429">
        <v>614</v>
      </c>
      <c r="B634" s="430" t="s">
        <v>711</v>
      </c>
      <c r="C634" s="429" t="s">
        <v>6</v>
      </c>
      <c r="D634" s="429" t="s">
        <v>10</v>
      </c>
      <c r="E634" s="429" t="s">
        <v>8</v>
      </c>
      <c r="F634" s="27">
        <v>220</v>
      </c>
      <c r="G634" s="27">
        <f t="shared" si="12"/>
        <v>220</v>
      </c>
      <c r="H634" s="429"/>
      <c r="J634" s="277"/>
      <c r="K634" s="277"/>
      <c r="L634" s="277"/>
      <c r="M634" s="277"/>
      <c r="N634" s="277"/>
      <c r="O634" s="277"/>
      <c r="P634" s="277"/>
      <c r="Q634" s="277"/>
      <c r="R634" s="277"/>
      <c r="S634" s="277"/>
    </row>
    <row r="635" spans="1:19" s="2" customFormat="1" ht="33">
      <c r="A635" s="429">
        <v>615</v>
      </c>
      <c r="B635" s="430" t="s">
        <v>766</v>
      </c>
      <c r="C635" s="429" t="s">
        <v>12</v>
      </c>
      <c r="D635" s="429" t="s">
        <v>7</v>
      </c>
      <c r="E635" s="429" t="s">
        <v>8</v>
      </c>
      <c r="F635" s="27">
        <v>220</v>
      </c>
      <c r="G635" s="27">
        <f t="shared" si="12"/>
        <v>220</v>
      </c>
      <c r="H635" s="429"/>
      <c r="J635" s="277"/>
      <c r="K635" s="277"/>
      <c r="L635" s="277"/>
      <c r="M635" s="277"/>
      <c r="N635" s="277"/>
      <c r="O635" s="277"/>
      <c r="P635" s="277"/>
      <c r="Q635" s="277"/>
      <c r="R635" s="277"/>
      <c r="S635" s="277"/>
    </row>
    <row r="636" spans="1:19" s="2" customFormat="1" ht="16.5" customHeight="1">
      <c r="A636" s="429">
        <v>616</v>
      </c>
      <c r="B636" s="430" t="s">
        <v>773</v>
      </c>
      <c r="C636" s="429" t="s">
        <v>6</v>
      </c>
      <c r="D636" s="429" t="s">
        <v>7</v>
      </c>
      <c r="E636" s="429" t="s">
        <v>8</v>
      </c>
      <c r="F636" s="27">
        <v>220</v>
      </c>
      <c r="G636" s="27">
        <f t="shared" si="12"/>
        <v>220</v>
      </c>
      <c r="H636" s="429"/>
      <c r="J636" s="277"/>
      <c r="K636" s="277"/>
      <c r="L636" s="277"/>
      <c r="M636" s="277"/>
      <c r="N636" s="277"/>
      <c r="O636" s="277"/>
      <c r="P636" s="277"/>
      <c r="Q636" s="277"/>
      <c r="R636" s="277"/>
      <c r="S636" s="277"/>
    </row>
    <row r="637" spans="1:19" s="2" customFormat="1" ht="16.5" customHeight="1">
      <c r="A637" s="429">
        <v>617</v>
      </c>
      <c r="B637" s="430" t="s">
        <v>784</v>
      </c>
      <c r="C637" s="429" t="s">
        <v>6</v>
      </c>
      <c r="D637" s="429" t="s">
        <v>10</v>
      </c>
      <c r="E637" s="429" t="s">
        <v>8</v>
      </c>
      <c r="F637" s="27">
        <v>220</v>
      </c>
      <c r="G637" s="27">
        <f t="shared" si="12"/>
        <v>220</v>
      </c>
      <c r="H637" s="429"/>
      <c r="J637" s="277"/>
      <c r="K637" s="277"/>
      <c r="L637" s="277"/>
      <c r="M637" s="277"/>
      <c r="N637" s="277"/>
      <c r="O637" s="277"/>
      <c r="P637" s="277"/>
      <c r="Q637" s="277"/>
      <c r="R637" s="277"/>
      <c r="S637" s="277"/>
    </row>
    <row r="638" spans="1:19" s="2" customFormat="1">
      <c r="A638" s="429">
        <v>618</v>
      </c>
      <c r="B638" s="430" t="s">
        <v>791</v>
      </c>
      <c r="C638" s="429" t="s">
        <v>18</v>
      </c>
      <c r="D638" s="429" t="s">
        <v>7</v>
      </c>
      <c r="E638" s="429" t="s">
        <v>8</v>
      </c>
      <c r="F638" s="27">
        <v>220</v>
      </c>
      <c r="G638" s="27">
        <f t="shared" si="12"/>
        <v>220</v>
      </c>
      <c r="H638" s="429"/>
      <c r="J638" s="277"/>
      <c r="K638" s="277"/>
      <c r="L638" s="277"/>
      <c r="M638" s="277"/>
      <c r="N638" s="277"/>
      <c r="O638" s="277"/>
      <c r="P638" s="277"/>
      <c r="Q638" s="277"/>
      <c r="R638" s="277"/>
      <c r="S638" s="277"/>
    </row>
    <row r="639" spans="1:19" s="2" customFormat="1" ht="16.5" customHeight="1">
      <c r="A639" s="429">
        <v>619</v>
      </c>
      <c r="B639" s="430" t="s">
        <v>796</v>
      </c>
      <c r="C639" s="429" t="s">
        <v>12</v>
      </c>
      <c r="D639" s="429" t="s">
        <v>7</v>
      </c>
      <c r="E639" s="429" t="s">
        <v>8</v>
      </c>
      <c r="F639" s="27">
        <v>220</v>
      </c>
      <c r="G639" s="27">
        <f t="shared" si="12"/>
        <v>220</v>
      </c>
      <c r="H639" s="429"/>
      <c r="J639" s="277"/>
      <c r="K639" s="277"/>
      <c r="L639" s="277"/>
      <c r="M639" s="277"/>
      <c r="N639" s="277"/>
      <c r="O639" s="277"/>
      <c r="P639" s="277"/>
      <c r="Q639" s="277"/>
      <c r="R639" s="277"/>
      <c r="S639" s="277"/>
    </row>
    <row r="640" spans="1:19" s="2" customFormat="1" ht="33" customHeight="1">
      <c r="A640" s="429">
        <v>620</v>
      </c>
      <c r="B640" s="430" t="s">
        <v>821</v>
      </c>
      <c r="C640" s="429" t="s">
        <v>6</v>
      </c>
      <c r="D640" s="429" t="s">
        <v>7</v>
      </c>
      <c r="E640" s="429" t="s">
        <v>8</v>
      </c>
      <c r="F640" s="27">
        <v>220</v>
      </c>
      <c r="G640" s="27">
        <f t="shared" si="12"/>
        <v>220</v>
      </c>
      <c r="H640" s="429"/>
      <c r="J640" s="277"/>
      <c r="K640" s="277"/>
      <c r="L640" s="277"/>
      <c r="M640" s="277"/>
      <c r="N640" s="277"/>
      <c r="O640" s="277"/>
      <c r="P640" s="277"/>
      <c r="Q640" s="277"/>
      <c r="R640" s="277"/>
      <c r="S640" s="277"/>
    </row>
    <row r="641" spans="1:19" s="2" customFormat="1" ht="33" customHeight="1">
      <c r="A641" s="429">
        <v>621</v>
      </c>
      <c r="B641" s="430" t="s">
        <v>826</v>
      </c>
      <c r="C641" s="429" t="s">
        <v>18</v>
      </c>
      <c r="D641" s="429" t="s">
        <v>7</v>
      </c>
      <c r="E641" s="438" t="s">
        <v>8</v>
      </c>
      <c r="F641" s="27">
        <v>220</v>
      </c>
      <c r="G641" s="27">
        <f t="shared" si="12"/>
        <v>220</v>
      </c>
      <c r="H641" s="429"/>
      <c r="J641" s="277"/>
      <c r="K641" s="277"/>
      <c r="L641" s="277"/>
      <c r="M641" s="277"/>
      <c r="N641" s="277"/>
      <c r="O641" s="277"/>
      <c r="P641" s="277"/>
      <c r="Q641" s="277"/>
      <c r="R641" s="277"/>
      <c r="S641" s="277"/>
    </row>
    <row r="642" spans="1:19" s="2" customFormat="1" ht="27.75" customHeight="1">
      <c r="A642" s="429">
        <v>622</v>
      </c>
      <c r="B642" s="430" t="s">
        <v>61</v>
      </c>
      <c r="C642" s="429" t="s">
        <v>16</v>
      </c>
      <c r="D642" s="429" t="s">
        <v>7</v>
      </c>
      <c r="E642" s="429" t="s">
        <v>8</v>
      </c>
      <c r="F642" s="27">
        <v>232</v>
      </c>
      <c r="G642" s="27">
        <v>220</v>
      </c>
      <c r="H642" s="429"/>
      <c r="J642" s="277"/>
      <c r="K642" s="277"/>
      <c r="L642" s="277"/>
      <c r="M642" s="277"/>
      <c r="N642" s="277"/>
      <c r="O642" s="277"/>
      <c r="P642" s="277"/>
      <c r="Q642" s="277"/>
      <c r="R642" s="277"/>
      <c r="S642" s="277"/>
    </row>
    <row r="643" spans="1:19" s="2" customFormat="1">
      <c r="A643" s="429">
        <v>623</v>
      </c>
      <c r="B643" s="430" t="s">
        <v>83</v>
      </c>
      <c r="C643" s="429" t="s">
        <v>14</v>
      </c>
      <c r="D643" s="429" t="s">
        <v>7</v>
      </c>
      <c r="E643" s="429" t="s">
        <v>8</v>
      </c>
      <c r="F643" s="27">
        <v>232</v>
      </c>
      <c r="G643" s="27">
        <v>220</v>
      </c>
      <c r="H643" s="429"/>
      <c r="J643" s="277"/>
      <c r="K643" s="277"/>
      <c r="L643" s="277"/>
      <c r="M643" s="277"/>
      <c r="N643" s="277"/>
      <c r="O643" s="277"/>
      <c r="P643" s="277"/>
      <c r="Q643" s="277"/>
      <c r="R643" s="277"/>
      <c r="S643" s="277"/>
    </row>
    <row r="644" spans="1:19" s="2" customFormat="1" ht="21" customHeight="1">
      <c r="A644" s="429">
        <v>624</v>
      </c>
      <c r="B644" s="430" t="s">
        <v>94</v>
      </c>
      <c r="C644" s="429" t="s">
        <v>14</v>
      </c>
      <c r="D644" s="429" t="s">
        <v>10</v>
      </c>
      <c r="E644" s="429" t="s">
        <v>8</v>
      </c>
      <c r="F644" s="27">
        <v>232</v>
      </c>
      <c r="G644" s="27">
        <v>220</v>
      </c>
      <c r="H644" s="429"/>
      <c r="J644" s="277"/>
      <c r="K644" s="277"/>
      <c r="L644" s="277"/>
      <c r="M644" s="277"/>
      <c r="N644" s="277"/>
      <c r="O644" s="277"/>
      <c r="P644" s="277"/>
      <c r="Q644" s="277"/>
      <c r="R644" s="277"/>
      <c r="S644" s="277"/>
    </row>
    <row r="645" spans="1:19" s="2" customFormat="1" ht="33" customHeight="1">
      <c r="A645" s="429">
        <v>625</v>
      </c>
      <c r="B645" s="430" t="s">
        <v>274</v>
      </c>
      <c r="C645" s="429" t="s">
        <v>18</v>
      </c>
      <c r="D645" s="429" t="s">
        <v>7</v>
      </c>
      <c r="E645" s="429" t="s">
        <v>8</v>
      </c>
      <c r="F645" s="27">
        <v>232</v>
      </c>
      <c r="G645" s="27">
        <v>220</v>
      </c>
      <c r="H645" s="429"/>
      <c r="J645" s="277"/>
      <c r="K645" s="277"/>
      <c r="L645" s="277"/>
      <c r="M645" s="277"/>
      <c r="N645" s="277"/>
      <c r="O645" s="277"/>
      <c r="P645" s="277"/>
      <c r="Q645" s="277"/>
      <c r="R645" s="277"/>
      <c r="S645" s="277"/>
    </row>
    <row r="646" spans="1:19" s="2" customFormat="1" ht="33">
      <c r="A646" s="429">
        <v>626</v>
      </c>
      <c r="B646" s="430" t="s">
        <v>275</v>
      </c>
      <c r="C646" s="429" t="s">
        <v>15</v>
      </c>
      <c r="D646" s="429" t="s">
        <v>7</v>
      </c>
      <c r="E646" s="429" t="s">
        <v>8</v>
      </c>
      <c r="F646" s="27">
        <v>232</v>
      </c>
      <c r="G646" s="27">
        <v>220</v>
      </c>
      <c r="H646" s="429"/>
      <c r="J646" s="277"/>
      <c r="K646" s="277"/>
      <c r="L646" s="277"/>
      <c r="M646" s="277"/>
      <c r="N646" s="277"/>
      <c r="O646" s="277"/>
      <c r="P646" s="277"/>
      <c r="Q646" s="277"/>
      <c r="R646" s="277"/>
      <c r="S646" s="277"/>
    </row>
    <row r="647" spans="1:19" s="2" customFormat="1" ht="41.25" customHeight="1">
      <c r="A647" s="429">
        <v>627</v>
      </c>
      <c r="B647" s="430" t="s">
        <v>344</v>
      </c>
      <c r="C647" s="429" t="s">
        <v>12</v>
      </c>
      <c r="D647" s="429" t="s">
        <v>7</v>
      </c>
      <c r="E647" s="429" t="s">
        <v>8</v>
      </c>
      <c r="F647" s="27">
        <v>232</v>
      </c>
      <c r="G647" s="27">
        <v>220</v>
      </c>
      <c r="H647" s="429"/>
      <c r="J647" s="277"/>
      <c r="K647" s="277"/>
      <c r="L647" s="277"/>
      <c r="M647" s="277"/>
      <c r="N647" s="277"/>
      <c r="O647" s="277"/>
      <c r="P647" s="277"/>
      <c r="Q647" s="277"/>
      <c r="R647" s="277"/>
      <c r="S647" s="277"/>
    </row>
    <row r="648" spans="1:19" s="2" customFormat="1" ht="33" customHeight="1">
      <c r="A648" s="429">
        <v>628</v>
      </c>
      <c r="B648" s="430" t="s">
        <v>520</v>
      </c>
      <c r="C648" s="429" t="s">
        <v>12</v>
      </c>
      <c r="D648" s="429" t="s">
        <v>7</v>
      </c>
      <c r="E648" s="429" t="s">
        <v>8</v>
      </c>
      <c r="F648" s="27">
        <v>232</v>
      </c>
      <c r="G648" s="27">
        <v>220</v>
      </c>
      <c r="H648" s="429"/>
      <c r="J648" s="277"/>
      <c r="K648" s="277"/>
      <c r="L648" s="277"/>
      <c r="M648" s="277"/>
      <c r="N648" s="277"/>
      <c r="O648" s="277"/>
      <c r="P648" s="277"/>
      <c r="Q648" s="277"/>
      <c r="R648" s="277"/>
      <c r="S648" s="277"/>
    </row>
    <row r="649" spans="1:19" s="2" customFormat="1" ht="33" customHeight="1">
      <c r="A649" s="429">
        <v>629</v>
      </c>
      <c r="B649" s="430" t="s">
        <v>532</v>
      </c>
      <c r="C649" s="429"/>
      <c r="D649" s="429"/>
      <c r="E649" s="438" t="s">
        <v>8</v>
      </c>
      <c r="F649" s="27">
        <v>232</v>
      </c>
      <c r="G649" s="32">
        <v>220</v>
      </c>
      <c r="H649" s="429"/>
      <c r="J649" s="277"/>
      <c r="K649" s="277"/>
      <c r="L649" s="277"/>
      <c r="M649" s="277"/>
      <c r="N649" s="277"/>
      <c r="O649" s="277"/>
      <c r="P649" s="277"/>
      <c r="Q649" s="277"/>
      <c r="R649" s="277"/>
      <c r="S649" s="277"/>
    </row>
    <row r="650" spans="1:19" s="2" customFormat="1">
      <c r="A650" s="429">
        <v>630</v>
      </c>
      <c r="B650" s="430" t="s">
        <v>546</v>
      </c>
      <c r="C650" s="429" t="s">
        <v>18</v>
      </c>
      <c r="D650" s="429" t="s">
        <v>7</v>
      </c>
      <c r="E650" s="429" t="s">
        <v>8</v>
      </c>
      <c r="F650" s="27">
        <v>232</v>
      </c>
      <c r="G650" s="32">
        <v>220</v>
      </c>
      <c r="H650" s="429"/>
      <c r="J650" s="277"/>
      <c r="K650" s="277"/>
      <c r="L650" s="277"/>
      <c r="M650" s="277"/>
      <c r="N650" s="277"/>
      <c r="O650" s="277"/>
      <c r="P650" s="277"/>
      <c r="Q650" s="277"/>
      <c r="R650" s="277"/>
      <c r="S650" s="277"/>
    </row>
    <row r="651" spans="1:19" s="2" customFormat="1" ht="16.5" customHeight="1">
      <c r="A651" s="429">
        <v>631</v>
      </c>
      <c r="B651" s="430" t="s">
        <v>602</v>
      </c>
      <c r="C651" s="429" t="s">
        <v>18</v>
      </c>
      <c r="D651" s="429" t="s">
        <v>10</v>
      </c>
      <c r="E651" s="429" t="s">
        <v>8</v>
      </c>
      <c r="F651" s="27">
        <v>232</v>
      </c>
      <c r="G651" s="27">
        <v>220</v>
      </c>
      <c r="H651" s="429"/>
      <c r="J651" s="277"/>
      <c r="K651" s="277"/>
      <c r="L651" s="277"/>
      <c r="M651" s="277"/>
      <c r="N651" s="277"/>
      <c r="O651" s="277"/>
      <c r="P651" s="277"/>
      <c r="Q651" s="277"/>
      <c r="R651" s="277"/>
      <c r="S651" s="277"/>
    </row>
    <row r="652" spans="1:19" s="2" customFormat="1" ht="33">
      <c r="A652" s="429">
        <v>632</v>
      </c>
      <c r="B652" s="430" t="s">
        <v>762</v>
      </c>
      <c r="C652" s="429" t="s">
        <v>18</v>
      </c>
      <c r="D652" s="429" t="s">
        <v>7</v>
      </c>
      <c r="E652" s="429" t="s">
        <v>8</v>
      </c>
      <c r="F652" s="27">
        <v>232</v>
      </c>
      <c r="G652" s="27">
        <v>232</v>
      </c>
      <c r="H652" s="429"/>
      <c r="J652" s="277"/>
      <c r="K652" s="277"/>
      <c r="L652" s="277"/>
      <c r="M652" s="277"/>
      <c r="N652" s="277"/>
      <c r="O652" s="277"/>
      <c r="P652" s="277"/>
      <c r="Q652" s="277"/>
      <c r="R652" s="277"/>
      <c r="S652" s="277"/>
    </row>
    <row r="653" spans="1:19" s="2" customFormat="1" ht="33">
      <c r="A653" s="429">
        <v>633</v>
      </c>
      <c r="B653" s="430" t="s">
        <v>785</v>
      </c>
      <c r="C653" s="429" t="s">
        <v>18</v>
      </c>
      <c r="D653" s="429" t="s">
        <v>7</v>
      </c>
      <c r="E653" s="429" t="s">
        <v>8</v>
      </c>
      <c r="F653" s="27">
        <v>232</v>
      </c>
      <c r="G653" s="27">
        <v>220</v>
      </c>
      <c r="H653" s="429"/>
      <c r="J653" s="277"/>
      <c r="K653" s="277"/>
      <c r="L653" s="277"/>
      <c r="M653" s="277"/>
      <c r="N653" s="277"/>
      <c r="O653" s="277"/>
      <c r="P653" s="277"/>
      <c r="Q653" s="277"/>
      <c r="R653" s="277"/>
      <c r="S653" s="277"/>
    </row>
    <row r="654" spans="1:19" s="2" customFormat="1">
      <c r="A654" s="429">
        <v>634</v>
      </c>
      <c r="B654" s="430" t="s">
        <v>854</v>
      </c>
      <c r="C654" s="429" t="s">
        <v>14</v>
      </c>
      <c r="D654" s="429" t="s">
        <v>10</v>
      </c>
      <c r="E654" s="429" t="s">
        <v>8</v>
      </c>
      <c r="F654" s="27">
        <v>232</v>
      </c>
      <c r="G654" s="27">
        <v>220</v>
      </c>
      <c r="H654" s="429"/>
      <c r="J654" s="277"/>
      <c r="K654" s="277"/>
      <c r="L654" s="277"/>
      <c r="M654" s="277"/>
      <c r="N654" s="277"/>
      <c r="O654" s="277"/>
      <c r="P654" s="277"/>
      <c r="Q654" s="277"/>
      <c r="R654" s="277"/>
      <c r="S654" s="277"/>
    </row>
    <row r="655" spans="1:19" s="2" customFormat="1">
      <c r="A655" s="429">
        <v>635</v>
      </c>
      <c r="B655" s="430" t="s">
        <v>918</v>
      </c>
      <c r="C655" s="429" t="s">
        <v>18</v>
      </c>
      <c r="D655" s="429" t="s">
        <v>10</v>
      </c>
      <c r="E655" s="429" t="s">
        <v>8</v>
      </c>
      <c r="F655" s="27">
        <v>232</v>
      </c>
      <c r="G655" s="27">
        <v>220</v>
      </c>
      <c r="H655" s="429"/>
      <c r="J655" s="277"/>
      <c r="K655" s="277"/>
      <c r="L655" s="277"/>
      <c r="M655" s="277"/>
      <c r="N655" s="277"/>
      <c r="O655" s="277"/>
      <c r="P655" s="277"/>
      <c r="Q655" s="277"/>
      <c r="R655" s="277"/>
      <c r="S655" s="277"/>
    </row>
    <row r="656" spans="1:19" s="2" customFormat="1" ht="33">
      <c r="A656" s="429">
        <v>636</v>
      </c>
      <c r="B656" s="430" t="s">
        <v>930</v>
      </c>
      <c r="C656" s="429" t="s">
        <v>12</v>
      </c>
      <c r="D656" s="429" t="s">
        <v>7</v>
      </c>
      <c r="E656" s="429" t="s">
        <v>8</v>
      </c>
      <c r="F656" s="27">
        <v>232</v>
      </c>
      <c r="G656" s="27">
        <v>220</v>
      </c>
      <c r="H656" s="429"/>
      <c r="J656" s="277"/>
      <c r="K656" s="277"/>
      <c r="L656" s="277"/>
      <c r="M656" s="277"/>
      <c r="N656" s="277"/>
      <c r="O656" s="277"/>
      <c r="P656" s="277"/>
      <c r="Q656" s="277"/>
      <c r="R656" s="277"/>
      <c r="S656" s="277"/>
    </row>
    <row r="657" spans="1:19" s="2" customFormat="1" ht="24" customHeight="1">
      <c r="A657" s="429">
        <v>637</v>
      </c>
      <c r="B657" s="430" t="s">
        <v>935</v>
      </c>
      <c r="C657" s="429" t="s">
        <v>14</v>
      </c>
      <c r="D657" s="429" t="s">
        <v>7</v>
      </c>
      <c r="E657" s="429" t="s">
        <v>8</v>
      </c>
      <c r="F657" s="27">
        <v>232</v>
      </c>
      <c r="G657" s="27">
        <v>220</v>
      </c>
      <c r="H657" s="429"/>
      <c r="J657" s="277"/>
      <c r="K657" s="277"/>
      <c r="L657" s="277"/>
      <c r="M657" s="277"/>
      <c r="N657" s="277"/>
      <c r="O657" s="277"/>
      <c r="P657" s="277"/>
      <c r="Q657" s="277"/>
      <c r="R657" s="277"/>
      <c r="S657" s="277"/>
    </row>
    <row r="658" spans="1:19" s="2" customFormat="1" ht="33">
      <c r="A658" s="429">
        <v>638</v>
      </c>
      <c r="B658" s="430" t="s">
        <v>938</v>
      </c>
      <c r="C658" s="429" t="s">
        <v>6</v>
      </c>
      <c r="D658" s="429" t="s">
        <v>10</v>
      </c>
      <c r="E658" s="429" t="s">
        <v>8</v>
      </c>
      <c r="F658" s="27">
        <v>232</v>
      </c>
      <c r="G658" s="27">
        <v>220</v>
      </c>
      <c r="H658" s="429"/>
      <c r="J658" s="277"/>
      <c r="K658" s="277"/>
      <c r="L658" s="277"/>
      <c r="M658" s="277"/>
      <c r="N658" s="277"/>
      <c r="O658" s="277"/>
      <c r="P658" s="277"/>
      <c r="Q658" s="277"/>
      <c r="R658" s="277"/>
      <c r="S658" s="277"/>
    </row>
    <row r="659" spans="1:19" s="2" customFormat="1" ht="16.5" customHeight="1">
      <c r="A659" s="429">
        <v>639</v>
      </c>
      <c r="B659" s="430" t="s">
        <v>1020</v>
      </c>
      <c r="C659" s="429" t="s">
        <v>14</v>
      </c>
      <c r="D659" s="429" t="s">
        <v>7</v>
      </c>
      <c r="E659" s="429" t="s">
        <v>8</v>
      </c>
      <c r="F659" s="27">
        <v>232</v>
      </c>
      <c r="G659" s="27">
        <v>220</v>
      </c>
      <c r="H659" s="429"/>
      <c r="J659" s="277"/>
      <c r="K659" s="277"/>
      <c r="L659" s="277"/>
      <c r="M659" s="277"/>
      <c r="N659" s="277"/>
      <c r="O659" s="277"/>
      <c r="P659" s="277"/>
      <c r="Q659" s="277"/>
      <c r="R659" s="277"/>
      <c r="S659" s="277"/>
    </row>
    <row r="660" spans="1:19" s="2" customFormat="1" ht="16.5" customHeight="1">
      <c r="A660" s="429">
        <v>640</v>
      </c>
      <c r="B660" s="430" t="s">
        <v>1022</v>
      </c>
      <c r="C660" s="429" t="s">
        <v>12</v>
      </c>
      <c r="D660" s="429" t="s">
        <v>10</v>
      </c>
      <c r="E660" s="429" t="s">
        <v>8</v>
      </c>
      <c r="F660" s="27">
        <v>232</v>
      </c>
      <c r="G660" s="27">
        <v>220</v>
      </c>
      <c r="H660" s="429"/>
      <c r="J660" s="277"/>
      <c r="K660" s="277"/>
      <c r="L660" s="277"/>
      <c r="M660" s="277"/>
      <c r="N660" s="277"/>
      <c r="O660" s="277"/>
      <c r="P660" s="277"/>
      <c r="Q660" s="277"/>
      <c r="R660" s="277"/>
      <c r="S660" s="277"/>
    </row>
    <row r="661" spans="1:19" s="2" customFormat="1" ht="33" customHeight="1">
      <c r="A661" s="429">
        <v>641</v>
      </c>
      <c r="B661" s="430" t="s">
        <v>276</v>
      </c>
      <c r="C661" s="429"/>
      <c r="D661" s="429" t="s">
        <v>7</v>
      </c>
      <c r="E661" s="431" t="s">
        <v>8</v>
      </c>
      <c r="F661" s="432">
        <v>220</v>
      </c>
      <c r="G661" s="27">
        <f t="shared" ref="G661:G695" si="13">F661</f>
        <v>220</v>
      </c>
      <c r="H661" s="429"/>
      <c r="J661" s="277"/>
      <c r="K661" s="277"/>
      <c r="L661" s="277"/>
      <c r="M661" s="277"/>
      <c r="N661" s="277"/>
      <c r="O661" s="277"/>
      <c r="P661" s="277"/>
      <c r="Q661" s="277"/>
      <c r="R661" s="277"/>
      <c r="S661" s="277"/>
    </row>
    <row r="662" spans="1:19" s="2" customFormat="1" ht="29.25" customHeight="1">
      <c r="A662" s="429">
        <v>642</v>
      </c>
      <c r="B662" s="430" t="s">
        <v>285</v>
      </c>
      <c r="C662" s="429" t="s">
        <v>6</v>
      </c>
      <c r="D662" s="429" t="s">
        <v>7</v>
      </c>
      <c r="E662" s="429" t="s">
        <v>8</v>
      </c>
      <c r="F662" s="27">
        <v>220</v>
      </c>
      <c r="G662" s="27">
        <f t="shared" si="13"/>
        <v>220</v>
      </c>
      <c r="H662" s="429"/>
      <c r="J662" s="277"/>
      <c r="K662" s="277"/>
      <c r="L662" s="277"/>
      <c r="M662" s="277"/>
      <c r="N662" s="277"/>
      <c r="O662" s="277"/>
      <c r="P662" s="277"/>
      <c r="Q662" s="277"/>
      <c r="R662" s="277"/>
      <c r="S662" s="277"/>
    </row>
    <row r="663" spans="1:19" s="2" customFormat="1">
      <c r="A663" s="429">
        <v>643</v>
      </c>
      <c r="B663" s="430" t="s">
        <v>315</v>
      </c>
      <c r="C663" s="429" t="s">
        <v>9</v>
      </c>
      <c r="D663" s="429" t="s">
        <v>10</v>
      </c>
      <c r="E663" s="431" t="s">
        <v>8</v>
      </c>
      <c r="F663" s="439">
        <v>220</v>
      </c>
      <c r="G663" s="27">
        <f t="shared" si="13"/>
        <v>220</v>
      </c>
      <c r="H663" s="429"/>
      <c r="J663" s="277"/>
      <c r="K663" s="277"/>
      <c r="L663" s="277"/>
      <c r="M663" s="277"/>
      <c r="N663" s="277"/>
      <c r="O663" s="277"/>
      <c r="P663" s="277"/>
      <c r="Q663" s="277"/>
      <c r="R663" s="277"/>
      <c r="S663" s="277"/>
    </row>
    <row r="664" spans="1:19" s="2" customFormat="1" ht="33" customHeight="1">
      <c r="A664" s="429">
        <v>644</v>
      </c>
      <c r="B664" s="430" t="s">
        <v>322</v>
      </c>
      <c r="C664" s="429" t="s">
        <v>14</v>
      </c>
      <c r="D664" s="429" t="s">
        <v>7</v>
      </c>
      <c r="E664" s="429" t="s">
        <v>8</v>
      </c>
      <c r="F664" s="437">
        <v>220</v>
      </c>
      <c r="G664" s="27">
        <f t="shared" si="13"/>
        <v>220</v>
      </c>
      <c r="H664" s="429"/>
      <c r="J664" s="277"/>
      <c r="K664" s="277"/>
      <c r="L664" s="277"/>
      <c r="M664" s="277"/>
      <c r="N664" s="277"/>
      <c r="O664" s="277"/>
      <c r="P664" s="277"/>
      <c r="Q664" s="277"/>
      <c r="R664" s="277"/>
      <c r="S664" s="277"/>
    </row>
    <row r="665" spans="1:19" s="2" customFormat="1" ht="33" customHeight="1">
      <c r="A665" s="429">
        <v>645</v>
      </c>
      <c r="B665" s="430" t="s">
        <v>326</v>
      </c>
      <c r="C665" s="429" t="s">
        <v>6</v>
      </c>
      <c r="D665" s="429" t="s">
        <v>7</v>
      </c>
      <c r="E665" s="431" t="s">
        <v>8</v>
      </c>
      <c r="F665" s="432">
        <v>220</v>
      </c>
      <c r="G665" s="27">
        <f t="shared" si="13"/>
        <v>220</v>
      </c>
      <c r="H665" s="429"/>
      <c r="J665" s="277"/>
      <c r="K665" s="277"/>
      <c r="L665" s="277"/>
      <c r="M665" s="277"/>
      <c r="N665" s="277"/>
      <c r="O665" s="277"/>
      <c r="P665" s="277"/>
      <c r="Q665" s="277"/>
      <c r="R665" s="277"/>
      <c r="S665" s="277"/>
    </row>
    <row r="666" spans="1:19" s="2" customFormat="1" ht="33">
      <c r="A666" s="429">
        <v>646</v>
      </c>
      <c r="B666" s="430" t="s">
        <v>371</v>
      </c>
      <c r="C666" s="429" t="s">
        <v>14</v>
      </c>
      <c r="D666" s="429" t="s">
        <v>7</v>
      </c>
      <c r="E666" s="438" t="s">
        <v>8</v>
      </c>
      <c r="F666" s="27">
        <v>220</v>
      </c>
      <c r="G666" s="27">
        <f t="shared" si="13"/>
        <v>220</v>
      </c>
      <c r="H666" s="429"/>
      <c r="J666" s="277"/>
      <c r="K666" s="277"/>
      <c r="L666" s="277"/>
      <c r="M666" s="277"/>
      <c r="N666" s="277"/>
      <c r="O666" s="277"/>
      <c r="P666" s="277"/>
      <c r="Q666" s="277"/>
      <c r="R666" s="277"/>
      <c r="S666" s="277"/>
    </row>
    <row r="667" spans="1:19" s="2" customFormat="1" ht="33" customHeight="1">
      <c r="A667" s="429">
        <v>647</v>
      </c>
      <c r="B667" s="430" t="s">
        <v>372</v>
      </c>
      <c r="C667" s="429" t="s">
        <v>15</v>
      </c>
      <c r="D667" s="429" t="s">
        <v>27</v>
      </c>
      <c r="E667" s="429" t="s">
        <v>8</v>
      </c>
      <c r="F667" s="437">
        <v>220</v>
      </c>
      <c r="G667" s="27">
        <f t="shared" si="13"/>
        <v>220</v>
      </c>
      <c r="H667" s="429"/>
      <c r="J667" s="277"/>
      <c r="K667" s="277"/>
      <c r="L667" s="277"/>
      <c r="M667" s="277"/>
      <c r="N667" s="277"/>
      <c r="O667" s="277"/>
      <c r="P667" s="277"/>
      <c r="Q667" s="277"/>
      <c r="R667" s="277"/>
      <c r="S667" s="277"/>
    </row>
    <row r="668" spans="1:19" s="6" customFormat="1" ht="16.5" customHeight="1">
      <c r="A668" s="429">
        <v>648</v>
      </c>
      <c r="B668" s="430" t="s">
        <v>380</v>
      </c>
      <c r="C668" s="429" t="s">
        <v>12</v>
      </c>
      <c r="D668" s="429" t="s">
        <v>10</v>
      </c>
      <c r="E668" s="429" t="s">
        <v>8</v>
      </c>
      <c r="F668" s="27">
        <v>220</v>
      </c>
      <c r="G668" s="27">
        <f t="shared" si="13"/>
        <v>220</v>
      </c>
      <c r="H668" s="429"/>
      <c r="I668" s="2"/>
      <c r="J668" s="277"/>
      <c r="K668" s="277"/>
      <c r="L668" s="277"/>
      <c r="M668" s="277"/>
      <c r="N668" s="277"/>
      <c r="O668" s="277"/>
      <c r="P668" s="277"/>
      <c r="Q668" s="277"/>
      <c r="R668" s="277"/>
      <c r="S668" s="277"/>
    </row>
    <row r="669" spans="1:19" s="6" customFormat="1" ht="33" customHeight="1">
      <c r="A669" s="429">
        <v>649</v>
      </c>
      <c r="B669" s="430" t="s">
        <v>389</v>
      </c>
      <c r="C669" s="429" t="s">
        <v>14</v>
      </c>
      <c r="D669" s="429" t="s">
        <v>7</v>
      </c>
      <c r="E669" s="429" t="s">
        <v>8</v>
      </c>
      <c r="F669" s="27">
        <v>220</v>
      </c>
      <c r="G669" s="27">
        <f t="shared" si="13"/>
        <v>220</v>
      </c>
      <c r="H669" s="429"/>
      <c r="I669" s="2"/>
      <c r="J669" s="277"/>
      <c r="K669" s="277"/>
      <c r="L669" s="277"/>
      <c r="M669" s="277"/>
      <c r="N669" s="277"/>
      <c r="O669" s="277"/>
      <c r="P669" s="277"/>
      <c r="Q669" s="277"/>
      <c r="R669" s="277"/>
      <c r="S669" s="277"/>
    </row>
    <row r="670" spans="1:19" s="2" customFormat="1" ht="16.5" customHeight="1">
      <c r="A670" s="429">
        <v>650</v>
      </c>
      <c r="B670" s="430" t="s">
        <v>390</v>
      </c>
      <c r="C670" s="429" t="s">
        <v>12</v>
      </c>
      <c r="D670" s="429" t="s">
        <v>7</v>
      </c>
      <c r="E670" s="429" t="s">
        <v>8</v>
      </c>
      <c r="F670" s="27">
        <v>220</v>
      </c>
      <c r="G670" s="27">
        <f t="shared" si="13"/>
        <v>220</v>
      </c>
      <c r="H670" s="429"/>
      <c r="J670" s="277"/>
      <c r="K670" s="277"/>
      <c r="L670" s="277"/>
      <c r="M670" s="277"/>
      <c r="N670" s="277"/>
      <c r="O670" s="277"/>
      <c r="P670" s="277"/>
      <c r="Q670" s="277"/>
      <c r="R670" s="277"/>
      <c r="S670" s="277"/>
    </row>
    <row r="671" spans="1:19" s="2" customFormat="1" ht="33" customHeight="1">
      <c r="A671" s="429">
        <v>651</v>
      </c>
      <c r="B671" s="430" t="s">
        <v>412</v>
      </c>
      <c r="C671" s="429" t="s">
        <v>6</v>
      </c>
      <c r="D671" s="429" t="s">
        <v>7</v>
      </c>
      <c r="E671" s="438" t="s">
        <v>8</v>
      </c>
      <c r="F671" s="27">
        <v>220</v>
      </c>
      <c r="G671" s="27">
        <f t="shared" si="13"/>
        <v>220</v>
      </c>
      <c r="H671" s="429"/>
      <c r="J671" s="277"/>
      <c r="K671" s="277"/>
      <c r="L671" s="277"/>
      <c r="M671" s="277"/>
      <c r="N671" s="277"/>
      <c r="O671" s="277"/>
      <c r="P671" s="277"/>
      <c r="Q671" s="277"/>
      <c r="R671" s="277"/>
      <c r="S671" s="277"/>
    </row>
    <row r="672" spans="1:19" s="2" customFormat="1" ht="16.5" customHeight="1">
      <c r="A672" s="429">
        <v>652</v>
      </c>
      <c r="B672" s="430" t="s">
        <v>426</v>
      </c>
      <c r="C672" s="429" t="s">
        <v>14</v>
      </c>
      <c r="D672" s="429" t="s">
        <v>7</v>
      </c>
      <c r="E672" s="438" t="s">
        <v>8</v>
      </c>
      <c r="F672" s="27">
        <v>220</v>
      </c>
      <c r="G672" s="27">
        <f t="shared" si="13"/>
        <v>220</v>
      </c>
      <c r="H672" s="429"/>
      <c r="J672" s="277"/>
      <c r="K672" s="277"/>
      <c r="L672" s="277"/>
      <c r="M672" s="277"/>
      <c r="N672" s="277"/>
      <c r="O672" s="277"/>
      <c r="P672" s="277"/>
      <c r="Q672" s="277"/>
      <c r="R672" s="277"/>
      <c r="S672" s="277"/>
    </row>
    <row r="673" spans="1:19" s="2" customFormat="1" ht="33">
      <c r="A673" s="429">
        <v>653</v>
      </c>
      <c r="B673" s="430" t="s">
        <v>455</v>
      </c>
      <c r="C673" s="429" t="s">
        <v>14</v>
      </c>
      <c r="D673" s="429" t="s">
        <v>7</v>
      </c>
      <c r="E673" s="431" t="s">
        <v>8</v>
      </c>
      <c r="F673" s="439">
        <v>220</v>
      </c>
      <c r="G673" s="27">
        <f t="shared" si="13"/>
        <v>220</v>
      </c>
      <c r="H673" s="429"/>
      <c r="J673" s="277"/>
      <c r="K673" s="277"/>
      <c r="L673" s="277"/>
      <c r="M673" s="277"/>
      <c r="N673" s="277"/>
      <c r="O673" s="277"/>
      <c r="P673" s="277"/>
      <c r="Q673" s="277"/>
      <c r="R673" s="277"/>
      <c r="S673" s="277"/>
    </row>
    <row r="674" spans="1:19" s="2" customFormat="1" ht="16.5" customHeight="1">
      <c r="A674" s="429">
        <v>654</v>
      </c>
      <c r="B674" s="430" t="s">
        <v>470</v>
      </c>
      <c r="C674" s="429" t="s">
        <v>14</v>
      </c>
      <c r="D674" s="429" t="s">
        <v>7</v>
      </c>
      <c r="E674" s="429" t="s">
        <v>8</v>
      </c>
      <c r="F674" s="436">
        <v>220</v>
      </c>
      <c r="G674" s="27">
        <f t="shared" si="13"/>
        <v>220</v>
      </c>
      <c r="H674" s="429"/>
      <c r="J674" s="277"/>
      <c r="K674" s="277"/>
      <c r="L674" s="277"/>
      <c r="M674" s="277"/>
      <c r="N674" s="277"/>
      <c r="O674" s="277"/>
      <c r="P674" s="277"/>
      <c r="Q674" s="277"/>
      <c r="R674" s="277"/>
      <c r="S674" s="277"/>
    </row>
    <row r="675" spans="1:19" s="2" customFormat="1">
      <c r="A675" s="429">
        <v>655</v>
      </c>
      <c r="B675" s="430" t="s">
        <v>471</v>
      </c>
      <c r="C675" s="429"/>
      <c r="D675" s="429"/>
      <c r="E675" s="438" t="s">
        <v>8</v>
      </c>
      <c r="F675" s="27">
        <v>220</v>
      </c>
      <c r="G675" s="27">
        <f t="shared" si="13"/>
        <v>220</v>
      </c>
      <c r="H675" s="429"/>
      <c r="J675" s="277"/>
      <c r="K675" s="277"/>
      <c r="L675" s="277"/>
      <c r="M675" s="277"/>
      <c r="N675" s="277"/>
      <c r="O675" s="277"/>
      <c r="P675" s="277"/>
      <c r="Q675" s="277"/>
      <c r="R675" s="277"/>
      <c r="S675" s="277"/>
    </row>
    <row r="676" spans="1:19" s="2" customFormat="1">
      <c r="A676" s="429">
        <v>656</v>
      </c>
      <c r="B676" s="430" t="s">
        <v>507</v>
      </c>
      <c r="C676" s="429" t="s">
        <v>18</v>
      </c>
      <c r="D676" s="429" t="s">
        <v>7</v>
      </c>
      <c r="E676" s="429" t="s">
        <v>8</v>
      </c>
      <c r="F676" s="27">
        <v>220</v>
      </c>
      <c r="G676" s="27">
        <f t="shared" si="13"/>
        <v>220</v>
      </c>
      <c r="H676" s="429"/>
      <c r="J676" s="277"/>
      <c r="K676" s="277"/>
      <c r="L676" s="277"/>
      <c r="M676" s="277"/>
      <c r="N676" s="277"/>
      <c r="O676" s="277"/>
      <c r="P676" s="277"/>
      <c r="Q676" s="277"/>
      <c r="R676" s="277"/>
      <c r="S676" s="277"/>
    </row>
    <row r="677" spans="1:19" s="2" customFormat="1">
      <c r="A677" s="429">
        <v>657</v>
      </c>
      <c r="B677" s="430" t="s">
        <v>511</v>
      </c>
      <c r="C677" s="429" t="s">
        <v>14</v>
      </c>
      <c r="D677" s="429" t="s">
        <v>7</v>
      </c>
      <c r="E677" s="429" t="s">
        <v>8</v>
      </c>
      <c r="F677" s="27">
        <v>220</v>
      </c>
      <c r="G677" s="27">
        <f t="shared" si="13"/>
        <v>220</v>
      </c>
      <c r="H677" s="429"/>
      <c r="J677" s="277"/>
      <c r="K677" s="277"/>
      <c r="L677" s="277"/>
      <c r="M677" s="277"/>
      <c r="N677" s="277"/>
      <c r="O677" s="277"/>
      <c r="P677" s="277"/>
      <c r="Q677" s="277"/>
      <c r="R677" s="277"/>
      <c r="S677" s="277"/>
    </row>
    <row r="678" spans="1:19" s="2" customFormat="1">
      <c r="A678" s="429">
        <v>658</v>
      </c>
      <c r="B678" s="430" t="s">
        <v>535</v>
      </c>
      <c r="C678" s="429" t="s">
        <v>14</v>
      </c>
      <c r="D678" s="429" t="s">
        <v>10</v>
      </c>
      <c r="E678" s="429" t="s">
        <v>8</v>
      </c>
      <c r="F678" s="27">
        <v>220</v>
      </c>
      <c r="G678" s="27">
        <f t="shared" si="13"/>
        <v>220</v>
      </c>
      <c r="H678" s="429"/>
      <c r="J678" s="277"/>
      <c r="K678" s="277"/>
      <c r="L678" s="277"/>
      <c r="M678" s="277"/>
      <c r="N678" s="277"/>
      <c r="O678" s="277"/>
      <c r="P678" s="277"/>
      <c r="Q678" s="277"/>
      <c r="R678" s="277"/>
      <c r="S678" s="277"/>
    </row>
    <row r="679" spans="1:19" s="2" customFormat="1" ht="16.5" customHeight="1">
      <c r="A679" s="429">
        <v>659</v>
      </c>
      <c r="B679" s="430" t="s">
        <v>539</v>
      </c>
      <c r="C679" s="429" t="s">
        <v>6</v>
      </c>
      <c r="D679" s="429" t="s">
        <v>7</v>
      </c>
      <c r="E679" s="429" t="s">
        <v>8</v>
      </c>
      <c r="F679" s="27">
        <v>220</v>
      </c>
      <c r="G679" s="27">
        <f t="shared" si="13"/>
        <v>220</v>
      </c>
      <c r="H679" s="429"/>
      <c r="J679" s="277"/>
      <c r="K679" s="277"/>
      <c r="L679" s="277"/>
      <c r="M679" s="277"/>
      <c r="N679" s="277"/>
      <c r="O679" s="277"/>
      <c r="P679" s="277"/>
      <c r="Q679" s="277"/>
      <c r="R679" s="277"/>
      <c r="S679" s="277"/>
    </row>
    <row r="680" spans="1:19" s="2" customFormat="1" ht="33" customHeight="1">
      <c r="A680" s="429">
        <v>660</v>
      </c>
      <c r="B680" s="430" t="s">
        <v>603</v>
      </c>
      <c r="C680" s="429" t="s">
        <v>6</v>
      </c>
      <c r="D680" s="429" t="s">
        <v>7</v>
      </c>
      <c r="E680" s="429" t="s">
        <v>8</v>
      </c>
      <c r="F680" s="27">
        <v>220</v>
      </c>
      <c r="G680" s="27">
        <f t="shared" si="13"/>
        <v>220</v>
      </c>
      <c r="H680" s="429"/>
      <c r="J680" s="277"/>
      <c r="K680" s="277"/>
      <c r="L680" s="277"/>
      <c r="M680" s="277"/>
      <c r="N680" s="277"/>
      <c r="O680" s="277"/>
      <c r="P680" s="277"/>
      <c r="Q680" s="277"/>
      <c r="R680" s="277"/>
      <c r="S680" s="277"/>
    </row>
    <row r="681" spans="1:19" s="2" customFormat="1" ht="33">
      <c r="A681" s="429">
        <v>661</v>
      </c>
      <c r="B681" s="430" t="s">
        <v>647</v>
      </c>
      <c r="C681" s="429" t="s">
        <v>9</v>
      </c>
      <c r="D681" s="429" t="s">
        <v>7</v>
      </c>
      <c r="E681" s="429" t="s">
        <v>8</v>
      </c>
      <c r="F681" s="437">
        <v>220</v>
      </c>
      <c r="G681" s="27">
        <f t="shared" si="13"/>
        <v>220</v>
      </c>
      <c r="H681" s="429"/>
      <c r="J681" s="277"/>
      <c r="K681" s="277"/>
      <c r="L681" s="277"/>
      <c r="M681" s="277"/>
      <c r="N681" s="277"/>
      <c r="O681" s="277"/>
      <c r="P681" s="277"/>
      <c r="Q681" s="277"/>
      <c r="R681" s="277"/>
      <c r="S681" s="277"/>
    </row>
    <row r="682" spans="1:19" s="2" customFormat="1" ht="33" customHeight="1">
      <c r="A682" s="429">
        <v>662</v>
      </c>
      <c r="B682" s="430" t="s">
        <v>666</v>
      </c>
      <c r="C682" s="429" t="s">
        <v>9</v>
      </c>
      <c r="D682" s="429" t="s">
        <v>7</v>
      </c>
      <c r="E682" s="429" t="s">
        <v>8</v>
      </c>
      <c r="F682" s="437">
        <v>220</v>
      </c>
      <c r="G682" s="27">
        <f t="shared" si="13"/>
        <v>220</v>
      </c>
      <c r="H682" s="429"/>
      <c r="J682" s="277"/>
      <c r="K682" s="277"/>
      <c r="L682" s="277"/>
      <c r="M682" s="277"/>
      <c r="N682" s="277"/>
      <c r="O682" s="277"/>
      <c r="P682" s="277"/>
      <c r="Q682" s="277"/>
      <c r="R682" s="277"/>
      <c r="S682" s="277"/>
    </row>
    <row r="683" spans="1:19" s="2" customFormat="1">
      <c r="A683" s="429">
        <v>663</v>
      </c>
      <c r="B683" s="430" t="s">
        <v>693</v>
      </c>
      <c r="C683" s="429" t="s">
        <v>6</v>
      </c>
      <c r="D683" s="429" t="s">
        <v>7</v>
      </c>
      <c r="E683" s="431" t="s">
        <v>8</v>
      </c>
      <c r="F683" s="432">
        <v>220</v>
      </c>
      <c r="G683" s="27">
        <f t="shared" si="13"/>
        <v>220</v>
      </c>
      <c r="H683" s="429"/>
      <c r="J683" s="277"/>
      <c r="K683" s="277"/>
      <c r="L683" s="277"/>
      <c r="M683" s="277"/>
      <c r="N683" s="277"/>
      <c r="O683" s="277"/>
      <c r="P683" s="277"/>
      <c r="Q683" s="277"/>
      <c r="R683" s="277"/>
      <c r="S683" s="277"/>
    </row>
    <row r="684" spans="1:19" s="2" customFormat="1" ht="16.5" customHeight="1">
      <c r="A684" s="429">
        <v>664</v>
      </c>
      <c r="B684" s="430" t="s">
        <v>694</v>
      </c>
      <c r="C684" s="429" t="s">
        <v>6</v>
      </c>
      <c r="D684" s="429" t="s">
        <v>7</v>
      </c>
      <c r="E684" s="429" t="s">
        <v>8</v>
      </c>
      <c r="F684" s="27">
        <v>220</v>
      </c>
      <c r="G684" s="27">
        <f t="shared" si="13"/>
        <v>220</v>
      </c>
      <c r="H684" s="429"/>
      <c r="J684" s="277"/>
      <c r="K684" s="277"/>
      <c r="L684" s="277"/>
      <c r="M684" s="277"/>
      <c r="N684" s="277"/>
      <c r="O684" s="277"/>
      <c r="P684" s="277"/>
      <c r="Q684" s="277"/>
      <c r="R684" s="277"/>
      <c r="S684" s="277"/>
    </row>
    <row r="685" spans="1:19" s="2" customFormat="1" ht="33">
      <c r="A685" s="429">
        <v>665</v>
      </c>
      <c r="B685" s="430" t="s">
        <v>738</v>
      </c>
      <c r="C685" s="429" t="s">
        <v>14</v>
      </c>
      <c r="D685" s="429" t="s">
        <v>7</v>
      </c>
      <c r="E685" s="429" t="s">
        <v>8</v>
      </c>
      <c r="F685" s="436">
        <v>220</v>
      </c>
      <c r="G685" s="27">
        <f t="shared" si="13"/>
        <v>220</v>
      </c>
      <c r="H685" s="429"/>
      <c r="J685" s="277"/>
      <c r="K685" s="277"/>
      <c r="L685" s="277"/>
      <c r="M685" s="277"/>
      <c r="N685" s="277"/>
      <c r="O685" s="277"/>
      <c r="P685" s="277"/>
      <c r="Q685" s="277"/>
      <c r="R685" s="277"/>
      <c r="S685" s="277"/>
    </row>
    <row r="686" spans="1:19" s="2" customFormat="1" ht="28.5" customHeight="1">
      <c r="A686" s="429">
        <v>666</v>
      </c>
      <c r="B686" s="430" t="s">
        <v>752</v>
      </c>
      <c r="C686" s="429" t="s">
        <v>18</v>
      </c>
      <c r="D686" s="429" t="s">
        <v>7</v>
      </c>
      <c r="E686" s="429" t="s">
        <v>8</v>
      </c>
      <c r="F686" s="27">
        <v>220</v>
      </c>
      <c r="G686" s="27">
        <f t="shared" si="13"/>
        <v>220</v>
      </c>
      <c r="H686" s="429"/>
      <c r="J686" s="277"/>
      <c r="K686" s="277"/>
      <c r="L686" s="277"/>
      <c r="M686" s="277"/>
      <c r="N686" s="277"/>
      <c r="O686" s="277"/>
      <c r="P686" s="277"/>
      <c r="Q686" s="277"/>
      <c r="R686" s="277"/>
      <c r="S686" s="277"/>
    </row>
    <row r="687" spans="1:19" s="2" customFormat="1" ht="16.5" customHeight="1">
      <c r="A687" s="429">
        <v>667</v>
      </c>
      <c r="B687" s="430" t="s">
        <v>761</v>
      </c>
      <c r="C687" s="429" t="s">
        <v>6</v>
      </c>
      <c r="D687" s="429" t="s">
        <v>7</v>
      </c>
      <c r="E687" s="429" t="s">
        <v>8</v>
      </c>
      <c r="F687" s="437">
        <v>220</v>
      </c>
      <c r="G687" s="27">
        <f t="shared" si="13"/>
        <v>220</v>
      </c>
      <c r="H687" s="429"/>
      <c r="J687" s="277"/>
      <c r="K687" s="277"/>
      <c r="L687" s="277"/>
      <c r="M687" s="277"/>
      <c r="N687" s="277"/>
      <c r="O687" s="277"/>
      <c r="P687" s="277"/>
      <c r="Q687" s="277"/>
      <c r="R687" s="277"/>
      <c r="S687" s="277"/>
    </row>
    <row r="688" spans="1:19" s="2" customFormat="1" ht="33">
      <c r="A688" s="429">
        <v>668</v>
      </c>
      <c r="B688" s="430" t="s">
        <v>764</v>
      </c>
      <c r="C688" s="429"/>
      <c r="D688" s="429"/>
      <c r="E688" s="431" t="s">
        <v>8</v>
      </c>
      <c r="F688" s="440">
        <v>220</v>
      </c>
      <c r="G688" s="27">
        <f t="shared" si="13"/>
        <v>220</v>
      </c>
      <c r="H688" s="429"/>
      <c r="J688" s="277"/>
      <c r="K688" s="277"/>
      <c r="L688" s="277"/>
      <c r="M688" s="277"/>
      <c r="N688" s="277"/>
      <c r="O688" s="277"/>
      <c r="P688" s="277"/>
      <c r="Q688" s="277"/>
      <c r="R688" s="277"/>
      <c r="S688" s="277"/>
    </row>
    <row r="689" spans="1:19" s="2" customFormat="1">
      <c r="A689" s="429">
        <v>669</v>
      </c>
      <c r="B689" s="430" t="s">
        <v>769</v>
      </c>
      <c r="C689" s="429" t="s">
        <v>6</v>
      </c>
      <c r="D689" s="429" t="s">
        <v>7</v>
      </c>
      <c r="E689" s="429" t="s">
        <v>8</v>
      </c>
      <c r="F689" s="437">
        <v>220</v>
      </c>
      <c r="G689" s="27">
        <f t="shared" si="13"/>
        <v>220</v>
      </c>
      <c r="H689" s="429"/>
      <c r="J689" s="277"/>
      <c r="K689" s="277"/>
      <c r="L689" s="277"/>
      <c r="M689" s="277"/>
      <c r="N689" s="277"/>
      <c r="O689" s="277"/>
      <c r="P689" s="277"/>
      <c r="Q689" s="277"/>
      <c r="R689" s="277"/>
      <c r="S689" s="277"/>
    </row>
    <row r="690" spans="1:19" s="2" customFormat="1" ht="33" customHeight="1">
      <c r="A690" s="429">
        <v>670</v>
      </c>
      <c r="B690" s="430" t="s">
        <v>809</v>
      </c>
      <c r="C690" s="429"/>
      <c r="D690" s="429"/>
      <c r="E690" s="429" t="s">
        <v>8</v>
      </c>
      <c r="F690" s="436">
        <v>220</v>
      </c>
      <c r="G690" s="27">
        <f t="shared" si="13"/>
        <v>220</v>
      </c>
      <c r="H690" s="429"/>
      <c r="J690" s="277"/>
      <c r="K690" s="277"/>
      <c r="L690" s="277"/>
      <c r="M690" s="277"/>
      <c r="N690" s="277"/>
      <c r="O690" s="277"/>
      <c r="P690" s="277"/>
      <c r="Q690" s="277"/>
      <c r="R690" s="277"/>
      <c r="S690" s="277"/>
    </row>
    <row r="691" spans="1:19" s="2" customFormat="1" ht="16.5" customHeight="1">
      <c r="A691" s="429">
        <v>671</v>
      </c>
      <c r="B691" s="430" t="s">
        <v>813</v>
      </c>
      <c r="C691" s="429"/>
      <c r="D691" s="429"/>
      <c r="E691" s="438" t="s">
        <v>8</v>
      </c>
      <c r="F691" s="27">
        <v>220</v>
      </c>
      <c r="G691" s="27">
        <f t="shared" si="13"/>
        <v>220</v>
      </c>
      <c r="H691" s="429"/>
      <c r="J691" s="277"/>
      <c r="K691" s="277"/>
      <c r="L691" s="278"/>
      <c r="M691" s="278"/>
      <c r="N691" s="278"/>
      <c r="O691" s="278"/>
      <c r="P691" s="278"/>
      <c r="Q691" s="278"/>
      <c r="R691" s="278"/>
      <c r="S691" s="278"/>
    </row>
    <row r="692" spans="1:19" s="2" customFormat="1">
      <c r="A692" s="429">
        <v>672</v>
      </c>
      <c r="B692" s="430" t="s">
        <v>818</v>
      </c>
      <c r="C692" s="429" t="s">
        <v>18</v>
      </c>
      <c r="D692" s="429" t="s">
        <v>7</v>
      </c>
      <c r="E692" s="429" t="s">
        <v>8</v>
      </c>
      <c r="F692" s="27">
        <v>220</v>
      </c>
      <c r="G692" s="27">
        <f t="shared" si="13"/>
        <v>220</v>
      </c>
      <c r="H692" s="429"/>
      <c r="J692" s="277"/>
      <c r="K692" s="277"/>
      <c r="L692" s="278"/>
      <c r="M692" s="278"/>
      <c r="N692" s="278"/>
      <c r="O692" s="278"/>
      <c r="P692" s="278"/>
      <c r="Q692" s="278"/>
      <c r="R692" s="278"/>
      <c r="S692" s="278"/>
    </row>
    <row r="693" spans="1:19" s="2" customFormat="1" ht="33">
      <c r="A693" s="429">
        <v>673</v>
      </c>
      <c r="B693" s="430" t="s">
        <v>852</v>
      </c>
      <c r="C693" s="429" t="s">
        <v>6</v>
      </c>
      <c r="D693" s="429" t="s">
        <v>7</v>
      </c>
      <c r="E693" s="429" t="s">
        <v>8</v>
      </c>
      <c r="F693" s="27">
        <v>220</v>
      </c>
      <c r="G693" s="27">
        <f t="shared" si="13"/>
        <v>220</v>
      </c>
      <c r="H693" s="429"/>
      <c r="J693" s="277"/>
      <c r="K693" s="277"/>
      <c r="L693" s="277"/>
      <c r="M693" s="277"/>
      <c r="N693" s="277"/>
      <c r="O693" s="277"/>
      <c r="P693" s="277"/>
      <c r="Q693" s="277"/>
      <c r="R693" s="277"/>
      <c r="S693" s="277"/>
    </row>
    <row r="694" spans="1:19" s="2" customFormat="1" ht="33" customHeight="1">
      <c r="A694" s="429">
        <v>674</v>
      </c>
      <c r="B694" s="430" t="s">
        <v>325</v>
      </c>
      <c r="C694" s="429"/>
      <c r="D694" s="429"/>
      <c r="E694" s="429" t="s">
        <v>8</v>
      </c>
      <c r="F694" s="437">
        <v>220</v>
      </c>
      <c r="G694" s="27">
        <f t="shared" si="13"/>
        <v>220</v>
      </c>
      <c r="H694" s="429"/>
      <c r="J694" s="277"/>
      <c r="K694" s="277"/>
      <c r="L694" s="277"/>
      <c r="M694" s="277"/>
      <c r="N694" s="277"/>
      <c r="O694" s="277"/>
      <c r="P694" s="277"/>
      <c r="Q694" s="277"/>
      <c r="R694" s="277"/>
      <c r="S694" s="277"/>
    </row>
    <row r="695" spans="1:19" s="2" customFormat="1" ht="33">
      <c r="A695" s="429">
        <v>675</v>
      </c>
      <c r="B695" s="430" t="s">
        <v>812</v>
      </c>
      <c r="C695" s="429" t="s">
        <v>9</v>
      </c>
      <c r="D695" s="429" t="s">
        <v>7</v>
      </c>
      <c r="E695" s="438" t="s">
        <v>8</v>
      </c>
      <c r="F695" s="27">
        <v>220</v>
      </c>
      <c r="G695" s="27">
        <f t="shared" si="13"/>
        <v>220</v>
      </c>
      <c r="H695" s="429"/>
      <c r="J695" s="277"/>
      <c r="K695" s="277"/>
      <c r="L695" s="277"/>
      <c r="M695" s="277"/>
      <c r="N695" s="277"/>
      <c r="O695" s="277"/>
      <c r="P695" s="277"/>
      <c r="Q695" s="277"/>
      <c r="R695" s="277"/>
      <c r="S695" s="277"/>
    </row>
    <row r="696" spans="1:19" s="2" customFormat="1">
      <c r="A696" s="429">
        <v>676</v>
      </c>
      <c r="B696" s="430" t="s">
        <v>74</v>
      </c>
      <c r="C696" s="429" t="s">
        <v>16</v>
      </c>
      <c r="D696" s="429" t="s">
        <v>7</v>
      </c>
      <c r="E696" s="429" t="s">
        <v>8</v>
      </c>
      <c r="F696" s="27">
        <v>232</v>
      </c>
      <c r="G696" s="27">
        <v>220</v>
      </c>
      <c r="H696" s="429"/>
      <c r="J696" s="277"/>
      <c r="K696" s="277"/>
      <c r="L696" s="277"/>
      <c r="M696" s="277"/>
      <c r="N696" s="277"/>
      <c r="O696" s="277"/>
      <c r="P696" s="277"/>
      <c r="Q696" s="277"/>
      <c r="R696" s="277"/>
      <c r="S696" s="277"/>
    </row>
    <row r="697" spans="1:19" s="2" customFormat="1">
      <c r="A697" s="429">
        <v>677</v>
      </c>
      <c r="B697" s="430" t="s">
        <v>82</v>
      </c>
      <c r="C697" s="429" t="s">
        <v>14</v>
      </c>
      <c r="D697" s="429" t="s">
        <v>10</v>
      </c>
      <c r="E697" s="429" t="s">
        <v>8</v>
      </c>
      <c r="F697" s="27">
        <v>232</v>
      </c>
      <c r="G697" s="27">
        <v>220</v>
      </c>
      <c r="H697" s="429"/>
      <c r="J697" s="277"/>
      <c r="K697" s="277"/>
      <c r="L697" s="277"/>
      <c r="M697" s="277"/>
      <c r="N697" s="277"/>
      <c r="O697" s="277"/>
      <c r="P697" s="277"/>
      <c r="Q697" s="277"/>
      <c r="R697" s="277"/>
      <c r="S697" s="277"/>
    </row>
    <row r="698" spans="1:19" s="2" customFormat="1" ht="33">
      <c r="A698" s="429">
        <v>678</v>
      </c>
      <c r="B698" s="430" t="s">
        <v>108</v>
      </c>
      <c r="C698" s="429" t="s">
        <v>14</v>
      </c>
      <c r="D698" s="429" t="s">
        <v>7</v>
      </c>
      <c r="E698" s="429" t="s">
        <v>8</v>
      </c>
      <c r="F698" s="27">
        <v>232</v>
      </c>
      <c r="G698" s="27">
        <v>220</v>
      </c>
      <c r="H698" s="429"/>
      <c r="J698" s="277"/>
      <c r="K698" s="277"/>
      <c r="L698" s="277"/>
      <c r="M698" s="277"/>
      <c r="N698" s="277"/>
      <c r="O698" s="277"/>
      <c r="P698" s="277"/>
      <c r="Q698" s="277"/>
      <c r="R698" s="277"/>
      <c r="S698" s="277"/>
    </row>
    <row r="699" spans="1:19" s="2" customFormat="1">
      <c r="A699" s="429">
        <v>679</v>
      </c>
      <c r="B699" s="430" t="s">
        <v>145</v>
      </c>
      <c r="C699" s="429" t="s">
        <v>18</v>
      </c>
      <c r="D699" s="429" t="s">
        <v>7</v>
      </c>
      <c r="E699" s="429" t="s">
        <v>8</v>
      </c>
      <c r="F699" s="27">
        <v>232</v>
      </c>
      <c r="G699" s="27">
        <v>220</v>
      </c>
      <c r="H699" s="429"/>
      <c r="J699" s="277"/>
      <c r="K699" s="277"/>
      <c r="L699" s="277"/>
      <c r="M699" s="277"/>
      <c r="N699" s="277"/>
      <c r="O699" s="277"/>
      <c r="P699" s="277"/>
      <c r="Q699" s="277"/>
      <c r="R699" s="277"/>
      <c r="S699" s="277"/>
    </row>
    <row r="700" spans="1:19" s="2" customFormat="1">
      <c r="A700" s="429">
        <v>680</v>
      </c>
      <c r="B700" s="430" t="s">
        <v>171</v>
      </c>
      <c r="C700" s="429" t="s">
        <v>12</v>
      </c>
      <c r="D700" s="429" t="s">
        <v>10</v>
      </c>
      <c r="E700" s="429" t="s">
        <v>8</v>
      </c>
      <c r="F700" s="27">
        <v>232</v>
      </c>
      <c r="G700" s="27">
        <v>220</v>
      </c>
      <c r="H700" s="429"/>
      <c r="J700" s="277"/>
      <c r="K700" s="277"/>
      <c r="L700" s="277"/>
      <c r="M700" s="277"/>
      <c r="N700" s="277"/>
      <c r="O700" s="277"/>
      <c r="P700" s="277"/>
      <c r="Q700" s="277"/>
      <c r="R700" s="277"/>
      <c r="S700" s="277"/>
    </row>
    <row r="701" spans="1:19" s="2" customFormat="1" ht="33">
      <c r="A701" s="429">
        <v>681</v>
      </c>
      <c r="B701" s="430" t="s">
        <v>234</v>
      </c>
      <c r="C701" s="429" t="s">
        <v>6</v>
      </c>
      <c r="D701" s="429" t="s">
        <v>10</v>
      </c>
      <c r="E701" s="429" t="s">
        <v>8</v>
      </c>
      <c r="F701" s="27">
        <v>232</v>
      </c>
      <c r="G701" s="27">
        <v>220</v>
      </c>
      <c r="H701" s="429"/>
      <c r="J701" s="277"/>
      <c r="K701" s="277"/>
      <c r="L701" s="277"/>
      <c r="M701" s="277"/>
      <c r="N701" s="277"/>
      <c r="O701" s="277"/>
      <c r="P701" s="277"/>
      <c r="Q701" s="277"/>
      <c r="R701" s="277"/>
      <c r="S701" s="277"/>
    </row>
    <row r="702" spans="1:19" s="2" customFormat="1">
      <c r="A702" s="429">
        <v>682</v>
      </c>
      <c r="B702" s="430" t="s">
        <v>236</v>
      </c>
      <c r="C702" s="429" t="s">
        <v>16</v>
      </c>
      <c r="D702" s="429" t="s">
        <v>7</v>
      </c>
      <c r="E702" s="429" t="s">
        <v>8</v>
      </c>
      <c r="F702" s="27">
        <v>232</v>
      </c>
      <c r="G702" s="27">
        <v>220</v>
      </c>
      <c r="H702" s="429"/>
      <c r="J702" s="277"/>
      <c r="K702" s="277"/>
      <c r="L702" s="277"/>
      <c r="M702" s="277"/>
      <c r="N702" s="277"/>
      <c r="O702" s="277"/>
      <c r="P702" s="277"/>
      <c r="Q702" s="277"/>
      <c r="R702" s="277"/>
      <c r="S702" s="277"/>
    </row>
    <row r="703" spans="1:19" s="2" customFormat="1" ht="33">
      <c r="A703" s="429">
        <v>683</v>
      </c>
      <c r="B703" s="430" t="s">
        <v>258</v>
      </c>
      <c r="C703" s="429" t="s">
        <v>18</v>
      </c>
      <c r="D703" s="429" t="s">
        <v>7</v>
      </c>
      <c r="E703" s="429" t="s">
        <v>8</v>
      </c>
      <c r="F703" s="27">
        <v>232</v>
      </c>
      <c r="G703" s="27">
        <v>220</v>
      </c>
      <c r="H703" s="429"/>
      <c r="J703" s="277"/>
      <c r="K703" s="277"/>
      <c r="L703" s="277"/>
      <c r="M703" s="277"/>
      <c r="N703" s="277"/>
      <c r="O703" s="277"/>
      <c r="P703" s="277"/>
      <c r="Q703" s="277"/>
      <c r="R703" s="277"/>
      <c r="S703" s="277"/>
    </row>
    <row r="704" spans="1:19" s="2" customFormat="1">
      <c r="A704" s="429">
        <v>684</v>
      </c>
      <c r="B704" s="430" t="s">
        <v>278</v>
      </c>
      <c r="C704" s="429" t="s">
        <v>14</v>
      </c>
      <c r="D704" s="429" t="s">
        <v>10</v>
      </c>
      <c r="E704" s="429" t="s">
        <v>8</v>
      </c>
      <c r="F704" s="27">
        <v>232</v>
      </c>
      <c r="G704" s="27">
        <v>220</v>
      </c>
      <c r="H704" s="429"/>
      <c r="J704" s="277"/>
      <c r="K704" s="277"/>
      <c r="L704" s="277"/>
      <c r="M704" s="277"/>
      <c r="N704" s="277"/>
      <c r="O704" s="277"/>
      <c r="P704" s="277"/>
      <c r="Q704" s="277"/>
      <c r="R704" s="277"/>
      <c r="S704" s="277"/>
    </row>
    <row r="705" spans="1:19" s="2" customFormat="1" ht="33">
      <c r="A705" s="429">
        <v>685</v>
      </c>
      <c r="B705" s="430" t="s">
        <v>281</v>
      </c>
      <c r="C705" s="429" t="s">
        <v>6</v>
      </c>
      <c r="D705" s="429" t="s">
        <v>7</v>
      </c>
      <c r="E705" s="429" t="s">
        <v>8</v>
      </c>
      <c r="F705" s="27">
        <v>232</v>
      </c>
      <c r="G705" s="27">
        <v>220</v>
      </c>
      <c r="H705" s="429"/>
      <c r="J705" s="277"/>
      <c r="K705" s="277"/>
      <c r="L705" s="277"/>
      <c r="M705" s="277"/>
      <c r="N705" s="277"/>
      <c r="O705" s="277"/>
      <c r="P705" s="277"/>
      <c r="Q705" s="277"/>
      <c r="R705" s="277"/>
      <c r="S705" s="277"/>
    </row>
    <row r="706" spans="1:19" s="2" customFormat="1" ht="26.25" customHeight="1">
      <c r="A706" s="429">
        <v>686</v>
      </c>
      <c r="B706" s="430" t="s">
        <v>338</v>
      </c>
      <c r="C706" s="429" t="s">
        <v>18</v>
      </c>
      <c r="D706" s="429" t="s">
        <v>7</v>
      </c>
      <c r="E706" s="429" t="s">
        <v>8</v>
      </c>
      <c r="F706" s="27">
        <v>232</v>
      </c>
      <c r="G706" s="27">
        <v>220</v>
      </c>
      <c r="H706" s="429"/>
      <c r="J706" s="277"/>
      <c r="K706" s="277"/>
      <c r="L706" s="277"/>
      <c r="M706" s="277"/>
      <c r="N706" s="277"/>
      <c r="O706" s="277"/>
      <c r="P706" s="277"/>
      <c r="Q706" s="277"/>
      <c r="R706" s="277"/>
      <c r="S706" s="277"/>
    </row>
    <row r="707" spans="1:19" s="2" customFormat="1">
      <c r="A707" s="429">
        <v>687</v>
      </c>
      <c r="B707" s="430" t="s">
        <v>413</v>
      </c>
      <c r="C707" s="429" t="s">
        <v>12</v>
      </c>
      <c r="D707" s="429" t="s">
        <v>7</v>
      </c>
      <c r="E707" s="429" t="s">
        <v>8</v>
      </c>
      <c r="F707" s="27">
        <v>232</v>
      </c>
      <c r="G707" s="27">
        <v>220</v>
      </c>
      <c r="H707" s="429"/>
      <c r="J707" s="277"/>
      <c r="K707" s="277"/>
      <c r="L707" s="277"/>
      <c r="M707" s="277"/>
      <c r="N707" s="277"/>
      <c r="O707" s="277"/>
      <c r="P707" s="277"/>
      <c r="Q707" s="277"/>
      <c r="R707" s="277"/>
      <c r="S707" s="277"/>
    </row>
    <row r="708" spans="1:19" s="2" customFormat="1">
      <c r="A708" s="429">
        <v>688</v>
      </c>
      <c r="B708" s="430" t="s">
        <v>446</v>
      </c>
      <c r="C708" s="429" t="s">
        <v>18</v>
      </c>
      <c r="D708" s="429" t="s">
        <v>7</v>
      </c>
      <c r="E708" s="429" t="s">
        <v>8</v>
      </c>
      <c r="F708" s="27">
        <v>232</v>
      </c>
      <c r="G708" s="27">
        <v>220</v>
      </c>
      <c r="H708" s="429"/>
      <c r="J708" s="277"/>
      <c r="K708" s="277"/>
      <c r="L708" s="277"/>
      <c r="M708" s="277"/>
      <c r="N708" s="277"/>
      <c r="O708" s="277"/>
      <c r="P708" s="277"/>
      <c r="Q708" s="277"/>
      <c r="R708" s="277"/>
      <c r="S708" s="277"/>
    </row>
    <row r="709" spans="1:19" s="2" customFormat="1">
      <c r="A709" s="429">
        <v>689</v>
      </c>
      <c r="B709" s="430" t="s">
        <v>449</v>
      </c>
      <c r="C709" s="429" t="s">
        <v>14</v>
      </c>
      <c r="D709" s="429" t="s">
        <v>7</v>
      </c>
      <c r="E709" s="429" t="s">
        <v>8</v>
      </c>
      <c r="F709" s="27">
        <v>232</v>
      </c>
      <c r="G709" s="27">
        <v>220</v>
      </c>
      <c r="H709" s="429"/>
      <c r="J709" s="277"/>
      <c r="K709" s="277"/>
      <c r="L709" s="277"/>
      <c r="M709" s="277"/>
      <c r="N709" s="277"/>
      <c r="O709" s="277"/>
      <c r="P709" s="277"/>
      <c r="Q709" s="277"/>
      <c r="R709" s="277"/>
      <c r="S709" s="277"/>
    </row>
    <row r="710" spans="1:19" s="2" customFormat="1" ht="33">
      <c r="A710" s="429">
        <v>690</v>
      </c>
      <c r="B710" s="430" t="s">
        <v>489</v>
      </c>
      <c r="C710" s="429" t="s">
        <v>12</v>
      </c>
      <c r="D710" s="429" t="s">
        <v>10</v>
      </c>
      <c r="E710" s="429" t="s">
        <v>8</v>
      </c>
      <c r="F710" s="27">
        <v>232</v>
      </c>
      <c r="G710" s="27">
        <v>220</v>
      </c>
      <c r="H710" s="429"/>
      <c r="J710" s="277"/>
      <c r="K710" s="277"/>
      <c r="L710" s="277"/>
      <c r="M710" s="277"/>
      <c r="N710" s="277"/>
      <c r="O710" s="277"/>
      <c r="P710" s="277"/>
      <c r="Q710" s="277"/>
      <c r="R710" s="277"/>
      <c r="S710" s="277"/>
    </row>
    <row r="711" spans="1:19" s="2" customFormat="1" ht="33">
      <c r="A711" s="429">
        <v>691</v>
      </c>
      <c r="B711" s="430" t="s">
        <v>494</v>
      </c>
      <c r="C711" s="429" t="s">
        <v>14</v>
      </c>
      <c r="D711" s="429" t="s">
        <v>7</v>
      </c>
      <c r="E711" s="429" t="s">
        <v>8</v>
      </c>
      <c r="F711" s="27">
        <v>232</v>
      </c>
      <c r="G711" s="27">
        <v>220</v>
      </c>
      <c r="H711" s="429"/>
      <c r="J711" s="277"/>
      <c r="K711" s="277"/>
      <c r="L711" s="277"/>
      <c r="M711" s="277"/>
      <c r="N711" s="277"/>
      <c r="O711" s="277"/>
      <c r="P711" s="277"/>
      <c r="Q711" s="277"/>
      <c r="R711" s="277"/>
      <c r="S711" s="277"/>
    </row>
    <row r="712" spans="1:19" s="2" customFormat="1">
      <c r="A712" s="429">
        <v>692</v>
      </c>
      <c r="B712" s="430" t="s">
        <v>630</v>
      </c>
      <c r="C712" s="429" t="s">
        <v>14</v>
      </c>
      <c r="D712" s="429" t="s">
        <v>10</v>
      </c>
      <c r="E712" s="429" t="s">
        <v>8</v>
      </c>
      <c r="F712" s="27">
        <v>232</v>
      </c>
      <c r="G712" s="27">
        <v>220</v>
      </c>
      <c r="H712" s="429"/>
      <c r="J712" s="277"/>
      <c r="K712" s="277"/>
      <c r="L712" s="277"/>
      <c r="M712" s="277"/>
      <c r="N712" s="277"/>
      <c r="O712" s="277"/>
      <c r="P712" s="277"/>
      <c r="Q712" s="277"/>
      <c r="R712" s="277"/>
      <c r="S712" s="277"/>
    </row>
    <row r="713" spans="1:19" s="2" customFormat="1" ht="33">
      <c r="A713" s="429">
        <v>693</v>
      </c>
      <c r="B713" s="430" t="s">
        <v>633</v>
      </c>
      <c r="C713" s="429" t="s">
        <v>12</v>
      </c>
      <c r="D713" s="429" t="s">
        <v>7</v>
      </c>
      <c r="E713" s="429" t="s">
        <v>8</v>
      </c>
      <c r="F713" s="27">
        <v>232</v>
      </c>
      <c r="G713" s="27">
        <v>220</v>
      </c>
      <c r="H713" s="429"/>
      <c r="J713" s="277"/>
      <c r="K713" s="277"/>
      <c r="L713" s="277"/>
      <c r="M713" s="277"/>
      <c r="N713" s="277"/>
      <c r="O713" s="277"/>
      <c r="P713" s="277"/>
      <c r="Q713" s="277"/>
      <c r="R713" s="277"/>
      <c r="S713" s="277"/>
    </row>
    <row r="714" spans="1:19" s="2" customFormat="1" ht="33">
      <c r="A714" s="429">
        <v>694</v>
      </c>
      <c r="B714" s="430" t="s">
        <v>684</v>
      </c>
      <c r="C714" s="429" t="s">
        <v>14</v>
      </c>
      <c r="D714" s="429" t="s">
        <v>10</v>
      </c>
      <c r="E714" s="429" t="s">
        <v>8</v>
      </c>
      <c r="F714" s="27">
        <v>232</v>
      </c>
      <c r="G714" s="27">
        <v>220</v>
      </c>
      <c r="H714" s="429"/>
      <c r="J714" s="277"/>
      <c r="K714" s="277"/>
      <c r="L714" s="277"/>
      <c r="M714" s="277"/>
      <c r="N714" s="277"/>
      <c r="O714" s="277"/>
      <c r="P714" s="277"/>
      <c r="Q714" s="277"/>
      <c r="R714" s="277"/>
      <c r="S714" s="277"/>
    </row>
    <row r="715" spans="1:19" s="2" customFormat="1">
      <c r="A715" s="429">
        <v>695</v>
      </c>
      <c r="B715" s="430" t="s">
        <v>722</v>
      </c>
      <c r="C715" s="429" t="s">
        <v>18</v>
      </c>
      <c r="D715" s="429" t="s">
        <v>7</v>
      </c>
      <c r="E715" s="429" t="s">
        <v>8</v>
      </c>
      <c r="F715" s="27">
        <v>232</v>
      </c>
      <c r="G715" s="27">
        <v>220</v>
      </c>
      <c r="H715" s="429"/>
      <c r="J715" s="277"/>
      <c r="K715" s="277"/>
      <c r="L715" s="277"/>
      <c r="M715" s="277"/>
      <c r="N715" s="277"/>
      <c r="O715" s="277"/>
      <c r="P715" s="277"/>
      <c r="Q715" s="277"/>
      <c r="R715" s="277"/>
      <c r="S715" s="277"/>
    </row>
    <row r="716" spans="1:19" s="2" customFormat="1" ht="33">
      <c r="A716" s="429">
        <v>696</v>
      </c>
      <c r="B716" s="430" t="s">
        <v>727</v>
      </c>
      <c r="C716" s="429" t="s">
        <v>6</v>
      </c>
      <c r="D716" s="429" t="s">
        <v>7</v>
      </c>
      <c r="E716" s="429" t="s">
        <v>8</v>
      </c>
      <c r="F716" s="27">
        <v>232</v>
      </c>
      <c r="G716" s="27">
        <v>220</v>
      </c>
      <c r="H716" s="429"/>
      <c r="J716" s="277"/>
      <c r="K716" s="277"/>
      <c r="L716" s="277"/>
      <c r="M716" s="277"/>
      <c r="N716" s="277"/>
      <c r="O716" s="277"/>
      <c r="P716" s="277"/>
      <c r="Q716" s="277"/>
      <c r="R716" s="277"/>
      <c r="S716" s="277"/>
    </row>
    <row r="717" spans="1:19" s="2" customFormat="1" ht="44.25" customHeight="1">
      <c r="A717" s="429">
        <v>697</v>
      </c>
      <c r="B717" s="430" t="s">
        <v>740</v>
      </c>
      <c r="C717" s="429" t="s">
        <v>14</v>
      </c>
      <c r="D717" s="429" t="s">
        <v>7</v>
      </c>
      <c r="E717" s="429" t="s">
        <v>8</v>
      </c>
      <c r="F717" s="27">
        <v>232</v>
      </c>
      <c r="G717" s="27">
        <v>220</v>
      </c>
      <c r="H717" s="429"/>
      <c r="J717" s="277"/>
      <c r="K717" s="277"/>
      <c r="L717" s="277"/>
      <c r="M717" s="277"/>
      <c r="N717" s="277"/>
      <c r="O717" s="277"/>
      <c r="P717" s="277"/>
      <c r="Q717" s="277"/>
      <c r="R717" s="277"/>
      <c r="S717" s="277"/>
    </row>
    <row r="718" spans="1:19" s="2" customFormat="1">
      <c r="A718" s="429">
        <v>698</v>
      </c>
      <c r="B718" s="430" t="s">
        <v>750</v>
      </c>
      <c r="C718" s="429" t="s">
        <v>6</v>
      </c>
      <c r="D718" s="429" t="s">
        <v>7</v>
      </c>
      <c r="E718" s="429" t="s">
        <v>8</v>
      </c>
      <c r="F718" s="27">
        <v>232</v>
      </c>
      <c r="G718" s="27">
        <v>220</v>
      </c>
      <c r="H718" s="429"/>
      <c r="J718" s="277"/>
      <c r="K718" s="277"/>
      <c r="L718" s="277"/>
      <c r="M718" s="277"/>
      <c r="N718" s="277"/>
      <c r="O718" s="277"/>
      <c r="P718" s="277"/>
      <c r="Q718" s="277"/>
      <c r="R718" s="277"/>
      <c r="S718" s="277"/>
    </row>
    <row r="719" spans="1:19" s="2" customFormat="1" ht="66" customHeight="1">
      <c r="A719" s="429">
        <v>699</v>
      </c>
      <c r="B719" s="430" t="s">
        <v>774</v>
      </c>
      <c r="C719" s="429" t="s">
        <v>15</v>
      </c>
      <c r="D719" s="429" t="s">
        <v>7</v>
      </c>
      <c r="E719" s="429" t="s">
        <v>8</v>
      </c>
      <c r="F719" s="27">
        <v>232</v>
      </c>
      <c r="G719" s="27">
        <v>220</v>
      </c>
      <c r="H719" s="429"/>
      <c r="J719" s="277"/>
      <c r="K719" s="277"/>
      <c r="L719" s="277"/>
      <c r="M719" s="277"/>
      <c r="N719" s="277"/>
      <c r="O719" s="277"/>
      <c r="P719" s="277"/>
      <c r="Q719" s="277"/>
      <c r="R719" s="277"/>
      <c r="S719" s="277"/>
    </row>
    <row r="720" spans="1:19" s="2" customFormat="1" ht="17.25" customHeight="1">
      <c r="A720" s="429">
        <v>700</v>
      </c>
      <c r="B720" s="430" t="s">
        <v>788</v>
      </c>
      <c r="C720" s="429" t="s">
        <v>6</v>
      </c>
      <c r="D720" s="429" t="s">
        <v>7</v>
      </c>
      <c r="E720" s="429" t="s">
        <v>8</v>
      </c>
      <c r="F720" s="27">
        <v>232</v>
      </c>
      <c r="G720" s="27">
        <v>220</v>
      </c>
      <c r="H720" s="429"/>
      <c r="J720" s="277"/>
      <c r="K720" s="277"/>
      <c r="L720" s="277"/>
      <c r="M720" s="277"/>
      <c r="N720" s="277"/>
      <c r="O720" s="277"/>
      <c r="P720" s="277"/>
      <c r="Q720" s="277"/>
      <c r="R720" s="277"/>
      <c r="S720" s="277"/>
    </row>
    <row r="721" spans="1:19" s="2" customFormat="1" ht="33">
      <c r="A721" s="429">
        <v>701</v>
      </c>
      <c r="B721" s="430" t="s">
        <v>800</v>
      </c>
      <c r="C721" s="429" t="s">
        <v>12</v>
      </c>
      <c r="D721" s="429" t="s">
        <v>7</v>
      </c>
      <c r="E721" s="429" t="s">
        <v>8</v>
      </c>
      <c r="F721" s="27">
        <v>232</v>
      </c>
      <c r="G721" s="27">
        <v>220</v>
      </c>
      <c r="H721" s="429"/>
      <c r="J721" s="277"/>
      <c r="K721" s="277"/>
      <c r="L721" s="277"/>
      <c r="M721" s="277"/>
      <c r="N721" s="277"/>
      <c r="O721" s="277"/>
      <c r="P721" s="277"/>
      <c r="Q721" s="277"/>
      <c r="R721" s="277"/>
      <c r="S721" s="277"/>
    </row>
    <row r="722" spans="1:19" s="2" customFormat="1">
      <c r="A722" s="429">
        <v>702</v>
      </c>
      <c r="B722" s="430" t="s">
        <v>830</v>
      </c>
      <c r="C722" s="429" t="s">
        <v>18</v>
      </c>
      <c r="D722" s="429" t="s">
        <v>7</v>
      </c>
      <c r="E722" s="429" t="s">
        <v>8</v>
      </c>
      <c r="F722" s="27">
        <v>232</v>
      </c>
      <c r="G722" s="27">
        <v>220</v>
      </c>
      <c r="H722" s="429"/>
      <c r="J722" s="277"/>
      <c r="K722" s="277"/>
      <c r="L722" s="277"/>
      <c r="M722" s="277"/>
      <c r="N722" s="277"/>
      <c r="O722" s="277"/>
      <c r="P722" s="277"/>
      <c r="Q722" s="277"/>
      <c r="R722" s="277"/>
      <c r="S722" s="277"/>
    </row>
    <row r="723" spans="1:19" s="2" customFormat="1">
      <c r="A723" s="429">
        <v>703</v>
      </c>
      <c r="B723" s="430" t="s">
        <v>844</v>
      </c>
      <c r="C723" s="429" t="s">
        <v>18</v>
      </c>
      <c r="D723" s="429" t="s">
        <v>7</v>
      </c>
      <c r="E723" s="429" t="s">
        <v>8</v>
      </c>
      <c r="F723" s="27">
        <v>232</v>
      </c>
      <c r="G723" s="27">
        <v>220</v>
      </c>
      <c r="H723" s="429"/>
      <c r="J723" s="277"/>
      <c r="K723" s="277"/>
      <c r="L723" s="277"/>
      <c r="M723" s="277"/>
      <c r="N723" s="277"/>
      <c r="O723" s="277"/>
      <c r="P723" s="277"/>
      <c r="Q723" s="277"/>
      <c r="R723" s="277"/>
      <c r="S723" s="277"/>
    </row>
    <row r="724" spans="1:19" s="2" customFormat="1">
      <c r="A724" s="429">
        <v>704</v>
      </c>
      <c r="B724" s="430" t="s">
        <v>868</v>
      </c>
      <c r="C724" s="429" t="s">
        <v>14</v>
      </c>
      <c r="D724" s="429" t="s">
        <v>7</v>
      </c>
      <c r="E724" s="429" t="s">
        <v>8</v>
      </c>
      <c r="F724" s="27">
        <v>232</v>
      </c>
      <c r="G724" s="27">
        <v>220</v>
      </c>
      <c r="H724" s="429"/>
      <c r="J724" s="277"/>
      <c r="K724" s="277"/>
      <c r="L724" s="277"/>
      <c r="M724" s="277"/>
      <c r="N724" s="277"/>
      <c r="O724" s="277"/>
      <c r="P724" s="277"/>
      <c r="Q724" s="277"/>
      <c r="R724" s="277"/>
      <c r="S724" s="277"/>
    </row>
    <row r="725" spans="1:19" s="2" customFormat="1">
      <c r="A725" s="429">
        <v>705</v>
      </c>
      <c r="B725" s="430" t="s">
        <v>872</v>
      </c>
      <c r="C725" s="429" t="s">
        <v>6</v>
      </c>
      <c r="D725" s="429" t="s">
        <v>7</v>
      </c>
      <c r="E725" s="429" t="s">
        <v>8</v>
      </c>
      <c r="F725" s="27">
        <v>232</v>
      </c>
      <c r="G725" s="27">
        <v>220</v>
      </c>
      <c r="H725" s="429"/>
      <c r="J725" s="277"/>
      <c r="K725" s="277"/>
      <c r="L725" s="277"/>
      <c r="M725" s="277"/>
      <c r="N725" s="277"/>
      <c r="O725" s="277"/>
      <c r="P725" s="277"/>
      <c r="Q725" s="277"/>
      <c r="R725" s="277"/>
      <c r="S725" s="277"/>
    </row>
    <row r="726" spans="1:19" s="2" customFormat="1">
      <c r="A726" s="429">
        <v>706</v>
      </c>
      <c r="B726" s="430" t="s">
        <v>905</v>
      </c>
      <c r="C726" s="429" t="s">
        <v>6</v>
      </c>
      <c r="D726" s="429" t="s">
        <v>7</v>
      </c>
      <c r="E726" s="429" t="s">
        <v>8</v>
      </c>
      <c r="F726" s="27">
        <v>232</v>
      </c>
      <c r="G726" s="27">
        <v>220</v>
      </c>
      <c r="H726" s="429"/>
      <c r="J726" s="277"/>
      <c r="K726" s="277"/>
      <c r="L726" s="277"/>
      <c r="M726" s="277"/>
      <c r="N726" s="277"/>
      <c r="O726" s="277"/>
      <c r="P726" s="277"/>
      <c r="Q726" s="277"/>
      <c r="R726" s="277"/>
      <c r="S726" s="277"/>
    </row>
    <row r="727" spans="1:19" s="2" customFormat="1" ht="16.5" customHeight="1">
      <c r="A727" s="429">
        <v>707</v>
      </c>
      <c r="B727" s="430" t="s">
        <v>917</v>
      </c>
      <c r="C727" s="429" t="s">
        <v>18</v>
      </c>
      <c r="D727" s="429" t="s">
        <v>7</v>
      </c>
      <c r="E727" s="429" t="s">
        <v>8</v>
      </c>
      <c r="F727" s="27">
        <v>232</v>
      </c>
      <c r="G727" s="27">
        <v>220</v>
      </c>
      <c r="H727" s="429"/>
      <c r="J727" s="277"/>
      <c r="K727" s="277"/>
      <c r="L727" s="277"/>
      <c r="M727" s="277"/>
      <c r="N727" s="277"/>
      <c r="O727" s="277"/>
      <c r="P727" s="277"/>
      <c r="Q727" s="277"/>
      <c r="R727" s="277"/>
      <c r="S727" s="277"/>
    </row>
    <row r="728" spans="1:19" s="2" customFormat="1" ht="35.25" customHeight="1">
      <c r="A728" s="429">
        <v>708</v>
      </c>
      <c r="B728" s="430" t="s">
        <v>934</v>
      </c>
      <c r="C728" s="429" t="s">
        <v>18</v>
      </c>
      <c r="D728" s="429" t="s">
        <v>7</v>
      </c>
      <c r="E728" s="429" t="s">
        <v>8</v>
      </c>
      <c r="F728" s="27">
        <v>232</v>
      </c>
      <c r="G728" s="27">
        <v>220</v>
      </c>
      <c r="H728" s="429"/>
      <c r="J728" s="277"/>
      <c r="K728" s="277"/>
      <c r="L728" s="277"/>
      <c r="M728" s="277"/>
      <c r="N728" s="277"/>
      <c r="O728" s="277"/>
      <c r="P728" s="277"/>
      <c r="Q728" s="277"/>
      <c r="R728" s="277"/>
      <c r="S728" s="277"/>
    </row>
    <row r="729" spans="1:19" s="2" customFormat="1" ht="33">
      <c r="A729" s="429">
        <v>709</v>
      </c>
      <c r="B729" s="430" t="s">
        <v>954</v>
      </c>
      <c r="C729" s="429" t="s">
        <v>12</v>
      </c>
      <c r="D729" s="429" t="s">
        <v>7</v>
      </c>
      <c r="E729" s="429" t="s">
        <v>8</v>
      </c>
      <c r="F729" s="27">
        <v>232</v>
      </c>
      <c r="G729" s="27">
        <v>220</v>
      </c>
      <c r="H729" s="429"/>
      <c r="J729" s="277"/>
      <c r="K729" s="277"/>
      <c r="L729" s="277"/>
      <c r="M729" s="277"/>
      <c r="N729" s="277"/>
      <c r="O729" s="277"/>
      <c r="P729" s="277"/>
      <c r="Q729" s="277"/>
      <c r="R729" s="277"/>
      <c r="S729" s="277"/>
    </row>
    <row r="730" spans="1:19" s="2" customFormat="1" ht="16.5" customHeight="1">
      <c r="A730" s="429">
        <v>710</v>
      </c>
      <c r="B730" s="430" t="s">
        <v>967</v>
      </c>
      <c r="C730" s="429" t="s">
        <v>6</v>
      </c>
      <c r="D730" s="429" t="s">
        <v>7</v>
      </c>
      <c r="E730" s="429" t="s">
        <v>8</v>
      </c>
      <c r="F730" s="27">
        <v>232</v>
      </c>
      <c r="G730" s="27">
        <v>220</v>
      </c>
      <c r="H730" s="429"/>
      <c r="J730" s="277"/>
      <c r="K730" s="277"/>
      <c r="L730" s="277"/>
      <c r="M730" s="277"/>
      <c r="N730" s="277"/>
      <c r="O730" s="277"/>
      <c r="P730" s="277"/>
      <c r="Q730" s="277"/>
      <c r="R730" s="277"/>
      <c r="S730" s="277"/>
    </row>
    <row r="731" spans="1:19" s="2" customFormat="1" ht="16.5" customHeight="1">
      <c r="A731" s="429">
        <v>711</v>
      </c>
      <c r="B731" s="430" t="s">
        <v>937</v>
      </c>
      <c r="C731" s="429" t="s">
        <v>15</v>
      </c>
      <c r="D731" s="429" t="s">
        <v>10</v>
      </c>
      <c r="E731" s="438" t="s">
        <v>8</v>
      </c>
      <c r="F731" s="27">
        <v>260</v>
      </c>
      <c r="G731" s="27">
        <v>220</v>
      </c>
      <c r="H731" s="429"/>
      <c r="J731" s="277"/>
      <c r="K731" s="277"/>
      <c r="L731" s="277"/>
      <c r="M731" s="277"/>
      <c r="N731" s="277"/>
      <c r="O731" s="277"/>
      <c r="P731" s="277"/>
      <c r="Q731" s="277"/>
      <c r="R731" s="277"/>
      <c r="S731" s="277"/>
    </row>
    <row r="732" spans="1:19" s="2" customFormat="1">
      <c r="A732" s="429">
        <v>712</v>
      </c>
      <c r="B732" s="430" t="s">
        <v>444</v>
      </c>
      <c r="C732" s="429" t="s">
        <v>15</v>
      </c>
      <c r="D732" s="429" t="s">
        <v>10</v>
      </c>
      <c r="E732" s="429" t="s">
        <v>25</v>
      </c>
      <c r="F732" s="27">
        <v>232</v>
      </c>
      <c r="G732" s="27">
        <v>220</v>
      </c>
      <c r="H732" s="429"/>
      <c r="J732" s="277"/>
      <c r="K732" s="277"/>
      <c r="L732" s="277"/>
      <c r="M732" s="277"/>
      <c r="N732" s="277"/>
      <c r="O732" s="277"/>
      <c r="P732" s="277"/>
      <c r="Q732" s="277"/>
      <c r="R732" s="277"/>
      <c r="S732" s="277"/>
    </row>
    <row r="733" spans="1:19" s="2" customFormat="1">
      <c r="A733" s="429">
        <v>713</v>
      </c>
      <c r="B733" s="430" t="s">
        <v>1008</v>
      </c>
      <c r="C733" s="429" t="s">
        <v>18</v>
      </c>
      <c r="D733" s="429" t="s">
        <v>10</v>
      </c>
      <c r="E733" s="429" t="s">
        <v>49</v>
      </c>
      <c r="F733" s="27">
        <v>232</v>
      </c>
      <c r="G733" s="27">
        <v>220</v>
      </c>
      <c r="H733" s="429"/>
      <c r="J733" s="277"/>
      <c r="K733" s="277"/>
      <c r="L733" s="277"/>
      <c r="M733" s="277"/>
      <c r="N733" s="277"/>
      <c r="O733" s="277"/>
      <c r="P733" s="277"/>
      <c r="Q733" s="277"/>
      <c r="R733" s="277"/>
      <c r="S733" s="277"/>
    </row>
    <row r="734" spans="1:19" s="2" customFormat="1" ht="33">
      <c r="A734" s="429">
        <v>714</v>
      </c>
      <c r="B734" s="430" t="s">
        <v>84</v>
      </c>
      <c r="C734" s="429" t="s">
        <v>16</v>
      </c>
      <c r="D734" s="429" t="s">
        <v>7</v>
      </c>
      <c r="E734" s="429" t="s">
        <v>17</v>
      </c>
      <c r="F734" s="27">
        <v>232</v>
      </c>
      <c r="G734" s="27">
        <v>220</v>
      </c>
      <c r="H734" s="429"/>
      <c r="J734" s="277"/>
      <c r="K734" s="277"/>
      <c r="L734" s="277"/>
      <c r="M734" s="277"/>
      <c r="N734" s="277"/>
      <c r="O734" s="277"/>
      <c r="P734" s="277"/>
      <c r="Q734" s="277"/>
      <c r="R734" s="277"/>
      <c r="S734" s="277"/>
    </row>
    <row r="735" spans="1:19" s="2" customFormat="1" ht="33">
      <c r="A735" s="429">
        <v>715</v>
      </c>
      <c r="B735" s="430" t="s">
        <v>911</v>
      </c>
      <c r="C735" s="429" t="s">
        <v>15</v>
      </c>
      <c r="D735" s="429" t="s">
        <v>7</v>
      </c>
      <c r="E735" s="429" t="s">
        <v>17</v>
      </c>
      <c r="F735" s="27">
        <v>232</v>
      </c>
      <c r="G735" s="27">
        <v>220</v>
      </c>
      <c r="H735" s="429"/>
      <c r="J735" s="277"/>
      <c r="K735" s="277"/>
      <c r="L735" s="277"/>
      <c r="M735" s="277"/>
      <c r="N735" s="277"/>
      <c r="O735" s="277"/>
      <c r="P735" s="277"/>
      <c r="Q735" s="277"/>
      <c r="R735" s="277"/>
      <c r="S735" s="277"/>
    </row>
    <row r="736" spans="1:19" s="2" customFormat="1" ht="33">
      <c r="A736" s="429">
        <v>716</v>
      </c>
      <c r="B736" s="430" t="s">
        <v>505</v>
      </c>
      <c r="C736" s="429" t="s">
        <v>15</v>
      </c>
      <c r="D736" s="429" t="s">
        <v>7</v>
      </c>
      <c r="E736" s="429" t="s">
        <v>17</v>
      </c>
      <c r="F736" s="27">
        <v>232</v>
      </c>
      <c r="G736" s="27">
        <v>220</v>
      </c>
      <c r="H736" s="429"/>
      <c r="J736" s="277"/>
      <c r="K736" s="277"/>
      <c r="L736" s="277"/>
      <c r="M736" s="277"/>
      <c r="N736" s="277"/>
      <c r="O736" s="277"/>
      <c r="P736" s="277"/>
      <c r="Q736" s="277"/>
      <c r="R736" s="277"/>
      <c r="S736" s="277"/>
    </row>
    <row r="737" spans="1:19" s="2" customFormat="1" ht="16.5" customHeight="1">
      <c r="A737" s="429">
        <v>717</v>
      </c>
      <c r="B737" s="430" t="s">
        <v>795</v>
      </c>
      <c r="C737" s="429" t="s">
        <v>14</v>
      </c>
      <c r="D737" s="429" t="s">
        <v>7</v>
      </c>
      <c r="E737" s="429" t="s">
        <v>17</v>
      </c>
      <c r="F737" s="27">
        <v>232</v>
      </c>
      <c r="G737" s="27">
        <v>220</v>
      </c>
      <c r="H737" s="429"/>
      <c r="J737" s="277"/>
      <c r="K737" s="277"/>
      <c r="L737" s="277"/>
      <c r="M737" s="277"/>
      <c r="N737" s="277"/>
      <c r="O737" s="277"/>
      <c r="P737" s="277"/>
      <c r="Q737" s="277"/>
      <c r="R737" s="277"/>
      <c r="S737" s="277"/>
    </row>
    <row r="738" spans="1:19" s="2" customFormat="1">
      <c r="A738" s="429">
        <v>718</v>
      </c>
      <c r="B738" s="430" t="s">
        <v>53</v>
      </c>
      <c r="C738" s="429"/>
      <c r="D738" s="429"/>
      <c r="E738" s="429"/>
      <c r="F738" s="436">
        <v>220</v>
      </c>
      <c r="G738" s="27">
        <f t="shared" ref="G738:G743" si="14">F738</f>
        <v>220</v>
      </c>
      <c r="H738" s="429"/>
      <c r="J738" s="277"/>
      <c r="K738" s="277"/>
      <c r="L738" s="277"/>
      <c r="M738" s="277"/>
      <c r="N738" s="277"/>
      <c r="O738" s="277"/>
      <c r="P738" s="277"/>
      <c r="Q738" s="277"/>
      <c r="R738" s="277"/>
      <c r="S738" s="277"/>
    </row>
    <row r="739" spans="1:19" s="2" customFormat="1">
      <c r="A739" s="429">
        <v>719</v>
      </c>
      <c r="B739" s="430" t="s">
        <v>972</v>
      </c>
      <c r="C739" s="429"/>
      <c r="D739" s="429"/>
      <c r="E739" s="429"/>
      <c r="F739" s="436">
        <v>220</v>
      </c>
      <c r="G739" s="27">
        <f t="shared" si="14"/>
        <v>220</v>
      </c>
      <c r="H739" s="429"/>
      <c r="J739" s="277"/>
      <c r="K739" s="277"/>
      <c r="L739" s="277"/>
      <c r="M739" s="277"/>
      <c r="N739" s="277"/>
      <c r="O739" s="277"/>
      <c r="P739" s="277"/>
      <c r="Q739" s="277"/>
      <c r="R739" s="277"/>
      <c r="S739" s="277"/>
    </row>
    <row r="740" spans="1:19" s="2" customFormat="1">
      <c r="A740" s="429">
        <v>720</v>
      </c>
      <c r="B740" s="430" t="s">
        <v>308</v>
      </c>
      <c r="C740" s="429" t="s">
        <v>14</v>
      </c>
      <c r="D740" s="429" t="s">
        <v>7</v>
      </c>
      <c r="E740" s="429"/>
      <c r="F740" s="436">
        <v>220</v>
      </c>
      <c r="G740" s="27">
        <f t="shared" si="14"/>
        <v>220</v>
      </c>
      <c r="H740" s="429"/>
      <c r="J740" s="277"/>
      <c r="K740" s="277"/>
      <c r="L740" s="278"/>
      <c r="M740" s="278"/>
      <c r="N740" s="278"/>
      <c r="O740" s="278"/>
      <c r="P740" s="278"/>
      <c r="Q740" s="278"/>
      <c r="R740" s="278"/>
      <c r="S740" s="278"/>
    </row>
    <row r="741" spans="1:19" s="2" customFormat="1" ht="33">
      <c r="A741" s="429">
        <v>721</v>
      </c>
      <c r="B741" s="430" t="s">
        <v>219</v>
      </c>
      <c r="C741" s="429" t="s">
        <v>6</v>
      </c>
      <c r="D741" s="429" t="s">
        <v>7</v>
      </c>
      <c r="E741" s="429" t="s">
        <v>8</v>
      </c>
      <c r="F741" s="27">
        <v>227</v>
      </c>
      <c r="G741" s="27">
        <f t="shared" si="14"/>
        <v>227</v>
      </c>
      <c r="H741" s="429"/>
      <c r="J741" s="277"/>
      <c r="K741" s="277"/>
      <c r="L741" s="277"/>
      <c r="M741" s="277"/>
      <c r="N741" s="277"/>
      <c r="O741" s="277"/>
      <c r="P741" s="277"/>
      <c r="Q741" s="277"/>
      <c r="R741" s="277"/>
      <c r="S741" s="277"/>
    </row>
    <row r="742" spans="1:19" s="2" customFormat="1" ht="33">
      <c r="A742" s="429">
        <v>722</v>
      </c>
      <c r="B742" s="430" t="s">
        <v>696</v>
      </c>
      <c r="C742" s="429" t="s">
        <v>6</v>
      </c>
      <c r="D742" s="429" t="s">
        <v>7</v>
      </c>
      <c r="E742" s="429" t="s">
        <v>8</v>
      </c>
      <c r="F742" s="27">
        <v>227</v>
      </c>
      <c r="G742" s="27">
        <f t="shared" si="14"/>
        <v>227</v>
      </c>
      <c r="H742" s="429"/>
      <c r="J742" s="277"/>
      <c r="K742" s="277"/>
      <c r="L742" s="277"/>
      <c r="M742" s="277"/>
      <c r="N742" s="277"/>
      <c r="O742" s="277"/>
      <c r="P742" s="277"/>
      <c r="Q742" s="277"/>
      <c r="R742" s="277"/>
      <c r="S742" s="277"/>
    </row>
    <row r="743" spans="1:19" s="6" customFormat="1" ht="16.5" customHeight="1">
      <c r="A743" s="429">
        <v>723</v>
      </c>
      <c r="B743" s="430" t="s">
        <v>131</v>
      </c>
      <c r="C743" s="429" t="s">
        <v>16</v>
      </c>
      <c r="D743" s="429" t="s">
        <v>7</v>
      </c>
      <c r="E743" s="429" t="s">
        <v>8</v>
      </c>
      <c r="F743" s="27">
        <v>232</v>
      </c>
      <c r="G743" s="27">
        <f t="shared" si="14"/>
        <v>232</v>
      </c>
      <c r="H743" s="429"/>
      <c r="I743" s="2"/>
      <c r="J743" s="277"/>
      <c r="K743" s="277"/>
      <c r="L743" s="277"/>
      <c r="M743" s="277"/>
      <c r="N743" s="277"/>
      <c r="O743" s="277"/>
      <c r="P743" s="277"/>
      <c r="Q743" s="277"/>
      <c r="R743" s="277"/>
      <c r="S743" s="277"/>
    </row>
    <row r="744" spans="1:19" s="2" customFormat="1" ht="33">
      <c r="A744" s="429">
        <v>724</v>
      </c>
      <c r="B744" s="430" t="s">
        <v>203</v>
      </c>
      <c r="C744" s="429" t="s">
        <v>14</v>
      </c>
      <c r="D744" s="429" t="s">
        <v>7</v>
      </c>
      <c r="E744" s="438" t="s">
        <v>8</v>
      </c>
      <c r="F744" s="27">
        <v>232</v>
      </c>
      <c r="G744" s="27">
        <v>232</v>
      </c>
      <c r="H744" s="429"/>
      <c r="J744" s="277"/>
      <c r="K744" s="277"/>
      <c r="L744" s="277"/>
      <c r="M744" s="277"/>
      <c r="N744" s="277"/>
      <c r="O744" s="277"/>
      <c r="P744" s="277"/>
      <c r="Q744" s="277"/>
      <c r="R744" s="277"/>
      <c r="S744" s="277"/>
    </row>
    <row r="745" spans="1:19" s="2" customFormat="1">
      <c r="A745" s="429">
        <v>725</v>
      </c>
      <c r="B745" s="430" t="s">
        <v>60</v>
      </c>
      <c r="C745" s="429" t="s">
        <v>15</v>
      </c>
      <c r="D745" s="429" t="s">
        <v>7</v>
      </c>
      <c r="E745" s="429" t="s">
        <v>8</v>
      </c>
      <c r="F745" s="27">
        <v>232</v>
      </c>
      <c r="G745" s="27">
        <f t="shared" ref="G745:G786" si="15">F745</f>
        <v>232</v>
      </c>
      <c r="H745" s="429"/>
      <c r="J745" s="277"/>
      <c r="K745" s="277"/>
      <c r="L745" s="278"/>
      <c r="M745" s="278"/>
      <c r="N745" s="278"/>
      <c r="O745" s="278"/>
      <c r="P745" s="278"/>
      <c r="Q745" s="278"/>
      <c r="R745" s="278"/>
      <c r="S745" s="278"/>
    </row>
    <row r="746" spans="1:19" s="2" customFormat="1">
      <c r="A746" s="429">
        <v>726</v>
      </c>
      <c r="B746" s="430" t="s">
        <v>921</v>
      </c>
      <c r="C746" s="429" t="s">
        <v>18</v>
      </c>
      <c r="D746" s="429" t="s">
        <v>7</v>
      </c>
      <c r="E746" s="429" t="s">
        <v>8</v>
      </c>
      <c r="F746" s="27">
        <v>232</v>
      </c>
      <c r="G746" s="27">
        <f t="shared" si="15"/>
        <v>232</v>
      </c>
      <c r="H746" s="429"/>
      <c r="J746" s="277"/>
      <c r="K746" s="277"/>
      <c r="L746" s="277"/>
      <c r="M746" s="277"/>
      <c r="N746" s="277"/>
      <c r="O746" s="277"/>
      <c r="P746" s="277"/>
      <c r="Q746" s="277"/>
      <c r="R746" s="277"/>
      <c r="S746" s="277"/>
    </row>
    <row r="747" spans="1:19" s="2" customFormat="1" ht="16.5" customHeight="1">
      <c r="A747" s="429">
        <v>727</v>
      </c>
      <c r="B747" s="430" t="s">
        <v>119</v>
      </c>
      <c r="C747" s="429" t="s">
        <v>6</v>
      </c>
      <c r="D747" s="429" t="s">
        <v>7</v>
      </c>
      <c r="E747" s="429" t="s">
        <v>8</v>
      </c>
      <c r="F747" s="27">
        <v>232</v>
      </c>
      <c r="G747" s="27">
        <f t="shared" si="15"/>
        <v>232</v>
      </c>
      <c r="H747" s="429"/>
      <c r="J747" s="277"/>
      <c r="K747" s="277"/>
      <c r="L747" s="277"/>
      <c r="M747" s="277"/>
      <c r="N747" s="277"/>
      <c r="O747" s="277"/>
      <c r="P747" s="277"/>
      <c r="Q747" s="277"/>
      <c r="R747" s="277"/>
      <c r="S747" s="277"/>
    </row>
    <row r="748" spans="1:19" s="2" customFormat="1">
      <c r="A748" s="429">
        <v>728</v>
      </c>
      <c r="B748" s="430" t="s">
        <v>804</v>
      </c>
      <c r="C748" s="429" t="s">
        <v>12</v>
      </c>
      <c r="D748" s="429" t="s">
        <v>10</v>
      </c>
      <c r="E748" s="429" t="s">
        <v>8</v>
      </c>
      <c r="F748" s="27">
        <v>232</v>
      </c>
      <c r="G748" s="27">
        <f t="shared" si="15"/>
        <v>232</v>
      </c>
      <c r="H748" s="429"/>
      <c r="J748" s="277"/>
      <c r="K748" s="277"/>
      <c r="L748" s="277"/>
      <c r="M748" s="277"/>
      <c r="N748" s="277"/>
      <c r="O748" s="277"/>
      <c r="P748" s="277"/>
      <c r="Q748" s="277"/>
      <c r="R748" s="277"/>
      <c r="S748" s="277"/>
    </row>
    <row r="749" spans="1:19" s="2" customFormat="1" ht="33" customHeight="1">
      <c r="A749" s="429">
        <v>729</v>
      </c>
      <c r="B749" s="430" t="s">
        <v>81</v>
      </c>
      <c r="C749" s="429" t="s">
        <v>12</v>
      </c>
      <c r="D749" s="429" t="s">
        <v>7</v>
      </c>
      <c r="E749" s="429" t="s">
        <v>8</v>
      </c>
      <c r="F749" s="27">
        <v>232</v>
      </c>
      <c r="G749" s="27">
        <f t="shared" si="15"/>
        <v>232</v>
      </c>
      <c r="H749" s="429"/>
      <c r="J749" s="277"/>
      <c r="K749" s="277"/>
      <c r="L749" s="277"/>
      <c r="M749" s="277"/>
      <c r="N749" s="277"/>
      <c r="O749" s="277"/>
      <c r="P749" s="277"/>
      <c r="Q749" s="277"/>
      <c r="R749" s="277"/>
      <c r="S749" s="277"/>
    </row>
    <row r="750" spans="1:19" s="2" customFormat="1">
      <c r="A750" s="429">
        <v>730</v>
      </c>
      <c r="B750" s="430" t="s">
        <v>713</v>
      </c>
      <c r="C750" s="429" t="s">
        <v>14</v>
      </c>
      <c r="D750" s="429" t="s">
        <v>7</v>
      </c>
      <c r="E750" s="438" t="s">
        <v>8</v>
      </c>
      <c r="F750" s="436">
        <v>232</v>
      </c>
      <c r="G750" s="27">
        <f t="shared" si="15"/>
        <v>232</v>
      </c>
      <c r="H750" s="429"/>
      <c r="J750" s="277"/>
      <c r="K750" s="277"/>
      <c r="L750" s="277"/>
      <c r="M750" s="277"/>
      <c r="N750" s="277"/>
      <c r="O750" s="277"/>
      <c r="P750" s="277"/>
      <c r="Q750" s="277"/>
      <c r="R750" s="277"/>
      <c r="S750" s="277"/>
    </row>
    <row r="751" spans="1:19" s="2" customFormat="1" ht="33">
      <c r="A751" s="429">
        <v>731</v>
      </c>
      <c r="B751" s="430" t="s">
        <v>106</v>
      </c>
      <c r="C751" s="429" t="s">
        <v>18</v>
      </c>
      <c r="D751" s="429" t="s">
        <v>7</v>
      </c>
      <c r="E751" s="429" t="s">
        <v>8</v>
      </c>
      <c r="F751" s="27">
        <v>232</v>
      </c>
      <c r="G751" s="27">
        <f t="shared" si="15"/>
        <v>232</v>
      </c>
      <c r="H751" s="429"/>
      <c r="J751" s="277"/>
      <c r="K751" s="277"/>
      <c r="L751" s="277"/>
      <c r="M751" s="277"/>
      <c r="N751" s="277"/>
      <c r="O751" s="277"/>
      <c r="P751" s="277"/>
      <c r="Q751" s="277"/>
      <c r="R751" s="277"/>
      <c r="S751" s="277"/>
    </row>
    <row r="752" spans="1:19" s="2" customFormat="1">
      <c r="A752" s="429">
        <v>732</v>
      </c>
      <c r="B752" s="430" t="s">
        <v>113</v>
      </c>
      <c r="C752" s="429" t="s">
        <v>18</v>
      </c>
      <c r="D752" s="429" t="s">
        <v>10</v>
      </c>
      <c r="E752" s="429" t="s">
        <v>8</v>
      </c>
      <c r="F752" s="27">
        <v>232</v>
      </c>
      <c r="G752" s="27">
        <f t="shared" si="15"/>
        <v>232</v>
      </c>
      <c r="H752" s="429"/>
      <c r="J752" s="277"/>
      <c r="K752" s="277"/>
      <c r="L752" s="277"/>
      <c r="M752" s="277"/>
      <c r="N752" s="277"/>
      <c r="O752" s="277"/>
      <c r="P752" s="277"/>
      <c r="Q752" s="277"/>
      <c r="R752" s="277"/>
      <c r="S752" s="277"/>
    </row>
    <row r="753" spans="1:19" s="2" customFormat="1">
      <c r="A753" s="429">
        <v>733</v>
      </c>
      <c r="B753" s="430" t="s">
        <v>116</v>
      </c>
      <c r="C753" s="429" t="s">
        <v>12</v>
      </c>
      <c r="D753" s="429" t="s">
        <v>7</v>
      </c>
      <c r="E753" s="429" t="s">
        <v>8</v>
      </c>
      <c r="F753" s="27">
        <v>232</v>
      </c>
      <c r="G753" s="27">
        <f t="shared" si="15"/>
        <v>232</v>
      </c>
      <c r="H753" s="429"/>
      <c r="J753" s="277"/>
      <c r="K753" s="277"/>
      <c r="L753" s="277"/>
      <c r="M753" s="277"/>
      <c r="N753" s="277"/>
      <c r="O753" s="277"/>
      <c r="P753" s="277"/>
      <c r="Q753" s="277"/>
      <c r="R753" s="277"/>
      <c r="S753" s="277"/>
    </row>
    <row r="754" spans="1:19" s="2" customFormat="1">
      <c r="A754" s="429">
        <v>734</v>
      </c>
      <c r="B754" s="430" t="s">
        <v>163</v>
      </c>
      <c r="C754" s="429" t="s">
        <v>18</v>
      </c>
      <c r="D754" s="429" t="s">
        <v>7</v>
      </c>
      <c r="E754" s="429" t="s">
        <v>8</v>
      </c>
      <c r="F754" s="27">
        <v>232</v>
      </c>
      <c r="G754" s="27">
        <f t="shared" si="15"/>
        <v>232</v>
      </c>
      <c r="H754" s="429"/>
      <c r="J754" s="277"/>
      <c r="K754" s="277"/>
      <c r="L754" s="277"/>
      <c r="M754" s="277"/>
      <c r="N754" s="277"/>
      <c r="O754" s="277"/>
      <c r="P754" s="277"/>
      <c r="Q754" s="277"/>
      <c r="R754" s="277"/>
      <c r="S754" s="277"/>
    </row>
    <row r="755" spans="1:19" s="2" customFormat="1">
      <c r="A755" s="429">
        <v>735</v>
      </c>
      <c r="B755" s="430" t="s">
        <v>266</v>
      </c>
      <c r="C755" s="429" t="s">
        <v>6</v>
      </c>
      <c r="D755" s="429" t="s">
        <v>7</v>
      </c>
      <c r="E755" s="429" t="s">
        <v>8</v>
      </c>
      <c r="F755" s="27">
        <v>232</v>
      </c>
      <c r="G755" s="27">
        <f t="shared" si="15"/>
        <v>232</v>
      </c>
      <c r="H755" s="429"/>
      <c r="J755" s="277"/>
      <c r="K755" s="277"/>
      <c r="L755" s="277"/>
      <c r="M755" s="277"/>
      <c r="N755" s="277"/>
      <c r="O755" s="277"/>
      <c r="P755" s="277"/>
      <c r="Q755" s="277"/>
      <c r="R755" s="277"/>
      <c r="S755" s="277"/>
    </row>
    <row r="756" spans="1:19" s="2" customFormat="1">
      <c r="A756" s="429">
        <v>736</v>
      </c>
      <c r="B756" s="430" t="s">
        <v>328</v>
      </c>
      <c r="C756" s="429" t="s">
        <v>16</v>
      </c>
      <c r="D756" s="429" t="s">
        <v>7</v>
      </c>
      <c r="E756" s="429" t="s">
        <v>8</v>
      </c>
      <c r="F756" s="27">
        <v>232</v>
      </c>
      <c r="G756" s="27">
        <f t="shared" si="15"/>
        <v>232</v>
      </c>
      <c r="H756" s="429"/>
      <c r="J756" s="277"/>
      <c r="K756" s="277"/>
      <c r="L756" s="277"/>
      <c r="M756" s="277"/>
      <c r="N756" s="277"/>
      <c r="O756" s="277"/>
      <c r="P756" s="277"/>
      <c r="Q756" s="277"/>
      <c r="R756" s="277"/>
      <c r="S756" s="277"/>
    </row>
    <row r="757" spans="1:19" s="2" customFormat="1">
      <c r="A757" s="429">
        <v>737</v>
      </c>
      <c r="B757" s="430" t="s">
        <v>353</v>
      </c>
      <c r="C757" s="429" t="s">
        <v>14</v>
      </c>
      <c r="D757" s="429" t="s">
        <v>7</v>
      </c>
      <c r="E757" s="429" t="s">
        <v>8</v>
      </c>
      <c r="F757" s="27">
        <v>232</v>
      </c>
      <c r="G757" s="27">
        <f t="shared" si="15"/>
        <v>232</v>
      </c>
      <c r="H757" s="429"/>
      <c r="J757" s="277"/>
      <c r="K757" s="277"/>
      <c r="L757" s="277"/>
      <c r="M757" s="277"/>
      <c r="N757" s="277"/>
      <c r="O757" s="277"/>
      <c r="P757" s="277"/>
      <c r="Q757" s="277"/>
      <c r="R757" s="277"/>
      <c r="S757" s="277"/>
    </row>
    <row r="758" spans="1:19" s="2" customFormat="1">
      <c r="A758" s="429">
        <v>738</v>
      </c>
      <c r="B758" s="430" t="s">
        <v>424</v>
      </c>
      <c r="C758" s="429" t="s">
        <v>18</v>
      </c>
      <c r="D758" s="429" t="s">
        <v>10</v>
      </c>
      <c r="E758" s="429" t="s">
        <v>8</v>
      </c>
      <c r="F758" s="27">
        <v>232</v>
      </c>
      <c r="G758" s="27">
        <f t="shared" si="15"/>
        <v>232</v>
      </c>
      <c r="H758" s="429"/>
      <c r="J758" s="277"/>
      <c r="K758" s="277"/>
      <c r="L758" s="277"/>
      <c r="M758" s="277"/>
      <c r="N758" s="277"/>
      <c r="O758" s="277"/>
      <c r="P758" s="277"/>
      <c r="Q758" s="277"/>
      <c r="R758" s="277"/>
      <c r="S758" s="277"/>
    </row>
    <row r="759" spans="1:19" s="2" customFormat="1">
      <c r="A759" s="429">
        <v>739</v>
      </c>
      <c r="B759" s="430" t="s">
        <v>460</v>
      </c>
      <c r="C759" s="429" t="s">
        <v>18</v>
      </c>
      <c r="D759" s="429" t="s">
        <v>7</v>
      </c>
      <c r="E759" s="429" t="s">
        <v>8</v>
      </c>
      <c r="F759" s="27">
        <v>232</v>
      </c>
      <c r="G759" s="27">
        <f t="shared" si="15"/>
        <v>232</v>
      </c>
      <c r="H759" s="429"/>
      <c r="J759" s="277"/>
      <c r="K759" s="277"/>
      <c r="L759" s="277"/>
      <c r="M759" s="277"/>
      <c r="N759" s="277"/>
      <c r="O759" s="277"/>
      <c r="P759" s="277"/>
      <c r="Q759" s="277"/>
      <c r="R759" s="277"/>
      <c r="S759" s="277"/>
    </row>
    <row r="760" spans="1:19" s="2" customFormat="1">
      <c r="A760" s="429">
        <v>740</v>
      </c>
      <c r="B760" s="430" t="s">
        <v>473</v>
      </c>
      <c r="C760" s="429" t="s">
        <v>15</v>
      </c>
      <c r="D760" s="429" t="s">
        <v>10</v>
      </c>
      <c r="E760" s="429" t="s">
        <v>8</v>
      </c>
      <c r="F760" s="27">
        <v>232</v>
      </c>
      <c r="G760" s="27">
        <f t="shared" si="15"/>
        <v>232</v>
      </c>
      <c r="H760" s="429"/>
      <c r="J760" s="277"/>
      <c r="K760" s="277"/>
      <c r="L760" s="277"/>
      <c r="M760" s="277"/>
      <c r="N760" s="277"/>
      <c r="O760" s="277"/>
      <c r="P760" s="277"/>
      <c r="Q760" s="277"/>
      <c r="R760" s="277"/>
      <c r="S760" s="277"/>
    </row>
    <row r="761" spans="1:19" s="2" customFormat="1" ht="33">
      <c r="A761" s="429">
        <v>741</v>
      </c>
      <c r="B761" s="430" t="s">
        <v>475</v>
      </c>
      <c r="C761" s="429" t="s">
        <v>18</v>
      </c>
      <c r="D761" s="429" t="s">
        <v>7</v>
      </c>
      <c r="E761" s="429" t="s">
        <v>8</v>
      </c>
      <c r="F761" s="27">
        <v>232</v>
      </c>
      <c r="G761" s="27">
        <f t="shared" si="15"/>
        <v>232</v>
      </c>
      <c r="H761" s="429"/>
      <c r="J761" s="277"/>
      <c r="K761" s="277"/>
      <c r="L761" s="277"/>
      <c r="M761" s="277"/>
      <c r="N761" s="277"/>
      <c r="O761" s="277"/>
      <c r="P761" s="277"/>
      <c r="Q761" s="277"/>
      <c r="R761" s="277"/>
      <c r="S761" s="277"/>
    </row>
    <row r="762" spans="1:19" s="2" customFormat="1" ht="33">
      <c r="A762" s="429">
        <v>742</v>
      </c>
      <c r="B762" s="430" t="s">
        <v>497</v>
      </c>
      <c r="C762" s="429" t="s">
        <v>14</v>
      </c>
      <c r="D762" s="429" t="s">
        <v>7</v>
      </c>
      <c r="E762" s="429" t="s">
        <v>8</v>
      </c>
      <c r="F762" s="27">
        <v>232</v>
      </c>
      <c r="G762" s="27">
        <f t="shared" si="15"/>
        <v>232</v>
      </c>
      <c r="H762" s="429"/>
      <c r="J762" s="277"/>
      <c r="K762" s="277"/>
      <c r="L762" s="277"/>
      <c r="M762" s="277"/>
      <c r="N762" s="277"/>
      <c r="O762" s="277"/>
      <c r="P762" s="277"/>
      <c r="Q762" s="277"/>
      <c r="R762" s="277"/>
      <c r="S762" s="277"/>
    </row>
    <row r="763" spans="1:19" s="2" customFormat="1">
      <c r="A763" s="429">
        <v>743</v>
      </c>
      <c r="B763" s="430" t="s">
        <v>512</v>
      </c>
      <c r="C763" s="429" t="s">
        <v>16</v>
      </c>
      <c r="D763" s="429" t="s">
        <v>10</v>
      </c>
      <c r="E763" s="429" t="s">
        <v>8</v>
      </c>
      <c r="F763" s="27">
        <v>232</v>
      </c>
      <c r="G763" s="27">
        <f t="shared" si="15"/>
        <v>232</v>
      </c>
      <c r="H763" s="429"/>
      <c r="J763" s="277"/>
      <c r="K763" s="277"/>
      <c r="L763" s="277"/>
      <c r="M763" s="277"/>
      <c r="N763" s="277"/>
      <c r="O763" s="277"/>
      <c r="P763" s="277"/>
      <c r="Q763" s="277"/>
      <c r="R763" s="277"/>
      <c r="S763" s="277"/>
    </row>
    <row r="764" spans="1:19" s="2" customFormat="1">
      <c r="A764" s="429">
        <v>744</v>
      </c>
      <c r="B764" s="430" t="s">
        <v>525</v>
      </c>
      <c r="C764" s="429" t="s">
        <v>12</v>
      </c>
      <c r="D764" s="429" t="s">
        <v>7</v>
      </c>
      <c r="E764" s="429" t="s">
        <v>8</v>
      </c>
      <c r="F764" s="27">
        <v>232</v>
      </c>
      <c r="G764" s="27">
        <f t="shared" si="15"/>
        <v>232</v>
      </c>
      <c r="H764" s="429"/>
      <c r="J764" s="277"/>
      <c r="K764" s="277"/>
      <c r="L764" s="277"/>
      <c r="M764" s="277"/>
      <c r="N764" s="277"/>
      <c r="O764" s="277"/>
      <c r="P764" s="277"/>
      <c r="Q764" s="277"/>
      <c r="R764" s="277"/>
      <c r="S764" s="277"/>
    </row>
    <row r="765" spans="1:19" s="2" customFormat="1" ht="33">
      <c r="A765" s="429">
        <v>745</v>
      </c>
      <c r="B765" s="430" t="s">
        <v>529</v>
      </c>
      <c r="C765" s="429" t="s">
        <v>15</v>
      </c>
      <c r="D765" s="429" t="s">
        <v>7</v>
      </c>
      <c r="E765" s="429" t="s">
        <v>8</v>
      </c>
      <c r="F765" s="27">
        <v>232</v>
      </c>
      <c r="G765" s="27">
        <f t="shared" si="15"/>
        <v>232</v>
      </c>
      <c r="H765" s="429"/>
      <c r="J765" s="277"/>
      <c r="K765" s="277"/>
      <c r="L765" s="277"/>
      <c r="M765" s="277"/>
      <c r="N765" s="277"/>
      <c r="O765" s="277"/>
      <c r="P765" s="277"/>
      <c r="Q765" s="277"/>
      <c r="R765" s="277"/>
      <c r="S765" s="277"/>
    </row>
    <row r="766" spans="1:19" s="2" customFormat="1">
      <c r="A766" s="429">
        <v>746</v>
      </c>
      <c r="B766" s="430" t="s">
        <v>545</v>
      </c>
      <c r="C766" s="429" t="s">
        <v>6</v>
      </c>
      <c r="D766" s="429" t="s">
        <v>7</v>
      </c>
      <c r="E766" s="429" t="s">
        <v>8</v>
      </c>
      <c r="F766" s="27">
        <v>232</v>
      </c>
      <c r="G766" s="32">
        <f t="shared" si="15"/>
        <v>232</v>
      </c>
      <c r="H766" s="429"/>
      <c r="J766" s="277"/>
      <c r="K766" s="277"/>
      <c r="L766" s="277"/>
      <c r="M766" s="277"/>
      <c r="N766" s="277"/>
      <c r="O766" s="277"/>
      <c r="P766" s="277"/>
      <c r="Q766" s="277"/>
      <c r="R766" s="277"/>
      <c r="S766" s="277"/>
    </row>
    <row r="767" spans="1:19" s="2" customFormat="1">
      <c r="A767" s="429">
        <v>747</v>
      </c>
      <c r="B767" s="430" t="s">
        <v>587</v>
      </c>
      <c r="C767" s="429" t="s">
        <v>16</v>
      </c>
      <c r="D767" s="429" t="s">
        <v>7</v>
      </c>
      <c r="E767" s="429" t="s">
        <v>8</v>
      </c>
      <c r="F767" s="27">
        <v>232</v>
      </c>
      <c r="G767" s="27">
        <f t="shared" si="15"/>
        <v>232</v>
      </c>
      <c r="H767" s="429"/>
      <c r="J767" s="277"/>
      <c r="K767" s="277"/>
      <c r="L767" s="277"/>
      <c r="M767" s="277"/>
      <c r="N767" s="277"/>
      <c r="O767" s="277"/>
      <c r="P767" s="277"/>
      <c r="Q767" s="277"/>
      <c r="R767" s="277"/>
      <c r="S767" s="277"/>
    </row>
    <row r="768" spans="1:19" s="2" customFormat="1" ht="33">
      <c r="A768" s="429">
        <v>748</v>
      </c>
      <c r="B768" s="430" t="s">
        <v>664</v>
      </c>
      <c r="C768" s="429" t="s">
        <v>16</v>
      </c>
      <c r="D768" s="429" t="s">
        <v>7</v>
      </c>
      <c r="E768" s="429" t="s">
        <v>8</v>
      </c>
      <c r="F768" s="27">
        <v>232</v>
      </c>
      <c r="G768" s="27">
        <f t="shared" si="15"/>
        <v>232</v>
      </c>
      <c r="H768" s="429"/>
      <c r="J768" s="277"/>
      <c r="K768" s="277"/>
      <c r="L768" s="277"/>
      <c r="M768" s="277"/>
      <c r="N768" s="277"/>
      <c r="O768" s="277"/>
      <c r="P768" s="277"/>
      <c r="Q768" s="277"/>
      <c r="R768" s="277"/>
      <c r="S768" s="277"/>
    </row>
    <row r="769" spans="1:19" s="2" customFormat="1">
      <c r="A769" s="429">
        <v>749</v>
      </c>
      <c r="B769" s="430" t="s">
        <v>669</v>
      </c>
      <c r="C769" s="429" t="s">
        <v>12</v>
      </c>
      <c r="D769" s="429" t="s">
        <v>7</v>
      </c>
      <c r="E769" s="429" t="s">
        <v>8</v>
      </c>
      <c r="F769" s="27">
        <v>232</v>
      </c>
      <c r="G769" s="27">
        <f t="shared" si="15"/>
        <v>232</v>
      </c>
      <c r="H769" s="429"/>
      <c r="J769" s="277"/>
      <c r="K769" s="277"/>
      <c r="L769" s="277"/>
      <c r="M769" s="277"/>
      <c r="N769" s="277"/>
      <c r="O769" s="277"/>
      <c r="P769" s="277"/>
      <c r="Q769" s="277"/>
      <c r="R769" s="277"/>
      <c r="S769" s="277"/>
    </row>
    <row r="770" spans="1:19" s="2" customFormat="1" ht="26.25" customHeight="1">
      <c r="A770" s="429">
        <v>750</v>
      </c>
      <c r="B770" s="430" t="s">
        <v>726</v>
      </c>
      <c r="C770" s="429" t="s">
        <v>14</v>
      </c>
      <c r="D770" s="429" t="s">
        <v>7</v>
      </c>
      <c r="E770" s="429" t="s">
        <v>8</v>
      </c>
      <c r="F770" s="27">
        <v>232</v>
      </c>
      <c r="G770" s="27">
        <f t="shared" si="15"/>
        <v>232</v>
      </c>
      <c r="H770" s="429"/>
      <c r="J770" s="277"/>
      <c r="K770" s="277"/>
      <c r="L770" s="277"/>
      <c r="M770" s="277"/>
      <c r="N770" s="277"/>
      <c r="O770" s="277"/>
      <c r="P770" s="277"/>
      <c r="Q770" s="277"/>
      <c r="R770" s="277"/>
      <c r="S770" s="277"/>
    </row>
    <row r="771" spans="1:19" s="2" customFormat="1" ht="33">
      <c r="A771" s="429">
        <v>751</v>
      </c>
      <c r="B771" s="430" t="s">
        <v>767</v>
      </c>
      <c r="C771" s="429" t="s">
        <v>16</v>
      </c>
      <c r="D771" s="429" t="s">
        <v>7</v>
      </c>
      <c r="E771" s="429" t="s">
        <v>8</v>
      </c>
      <c r="F771" s="27">
        <v>232</v>
      </c>
      <c r="G771" s="27">
        <f t="shared" si="15"/>
        <v>232</v>
      </c>
      <c r="H771" s="429"/>
      <c r="J771" s="277"/>
      <c r="K771" s="277"/>
      <c r="L771" s="277"/>
      <c r="M771" s="277"/>
      <c r="N771" s="277"/>
      <c r="O771" s="277"/>
      <c r="P771" s="277"/>
      <c r="Q771" s="277"/>
      <c r="R771" s="277"/>
      <c r="S771" s="277"/>
    </row>
    <row r="772" spans="1:19" s="2" customFormat="1" ht="16.5" customHeight="1">
      <c r="A772" s="429">
        <v>752</v>
      </c>
      <c r="B772" s="430" t="s">
        <v>797</v>
      </c>
      <c r="C772" s="429" t="s">
        <v>12</v>
      </c>
      <c r="D772" s="429" t="s">
        <v>7</v>
      </c>
      <c r="E772" s="429" t="s">
        <v>8</v>
      </c>
      <c r="F772" s="27">
        <v>232</v>
      </c>
      <c r="G772" s="27">
        <f t="shared" si="15"/>
        <v>232</v>
      </c>
      <c r="H772" s="429"/>
      <c r="J772" s="277"/>
      <c r="K772" s="277"/>
      <c r="L772" s="277"/>
      <c r="M772" s="277"/>
      <c r="N772" s="277"/>
      <c r="O772" s="277"/>
      <c r="P772" s="277"/>
      <c r="Q772" s="277"/>
      <c r="R772" s="277"/>
      <c r="S772" s="277"/>
    </row>
    <row r="773" spans="1:19" s="2" customFormat="1">
      <c r="A773" s="429">
        <v>753</v>
      </c>
      <c r="B773" s="430" t="s">
        <v>810</v>
      </c>
      <c r="C773" s="429" t="s">
        <v>18</v>
      </c>
      <c r="D773" s="429" t="s">
        <v>7</v>
      </c>
      <c r="E773" s="429" t="s">
        <v>8</v>
      </c>
      <c r="F773" s="27">
        <v>232</v>
      </c>
      <c r="G773" s="27">
        <f t="shared" si="15"/>
        <v>232</v>
      </c>
      <c r="H773" s="429"/>
      <c r="J773" s="277"/>
      <c r="K773" s="277"/>
      <c r="L773" s="277"/>
      <c r="M773" s="277"/>
      <c r="N773" s="277"/>
      <c r="O773" s="277"/>
      <c r="P773" s="277"/>
      <c r="Q773" s="277"/>
      <c r="R773" s="277"/>
      <c r="S773" s="277"/>
    </row>
    <row r="774" spans="1:19" s="2" customFormat="1" ht="33">
      <c r="A774" s="429">
        <v>754</v>
      </c>
      <c r="B774" s="430" t="s">
        <v>863</v>
      </c>
      <c r="C774" s="429" t="s">
        <v>12</v>
      </c>
      <c r="D774" s="429" t="s">
        <v>7</v>
      </c>
      <c r="E774" s="429" t="s">
        <v>8</v>
      </c>
      <c r="F774" s="27">
        <v>232</v>
      </c>
      <c r="G774" s="27">
        <f t="shared" si="15"/>
        <v>232</v>
      </c>
      <c r="H774" s="429"/>
      <c r="J774" s="277"/>
      <c r="K774" s="277"/>
      <c r="L774" s="277"/>
      <c r="M774" s="277"/>
      <c r="N774" s="277"/>
      <c r="O774" s="277"/>
      <c r="P774" s="277"/>
      <c r="Q774" s="277"/>
      <c r="R774" s="277"/>
      <c r="S774" s="277"/>
    </row>
    <row r="775" spans="1:19" s="2" customFormat="1">
      <c r="A775" s="429">
        <v>755</v>
      </c>
      <c r="B775" s="430" t="s">
        <v>884</v>
      </c>
      <c r="C775" s="429" t="s">
        <v>14</v>
      </c>
      <c r="D775" s="429" t="s">
        <v>7</v>
      </c>
      <c r="E775" s="429" t="s">
        <v>8</v>
      </c>
      <c r="F775" s="27">
        <v>232</v>
      </c>
      <c r="G775" s="27">
        <f t="shared" si="15"/>
        <v>232</v>
      </c>
      <c r="H775" s="429"/>
      <c r="J775" s="277"/>
      <c r="K775" s="277"/>
      <c r="L775" s="277"/>
      <c r="M775" s="277"/>
      <c r="N775" s="277"/>
      <c r="O775" s="277"/>
      <c r="P775" s="277"/>
      <c r="Q775" s="277"/>
      <c r="R775" s="277"/>
      <c r="S775" s="277"/>
    </row>
    <row r="776" spans="1:19" s="2" customFormat="1" ht="33">
      <c r="A776" s="429">
        <v>756</v>
      </c>
      <c r="B776" s="430" t="s">
        <v>941</v>
      </c>
      <c r="C776" s="429" t="s">
        <v>18</v>
      </c>
      <c r="D776" s="429" t="s">
        <v>7</v>
      </c>
      <c r="E776" s="429" t="s">
        <v>8</v>
      </c>
      <c r="F776" s="27">
        <v>232</v>
      </c>
      <c r="G776" s="27">
        <f t="shared" si="15"/>
        <v>232</v>
      </c>
      <c r="H776" s="429"/>
      <c r="J776" s="277"/>
      <c r="K776" s="277"/>
      <c r="L776" s="277"/>
      <c r="M776" s="277"/>
      <c r="N776" s="277"/>
      <c r="O776" s="277"/>
      <c r="P776" s="277"/>
      <c r="Q776" s="277"/>
      <c r="R776" s="277"/>
      <c r="S776" s="277"/>
    </row>
    <row r="777" spans="1:19" s="2" customFormat="1" ht="16.5" customHeight="1">
      <c r="A777" s="429">
        <v>757</v>
      </c>
      <c r="B777" s="430" t="s">
        <v>947</v>
      </c>
      <c r="C777" s="429" t="s">
        <v>14</v>
      </c>
      <c r="D777" s="429" t="s">
        <v>10</v>
      </c>
      <c r="E777" s="429" t="s">
        <v>8</v>
      </c>
      <c r="F777" s="27">
        <v>232</v>
      </c>
      <c r="G777" s="27">
        <f t="shared" si="15"/>
        <v>232</v>
      </c>
      <c r="H777" s="429"/>
      <c r="J777" s="277"/>
      <c r="K777" s="277"/>
      <c r="L777" s="277"/>
      <c r="M777" s="277"/>
      <c r="N777" s="277"/>
      <c r="O777" s="277"/>
      <c r="P777" s="277"/>
      <c r="Q777" s="277"/>
      <c r="R777" s="277"/>
      <c r="S777" s="277"/>
    </row>
    <row r="778" spans="1:19" s="2" customFormat="1">
      <c r="A778" s="429">
        <v>758</v>
      </c>
      <c r="B778" s="430" t="s">
        <v>953</v>
      </c>
      <c r="C778" s="429" t="s">
        <v>12</v>
      </c>
      <c r="D778" s="429" t="s">
        <v>7</v>
      </c>
      <c r="E778" s="429" t="s">
        <v>8</v>
      </c>
      <c r="F778" s="27">
        <v>232</v>
      </c>
      <c r="G778" s="27">
        <f t="shared" si="15"/>
        <v>232</v>
      </c>
      <c r="H778" s="429"/>
      <c r="J778" s="277"/>
      <c r="K778" s="277"/>
      <c r="L778" s="277"/>
      <c r="M778" s="277"/>
      <c r="N778" s="277"/>
      <c r="O778" s="277"/>
      <c r="P778" s="277"/>
      <c r="Q778" s="277"/>
      <c r="R778" s="277"/>
      <c r="S778" s="277"/>
    </row>
    <row r="779" spans="1:19" s="2" customFormat="1" ht="16.5" customHeight="1">
      <c r="A779" s="429">
        <v>759</v>
      </c>
      <c r="B779" s="430" t="s">
        <v>960</v>
      </c>
      <c r="C779" s="429" t="s">
        <v>18</v>
      </c>
      <c r="D779" s="429" t="s">
        <v>7</v>
      </c>
      <c r="E779" s="429" t="s">
        <v>8</v>
      </c>
      <c r="F779" s="27">
        <v>232</v>
      </c>
      <c r="G779" s="27">
        <f t="shared" si="15"/>
        <v>232</v>
      </c>
      <c r="H779" s="429"/>
      <c r="J779" s="277"/>
      <c r="K779" s="277"/>
      <c r="L779" s="277"/>
      <c r="M779" s="277"/>
      <c r="N779" s="277"/>
      <c r="O779" s="277"/>
      <c r="P779" s="277"/>
      <c r="Q779" s="277"/>
      <c r="R779" s="277"/>
      <c r="S779" s="277"/>
    </row>
    <row r="780" spans="1:19" s="2" customFormat="1" ht="16.5" customHeight="1">
      <c r="A780" s="429">
        <v>760</v>
      </c>
      <c r="B780" s="430" t="s">
        <v>961</v>
      </c>
      <c r="C780" s="429" t="s">
        <v>12</v>
      </c>
      <c r="D780" s="429" t="s">
        <v>7</v>
      </c>
      <c r="E780" s="429" t="s">
        <v>8</v>
      </c>
      <c r="F780" s="27">
        <v>232</v>
      </c>
      <c r="G780" s="27">
        <f t="shared" si="15"/>
        <v>232</v>
      </c>
      <c r="H780" s="429"/>
      <c r="J780" s="277"/>
      <c r="K780" s="277"/>
      <c r="L780" s="277"/>
      <c r="M780" s="277"/>
      <c r="N780" s="277"/>
      <c r="O780" s="277"/>
      <c r="P780" s="277"/>
      <c r="Q780" s="277"/>
      <c r="R780" s="277"/>
      <c r="S780" s="277"/>
    </row>
    <row r="781" spans="1:19" s="2" customFormat="1" ht="33" customHeight="1">
      <c r="A781" s="429">
        <v>761</v>
      </c>
      <c r="B781" s="430" t="s">
        <v>981</v>
      </c>
      <c r="C781" s="429" t="s">
        <v>18</v>
      </c>
      <c r="D781" s="429" t="s">
        <v>7</v>
      </c>
      <c r="E781" s="429" t="s">
        <v>8</v>
      </c>
      <c r="F781" s="27">
        <v>232</v>
      </c>
      <c r="G781" s="27">
        <f t="shared" si="15"/>
        <v>232</v>
      </c>
      <c r="H781" s="429"/>
      <c r="J781" s="277"/>
      <c r="K781" s="277"/>
      <c r="L781" s="277"/>
      <c r="M781" s="277"/>
      <c r="N781" s="277"/>
      <c r="O781" s="277"/>
      <c r="P781" s="277"/>
      <c r="Q781" s="277"/>
      <c r="R781" s="277"/>
      <c r="S781" s="277"/>
    </row>
    <row r="782" spans="1:19" s="2" customFormat="1" ht="16.5" customHeight="1">
      <c r="A782" s="429">
        <v>762</v>
      </c>
      <c r="B782" s="430" t="s">
        <v>1002</v>
      </c>
      <c r="C782" s="429" t="s">
        <v>14</v>
      </c>
      <c r="D782" s="429" t="s">
        <v>7</v>
      </c>
      <c r="E782" s="429" t="s">
        <v>8</v>
      </c>
      <c r="F782" s="27">
        <v>232</v>
      </c>
      <c r="G782" s="27">
        <f t="shared" si="15"/>
        <v>232</v>
      </c>
      <c r="H782" s="429"/>
      <c r="J782" s="277"/>
      <c r="K782" s="277"/>
      <c r="L782" s="277"/>
      <c r="M782" s="277"/>
      <c r="N782" s="277"/>
      <c r="O782" s="277"/>
      <c r="P782" s="277"/>
      <c r="Q782" s="277"/>
      <c r="R782" s="277"/>
      <c r="S782" s="277"/>
    </row>
    <row r="783" spans="1:19" s="2" customFormat="1" ht="16.5" customHeight="1">
      <c r="A783" s="429">
        <v>763</v>
      </c>
      <c r="B783" s="430" t="s">
        <v>109</v>
      </c>
      <c r="C783" s="429" t="s">
        <v>18</v>
      </c>
      <c r="D783" s="429" t="s">
        <v>7</v>
      </c>
      <c r="E783" s="429" t="s">
        <v>8</v>
      </c>
      <c r="F783" s="27">
        <v>232</v>
      </c>
      <c r="G783" s="27">
        <f t="shared" si="15"/>
        <v>232</v>
      </c>
      <c r="H783" s="429"/>
      <c r="J783" s="277"/>
      <c r="K783" s="277"/>
      <c r="L783" s="277"/>
      <c r="M783" s="277"/>
      <c r="N783" s="277"/>
      <c r="O783" s="277"/>
      <c r="P783" s="277"/>
      <c r="Q783" s="277"/>
      <c r="R783" s="277"/>
      <c r="S783" s="277"/>
    </row>
    <row r="784" spans="1:19" s="2" customFormat="1" ht="16.5" customHeight="1">
      <c r="A784" s="429">
        <v>764</v>
      </c>
      <c r="B784" s="430" t="s">
        <v>780</v>
      </c>
      <c r="C784" s="429" t="s">
        <v>18</v>
      </c>
      <c r="D784" s="429" t="s">
        <v>7</v>
      </c>
      <c r="E784" s="429" t="s">
        <v>8</v>
      </c>
      <c r="F784" s="27">
        <v>232</v>
      </c>
      <c r="G784" s="27">
        <f t="shared" si="15"/>
        <v>232</v>
      </c>
      <c r="H784" s="429"/>
      <c r="J784" s="277"/>
      <c r="K784" s="277"/>
      <c r="L784" s="277"/>
      <c r="M784" s="277"/>
      <c r="N784" s="277"/>
      <c r="O784" s="277"/>
      <c r="P784" s="277"/>
      <c r="Q784" s="277"/>
      <c r="R784" s="277"/>
      <c r="S784" s="277"/>
    </row>
    <row r="785" spans="1:19" s="6" customFormat="1" ht="49.5" customHeight="1">
      <c r="A785" s="429">
        <v>765</v>
      </c>
      <c r="B785" s="430" t="s">
        <v>808</v>
      </c>
      <c r="C785" s="429" t="s">
        <v>18</v>
      </c>
      <c r="D785" s="429"/>
      <c r="E785" s="438" t="s">
        <v>8</v>
      </c>
      <c r="F785" s="27">
        <v>232</v>
      </c>
      <c r="G785" s="27">
        <f t="shared" si="15"/>
        <v>232</v>
      </c>
      <c r="H785" s="429"/>
      <c r="I785" s="2"/>
      <c r="J785" s="277"/>
      <c r="K785" s="277"/>
      <c r="L785" s="277"/>
      <c r="M785" s="277"/>
      <c r="N785" s="277"/>
      <c r="O785" s="277"/>
      <c r="P785" s="277"/>
      <c r="Q785" s="277"/>
      <c r="R785" s="277"/>
      <c r="S785" s="277"/>
    </row>
    <row r="786" spans="1:19" s="2" customFormat="1" ht="49.5" customHeight="1">
      <c r="A786" s="429">
        <v>766</v>
      </c>
      <c r="B786" s="430" t="s">
        <v>225</v>
      </c>
      <c r="C786" s="429" t="s">
        <v>12</v>
      </c>
      <c r="D786" s="429" t="s">
        <v>7</v>
      </c>
      <c r="E786" s="429" t="s">
        <v>8</v>
      </c>
      <c r="F786" s="27">
        <v>235</v>
      </c>
      <c r="G786" s="27">
        <f t="shared" si="15"/>
        <v>235</v>
      </c>
      <c r="H786" s="429"/>
      <c r="J786" s="277"/>
      <c r="K786" s="277"/>
      <c r="L786" s="277"/>
      <c r="M786" s="277"/>
      <c r="N786" s="277"/>
      <c r="O786" s="277"/>
      <c r="P786" s="277"/>
      <c r="Q786" s="277"/>
      <c r="R786" s="277"/>
      <c r="S786" s="277"/>
    </row>
    <row r="787" spans="1:19" s="2" customFormat="1" ht="16.5" customHeight="1">
      <c r="A787" s="429">
        <v>767</v>
      </c>
      <c r="B787" s="430" t="s">
        <v>731</v>
      </c>
      <c r="C787" s="429" t="s">
        <v>6</v>
      </c>
      <c r="D787" s="429" t="s">
        <v>7</v>
      </c>
      <c r="E787" s="429" t="s">
        <v>8</v>
      </c>
      <c r="F787" s="27">
        <v>232</v>
      </c>
      <c r="G787" s="27">
        <v>235</v>
      </c>
      <c r="H787" s="429"/>
      <c r="J787" s="277"/>
      <c r="K787" s="277"/>
      <c r="L787" s="277"/>
      <c r="M787" s="277"/>
      <c r="N787" s="277"/>
      <c r="O787" s="277"/>
      <c r="P787" s="277"/>
      <c r="Q787" s="277"/>
      <c r="R787" s="277"/>
      <c r="S787" s="277"/>
    </row>
    <row r="788" spans="1:19" s="2" customFormat="1" ht="16.5" customHeight="1">
      <c r="A788" s="429">
        <v>768</v>
      </c>
      <c r="B788" s="430" t="s">
        <v>367</v>
      </c>
      <c r="C788" s="445" t="s">
        <v>12</v>
      </c>
      <c r="D788" s="445" t="s">
        <v>10</v>
      </c>
      <c r="E788" s="445" t="s">
        <v>13</v>
      </c>
      <c r="F788" s="446">
        <v>274</v>
      </c>
      <c r="G788" s="27">
        <v>260</v>
      </c>
      <c r="H788" s="429"/>
      <c r="J788" s="277"/>
      <c r="K788" s="277"/>
      <c r="L788" s="277"/>
      <c r="M788" s="277"/>
      <c r="N788" s="277"/>
      <c r="O788" s="277"/>
      <c r="P788" s="277"/>
      <c r="Q788" s="277"/>
      <c r="R788" s="277"/>
      <c r="S788" s="277"/>
    </row>
    <row r="789" spans="1:19" s="2" customFormat="1" ht="33" customHeight="1">
      <c r="A789" s="429">
        <v>769</v>
      </c>
      <c r="B789" s="430" t="s">
        <v>922</v>
      </c>
      <c r="C789" s="429" t="s">
        <v>6</v>
      </c>
      <c r="D789" s="429" t="s">
        <v>10</v>
      </c>
      <c r="E789" s="429" t="s">
        <v>13</v>
      </c>
      <c r="F789" s="27">
        <v>274</v>
      </c>
      <c r="G789" s="27">
        <v>260</v>
      </c>
      <c r="H789" s="429"/>
      <c r="J789" s="277"/>
      <c r="K789" s="277"/>
      <c r="L789" s="278"/>
      <c r="M789" s="278"/>
      <c r="N789" s="278"/>
      <c r="O789" s="278"/>
      <c r="P789" s="278"/>
      <c r="Q789" s="278"/>
      <c r="R789" s="278"/>
      <c r="S789" s="278"/>
    </row>
    <row r="790" spans="1:19" s="2" customFormat="1" ht="33">
      <c r="A790" s="429">
        <v>770</v>
      </c>
      <c r="B790" s="430" t="s">
        <v>1038</v>
      </c>
      <c r="C790" s="429"/>
      <c r="D790" s="429" t="s">
        <v>10</v>
      </c>
      <c r="E790" s="429" t="s">
        <v>8</v>
      </c>
      <c r="F790" s="437">
        <v>260</v>
      </c>
      <c r="G790" s="27">
        <f t="shared" ref="G790:G803" si="16">F790</f>
        <v>260</v>
      </c>
      <c r="H790" s="27" t="s">
        <v>36</v>
      </c>
      <c r="J790" s="277"/>
      <c r="K790" s="277"/>
      <c r="L790" s="277"/>
      <c r="M790" s="277"/>
      <c r="N790" s="277"/>
      <c r="O790" s="277"/>
      <c r="P790" s="277"/>
      <c r="Q790" s="277"/>
      <c r="R790" s="277"/>
      <c r="S790" s="277"/>
    </row>
    <row r="791" spans="1:19" s="2" customFormat="1" ht="16.5" customHeight="1">
      <c r="A791" s="429">
        <v>771</v>
      </c>
      <c r="B791" s="430" t="s">
        <v>508</v>
      </c>
      <c r="C791" s="429" t="s">
        <v>9</v>
      </c>
      <c r="D791" s="429" t="s">
        <v>7</v>
      </c>
      <c r="E791" s="429" t="s">
        <v>8</v>
      </c>
      <c r="F791" s="27">
        <v>260</v>
      </c>
      <c r="G791" s="27">
        <f t="shared" si="16"/>
        <v>260</v>
      </c>
      <c r="H791" s="429"/>
      <c r="J791" s="277"/>
      <c r="K791" s="277"/>
      <c r="L791" s="277"/>
      <c r="M791" s="277"/>
      <c r="N791" s="277"/>
      <c r="O791" s="277"/>
      <c r="P791" s="277"/>
      <c r="Q791" s="277"/>
      <c r="R791" s="277"/>
      <c r="S791" s="277"/>
    </row>
    <row r="792" spans="1:19" s="2" customFormat="1" ht="33" customHeight="1">
      <c r="A792" s="429">
        <v>772</v>
      </c>
      <c r="B792" s="430" t="s">
        <v>221</v>
      </c>
      <c r="C792" s="429"/>
      <c r="D792" s="429" t="s">
        <v>10</v>
      </c>
      <c r="E792" s="431" t="s">
        <v>8</v>
      </c>
      <c r="F792" s="440">
        <v>260</v>
      </c>
      <c r="G792" s="27">
        <f t="shared" si="16"/>
        <v>260</v>
      </c>
      <c r="H792" s="429"/>
      <c r="J792" s="277"/>
      <c r="K792" s="277"/>
      <c r="L792" s="277"/>
      <c r="M792" s="277"/>
      <c r="N792" s="277"/>
      <c r="O792" s="277"/>
      <c r="P792" s="277"/>
      <c r="Q792" s="277"/>
      <c r="R792" s="277"/>
      <c r="S792" s="277"/>
    </row>
    <row r="793" spans="1:19" s="2" customFormat="1" ht="16.5" customHeight="1">
      <c r="A793" s="429">
        <v>773</v>
      </c>
      <c r="B793" s="430" t="s">
        <v>65</v>
      </c>
      <c r="C793" s="429"/>
      <c r="D793" s="429" t="s">
        <v>7</v>
      </c>
      <c r="E793" s="429" t="s">
        <v>8</v>
      </c>
      <c r="F793" s="437">
        <v>260</v>
      </c>
      <c r="G793" s="27">
        <f t="shared" si="16"/>
        <v>260</v>
      </c>
      <c r="H793" s="429"/>
      <c r="J793" s="277"/>
      <c r="K793" s="277"/>
      <c r="L793" s="277"/>
      <c r="M793" s="277"/>
      <c r="N793" s="277"/>
      <c r="O793" s="277"/>
      <c r="P793" s="277"/>
      <c r="Q793" s="277"/>
      <c r="R793" s="277"/>
      <c r="S793" s="277"/>
    </row>
    <row r="794" spans="1:19" s="2" customFormat="1" ht="16.5" customHeight="1">
      <c r="A794" s="429">
        <v>774</v>
      </c>
      <c r="B794" s="430" t="s">
        <v>97</v>
      </c>
      <c r="C794" s="429"/>
      <c r="D794" s="429"/>
      <c r="E794" s="431" t="s">
        <v>8</v>
      </c>
      <c r="F794" s="440">
        <v>260</v>
      </c>
      <c r="G794" s="27">
        <f t="shared" si="16"/>
        <v>260</v>
      </c>
      <c r="H794" s="429"/>
      <c r="J794" s="277"/>
      <c r="K794" s="277"/>
      <c r="L794" s="277"/>
      <c r="M794" s="277"/>
      <c r="N794" s="277"/>
      <c r="O794" s="277"/>
      <c r="P794" s="277"/>
      <c r="Q794" s="277"/>
      <c r="R794" s="277"/>
      <c r="S794" s="277"/>
    </row>
    <row r="795" spans="1:19" s="2" customFormat="1" ht="16.5" customHeight="1">
      <c r="A795" s="429">
        <v>775</v>
      </c>
      <c r="B795" s="430" t="s">
        <v>102</v>
      </c>
      <c r="C795" s="429"/>
      <c r="D795" s="429"/>
      <c r="E795" s="431" t="s">
        <v>8</v>
      </c>
      <c r="F795" s="432">
        <v>260</v>
      </c>
      <c r="G795" s="27">
        <f t="shared" si="16"/>
        <v>260</v>
      </c>
      <c r="H795" s="429"/>
      <c r="J795" s="277"/>
      <c r="K795" s="277"/>
      <c r="L795" s="277"/>
      <c r="M795" s="277"/>
      <c r="N795" s="277"/>
      <c r="O795" s="277"/>
      <c r="P795" s="277"/>
      <c r="Q795" s="277"/>
      <c r="R795" s="277"/>
      <c r="S795" s="277"/>
    </row>
    <row r="796" spans="1:19" s="2" customFormat="1">
      <c r="A796" s="429">
        <v>776</v>
      </c>
      <c r="B796" s="430" t="s">
        <v>111</v>
      </c>
      <c r="C796" s="429"/>
      <c r="D796" s="429" t="s">
        <v>10</v>
      </c>
      <c r="E796" s="431" t="s">
        <v>8</v>
      </c>
      <c r="F796" s="432">
        <v>260</v>
      </c>
      <c r="G796" s="27">
        <f t="shared" si="16"/>
        <v>260</v>
      </c>
      <c r="H796" s="429"/>
      <c r="J796" s="277"/>
      <c r="K796" s="277"/>
      <c r="L796" s="277"/>
      <c r="M796" s="277"/>
      <c r="N796" s="277"/>
      <c r="O796" s="277"/>
      <c r="P796" s="277"/>
      <c r="Q796" s="277"/>
      <c r="R796" s="277"/>
      <c r="S796" s="277"/>
    </row>
    <row r="797" spans="1:19" s="2" customFormat="1" ht="16.5" customHeight="1">
      <c r="A797" s="429">
        <v>777</v>
      </c>
      <c r="B797" s="430" t="s">
        <v>182</v>
      </c>
      <c r="C797" s="429" t="s">
        <v>14</v>
      </c>
      <c r="D797" s="429"/>
      <c r="E797" s="431" t="s">
        <v>8</v>
      </c>
      <c r="F797" s="432">
        <v>260</v>
      </c>
      <c r="G797" s="27">
        <f t="shared" si="16"/>
        <v>260</v>
      </c>
      <c r="H797" s="429"/>
      <c r="J797" s="277"/>
      <c r="K797" s="277"/>
      <c r="L797" s="277"/>
      <c r="M797" s="277"/>
      <c r="N797" s="277"/>
      <c r="O797" s="277"/>
      <c r="P797" s="277"/>
      <c r="Q797" s="277"/>
      <c r="R797" s="277"/>
      <c r="S797" s="277"/>
    </row>
    <row r="798" spans="1:19" s="2" customFormat="1" ht="33" customHeight="1">
      <c r="A798" s="429">
        <v>778</v>
      </c>
      <c r="B798" s="430" t="s">
        <v>197</v>
      </c>
      <c r="C798" s="429" t="s">
        <v>14</v>
      </c>
      <c r="D798" s="429" t="s">
        <v>7</v>
      </c>
      <c r="E798" s="431" t="s">
        <v>8</v>
      </c>
      <c r="F798" s="440">
        <v>260</v>
      </c>
      <c r="G798" s="27">
        <f t="shared" si="16"/>
        <v>260</v>
      </c>
      <c r="H798" s="429"/>
      <c r="J798" s="277"/>
      <c r="K798" s="277"/>
      <c r="L798" s="277"/>
      <c r="M798" s="277"/>
      <c r="N798" s="277"/>
      <c r="O798" s="277"/>
      <c r="P798" s="277"/>
      <c r="Q798" s="277"/>
      <c r="R798" s="277"/>
      <c r="S798" s="277"/>
    </row>
    <row r="799" spans="1:19" s="2" customFormat="1" ht="16.5" customHeight="1">
      <c r="A799" s="429">
        <v>779</v>
      </c>
      <c r="B799" s="430" t="s">
        <v>209</v>
      </c>
      <c r="C799" s="429"/>
      <c r="D799" s="429" t="s">
        <v>10</v>
      </c>
      <c r="E799" s="429" t="s">
        <v>8</v>
      </c>
      <c r="F799" s="27">
        <v>260</v>
      </c>
      <c r="G799" s="27">
        <f t="shared" si="16"/>
        <v>260</v>
      </c>
      <c r="H799" s="429"/>
      <c r="J799" s="277"/>
      <c r="K799" s="277"/>
      <c r="L799" s="277"/>
      <c r="M799" s="277"/>
      <c r="N799" s="277"/>
      <c r="O799" s="277"/>
      <c r="P799" s="277"/>
      <c r="Q799" s="277"/>
      <c r="R799" s="277"/>
      <c r="S799" s="277"/>
    </row>
    <row r="800" spans="1:19" s="2" customFormat="1">
      <c r="A800" s="429">
        <v>780</v>
      </c>
      <c r="B800" s="430" t="s">
        <v>214</v>
      </c>
      <c r="C800" s="429" t="s">
        <v>14</v>
      </c>
      <c r="D800" s="429" t="s">
        <v>7</v>
      </c>
      <c r="E800" s="431" t="s">
        <v>8</v>
      </c>
      <c r="F800" s="432">
        <v>260</v>
      </c>
      <c r="G800" s="27">
        <f t="shared" si="16"/>
        <v>260</v>
      </c>
      <c r="H800" s="429"/>
      <c r="J800" s="277"/>
      <c r="K800" s="277"/>
      <c r="L800" s="277"/>
      <c r="M800" s="277"/>
      <c r="N800" s="277"/>
      <c r="O800" s="277"/>
      <c r="P800" s="277"/>
      <c r="Q800" s="277"/>
      <c r="R800" s="277"/>
      <c r="S800" s="277"/>
    </row>
    <row r="801" spans="1:19" s="2" customFormat="1" ht="16.5" customHeight="1">
      <c r="A801" s="429">
        <v>781</v>
      </c>
      <c r="B801" s="430" t="s">
        <v>227</v>
      </c>
      <c r="C801" s="429"/>
      <c r="D801" s="429"/>
      <c r="E801" s="431" t="s">
        <v>8</v>
      </c>
      <c r="F801" s="432">
        <v>260</v>
      </c>
      <c r="G801" s="27">
        <f t="shared" si="16"/>
        <v>260</v>
      </c>
      <c r="H801" s="429"/>
      <c r="J801" s="277"/>
      <c r="K801" s="277"/>
      <c r="L801" s="277"/>
      <c r="M801" s="277"/>
      <c r="N801" s="277"/>
      <c r="O801" s="277"/>
      <c r="P801" s="277"/>
      <c r="Q801" s="277"/>
      <c r="R801" s="277"/>
      <c r="S801" s="277"/>
    </row>
    <row r="802" spans="1:19" s="2" customFormat="1" ht="33" customHeight="1">
      <c r="A802" s="429">
        <v>782</v>
      </c>
      <c r="B802" s="430" t="s">
        <v>252</v>
      </c>
      <c r="C802" s="429" t="s">
        <v>12</v>
      </c>
      <c r="D802" s="429" t="s">
        <v>7</v>
      </c>
      <c r="E802" s="431" t="s">
        <v>8</v>
      </c>
      <c r="F802" s="440">
        <v>260</v>
      </c>
      <c r="G802" s="27">
        <f t="shared" si="16"/>
        <v>260</v>
      </c>
      <c r="H802" s="429"/>
      <c r="J802" s="277"/>
      <c r="K802" s="277"/>
      <c r="L802" s="277"/>
      <c r="M802" s="277"/>
      <c r="N802" s="277"/>
      <c r="O802" s="277"/>
      <c r="P802" s="277"/>
      <c r="Q802" s="277"/>
      <c r="R802" s="277"/>
      <c r="S802" s="277"/>
    </row>
    <row r="803" spans="1:19" s="2" customFormat="1" ht="33" customHeight="1">
      <c r="A803" s="429">
        <v>783</v>
      </c>
      <c r="B803" s="430" t="s">
        <v>267</v>
      </c>
      <c r="C803" s="429" t="s">
        <v>16</v>
      </c>
      <c r="D803" s="429" t="s">
        <v>10</v>
      </c>
      <c r="E803" s="429" t="s">
        <v>8</v>
      </c>
      <c r="F803" s="437">
        <v>260</v>
      </c>
      <c r="G803" s="27">
        <f t="shared" si="16"/>
        <v>260</v>
      </c>
      <c r="H803" s="429"/>
      <c r="J803" s="277"/>
      <c r="K803" s="277"/>
      <c r="L803" s="277"/>
      <c r="M803" s="277"/>
      <c r="N803" s="277"/>
      <c r="O803" s="277"/>
      <c r="P803" s="277"/>
      <c r="Q803" s="277"/>
      <c r="R803" s="277"/>
      <c r="S803" s="277"/>
    </row>
    <row r="804" spans="1:19" s="2" customFormat="1" ht="33">
      <c r="A804" s="429">
        <v>784</v>
      </c>
      <c r="B804" s="430" t="s">
        <v>288</v>
      </c>
      <c r="C804" s="429" t="s">
        <v>14</v>
      </c>
      <c r="D804" s="429" t="s">
        <v>7</v>
      </c>
      <c r="E804" s="443" t="s">
        <v>8</v>
      </c>
      <c r="F804" s="27">
        <v>260</v>
      </c>
      <c r="G804" s="27">
        <v>260</v>
      </c>
      <c r="H804" s="429"/>
      <c r="J804" s="277"/>
      <c r="K804" s="277"/>
      <c r="L804" s="277"/>
      <c r="M804" s="277"/>
      <c r="N804" s="277"/>
      <c r="O804" s="277"/>
      <c r="P804" s="277"/>
      <c r="Q804" s="277"/>
      <c r="R804" s="277"/>
      <c r="S804" s="277"/>
    </row>
    <row r="805" spans="1:19" s="2" customFormat="1" ht="16.5" customHeight="1">
      <c r="A805" s="429">
        <v>785</v>
      </c>
      <c r="B805" s="430" t="s">
        <v>300</v>
      </c>
      <c r="C805" s="429"/>
      <c r="D805" s="429"/>
      <c r="E805" s="429" t="s">
        <v>8</v>
      </c>
      <c r="F805" s="437">
        <v>260</v>
      </c>
      <c r="G805" s="27">
        <f t="shared" ref="G805:G823" si="17">F805</f>
        <v>260</v>
      </c>
      <c r="H805" s="429"/>
      <c r="J805" s="277"/>
      <c r="K805" s="277"/>
      <c r="L805" s="277"/>
      <c r="M805" s="277"/>
      <c r="N805" s="277"/>
      <c r="O805" s="277"/>
      <c r="P805" s="277"/>
      <c r="Q805" s="277"/>
      <c r="R805" s="277"/>
      <c r="S805" s="277"/>
    </row>
    <row r="806" spans="1:19" s="2" customFormat="1" ht="16.5" customHeight="1">
      <c r="A806" s="429">
        <v>786</v>
      </c>
      <c r="B806" s="430" t="s">
        <v>431</v>
      </c>
      <c r="C806" s="429"/>
      <c r="D806" s="429" t="s">
        <v>10</v>
      </c>
      <c r="E806" s="429" t="s">
        <v>8</v>
      </c>
      <c r="F806" s="27">
        <v>260</v>
      </c>
      <c r="G806" s="27">
        <f t="shared" si="17"/>
        <v>260</v>
      </c>
      <c r="H806" s="429"/>
      <c r="J806" s="277"/>
      <c r="K806" s="277"/>
      <c r="L806" s="277"/>
      <c r="M806" s="277"/>
      <c r="N806" s="277"/>
      <c r="O806" s="277"/>
      <c r="P806" s="277"/>
      <c r="Q806" s="277"/>
      <c r="R806" s="277"/>
      <c r="S806" s="277"/>
    </row>
    <row r="807" spans="1:19" s="2" customFormat="1" ht="33">
      <c r="A807" s="429">
        <v>787</v>
      </c>
      <c r="B807" s="430" t="s">
        <v>490</v>
      </c>
      <c r="C807" s="429" t="s">
        <v>12</v>
      </c>
      <c r="D807" s="429" t="s">
        <v>7</v>
      </c>
      <c r="E807" s="431" t="s">
        <v>8</v>
      </c>
      <c r="F807" s="440">
        <v>260</v>
      </c>
      <c r="G807" s="27">
        <f t="shared" si="17"/>
        <v>260</v>
      </c>
      <c r="H807" s="429"/>
      <c r="J807" s="277"/>
      <c r="K807" s="277"/>
      <c r="L807" s="277"/>
      <c r="M807" s="277"/>
      <c r="N807" s="277"/>
      <c r="O807" s="277"/>
      <c r="P807" s="277"/>
      <c r="Q807" s="277"/>
      <c r="R807" s="277"/>
      <c r="S807" s="277"/>
    </row>
    <row r="808" spans="1:19" s="2" customFormat="1" ht="16.5" customHeight="1">
      <c r="A808" s="429">
        <v>788</v>
      </c>
      <c r="B808" s="430" t="s">
        <v>514</v>
      </c>
      <c r="C808" s="429"/>
      <c r="D808" s="429"/>
      <c r="E808" s="429" t="s">
        <v>8</v>
      </c>
      <c r="F808" s="437">
        <v>260</v>
      </c>
      <c r="G808" s="27">
        <f t="shared" si="17"/>
        <v>260</v>
      </c>
      <c r="H808" s="429"/>
      <c r="J808" s="277"/>
      <c r="K808" s="277"/>
      <c r="L808" s="277"/>
      <c r="M808" s="277"/>
      <c r="N808" s="277"/>
      <c r="O808" s="277"/>
      <c r="P808" s="277"/>
      <c r="Q808" s="277"/>
      <c r="R808" s="277"/>
      <c r="S808" s="277"/>
    </row>
    <row r="809" spans="1:19" s="2" customFormat="1" ht="33" customHeight="1">
      <c r="A809" s="429">
        <v>789</v>
      </c>
      <c r="B809" s="430" t="s">
        <v>534</v>
      </c>
      <c r="C809" s="429"/>
      <c r="D809" s="429" t="s">
        <v>10</v>
      </c>
      <c r="E809" s="429" t="s">
        <v>8</v>
      </c>
      <c r="F809" s="27">
        <v>260</v>
      </c>
      <c r="G809" s="27">
        <f t="shared" si="17"/>
        <v>260</v>
      </c>
      <c r="H809" s="429"/>
      <c r="J809" s="277"/>
      <c r="K809" s="277"/>
      <c r="L809" s="277"/>
      <c r="M809" s="277"/>
      <c r="N809" s="277"/>
      <c r="O809" s="277"/>
      <c r="P809" s="277"/>
      <c r="Q809" s="277"/>
      <c r="R809" s="277"/>
      <c r="S809" s="277"/>
    </row>
    <row r="810" spans="1:19" s="2" customFormat="1" ht="16.5" customHeight="1">
      <c r="A810" s="429">
        <v>790</v>
      </c>
      <c r="B810" s="430" t="s">
        <v>558</v>
      </c>
      <c r="C810" s="429"/>
      <c r="D810" s="429"/>
      <c r="E810" s="429" t="s">
        <v>8</v>
      </c>
      <c r="F810" s="437">
        <v>260</v>
      </c>
      <c r="G810" s="27">
        <f t="shared" si="17"/>
        <v>260</v>
      </c>
      <c r="H810" s="429"/>
      <c r="J810" s="277"/>
      <c r="K810" s="277"/>
      <c r="L810" s="277"/>
      <c r="M810" s="277"/>
      <c r="N810" s="277"/>
      <c r="O810" s="277"/>
      <c r="P810" s="277"/>
      <c r="Q810" s="277"/>
      <c r="R810" s="277"/>
      <c r="S810" s="277"/>
    </row>
    <row r="811" spans="1:19" s="2" customFormat="1" ht="33" customHeight="1">
      <c r="A811" s="429">
        <v>791</v>
      </c>
      <c r="B811" s="430" t="s">
        <v>608</v>
      </c>
      <c r="C811" s="429"/>
      <c r="D811" s="429"/>
      <c r="E811" s="431" t="s">
        <v>8</v>
      </c>
      <c r="F811" s="440">
        <v>260</v>
      </c>
      <c r="G811" s="27">
        <f t="shared" si="17"/>
        <v>260</v>
      </c>
      <c r="H811" s="429"/>
      <c r="J811" s="277"/>
      <c r="K811" s="277"/>
      <c r="L811" s="277"/>
      <c r="M811" s="277"/>
      <c r="N811" s="277"/>
      <c r="O811" s="277"/>
      <c r="P811" s="277"/>
      <c r="Q811" s="277"/>
      <c r="R811" s="277"/>
      <c r="S811" s="277"/>
    </row>
    <row r="812" spans="1:19" s="2" customFormat="1" ht="33" customHeight="1">
      <c r="A812" s="429">
        <v>792</v>
      </c>
      <c r="B812" s="430" t="s">
        <v>619</v>
      </c>
      <c r="C812" s="429" t="s">
        <v>9</v>
      </c>
      <c r="D812" s="429" t="s">
        <v>10</v>
      </c>
      <c r="E812" s="431" t="s">
        <v>8</v>
      </c>
      <c r="F812" s="440">
        <v>260</v>
      </c>
      <c r="G812" s="27">
        <f t="shared" si="17"/>
        <v>260</v>
      </c>
      <c r="H812" s="429"/>
      <c r="J812" s="277"/>
      <c r="K812" s="277"/>
      <c r="L812" s="277"/>
      <c r="M812" s="277"/>
      <c r="N812" s="277"/>
      <c r="O812" s="277"/>
      <c r="P812" s="277"/>
      <c r="Q812" s="277"/>
      <c r="R812" s="277"/>
      <c r="S812" s="277"/>
    </row>
    <row r="813" spans="1:19" s="2" customFormat="1" ht="33">
      <c r="A813" s="429">
        <v>793</v>
      </c>
      <c r="B813" s="430" t="s">
        <v>634</v>
      </c>
      <c r="C813" s="429" t="s">
        <v>14</v>
      </c>
      <c r="D813" s="429" t="s">
        <v>7</v>
      </c>
      <c r="E813" s="438" t="s">
        <v>8</v>
      </c>
      <c r="F813" s="27">
        <v>260</v>
      </c>
      <c r="G813" s="27">
        <f t="shared" si="17"/>
        <v>260</v>
      </c>
      <c r="H813" s="429"/>
      <c r="J813" s="277"/>
      <c r="K813" s="277"/>
      <c r="L813" s="277"/>
      <c r="M813" s="277"/>
      <c r="N813" s="277"/>
      <c r="O813" s="277"/>
      <c r="P813" s="277"/>
      <c r="Q813" s="277"/>
      <c r="R813" s="277"/>
      <c r="S813" s="277"/>
    </row>
    <row r="814" spans="1:19" s="2" customFormat="1" ht="16.5" customHeight="1">
      <c r="A814" s="429">
        <v>794</v>
      </c>
      <c r="B814" s="430" t="s">
        <v>678</v>
      </c>
      <c r="C814" s="429" t="s">
        <v>12</v>
      </c>
      <c r="D814" s="429" t="s">
        <v>10</v>
      </c>
      <c r="E814" s="429" t="s">
        <v>8</v>
      </c>
      <c r="F814" s="27">
        <v>260</v>
      </c>
      <c r="G814" s="27">
        <f t="shared" si="17"/>
        <v>260</v>
      </c>
      <c r="H814" s="429"/>
      <c r="J814" s="277"/>
      <c r="K814" s="277"/>
      <c r="L814" s="277"/>
      <c r="M814" s="277"/>
      <c r="N814" s="277"/>
      <c r="O814" s="277"/>
      <c r="P814" s="277"/>
      <c r="Q814" s="277"/>
      <c r="R814" s="277"/>
      <c r="S814" s="277"/>
    </row>
    <row r="815" spans="1:19" s="2" customFormat="1">
      <c r="A815" s="429">
        <v>795</v>
      </c>
      <c r="B815" s="430" t="s">
        <v>720</v>
      </c>
      <c r="C815" s="429"/>
      <c r="D815" s="429"/>
      <c r="E815" s="431" t="s">
        <v>8</v>
      </c>
      <c r="F815" s="432">
        <v>260</v>
      </c>
      <c r="G815" s="27">
        <f t="shared" si="17"/>
        <v>260</v>
      </c>
      <c r="H815" s="429"/>
      <c r="J815" s="277"/>
      <c r="K815" s="277"/>
      <c r="L815" s="277"/>
      <c r="M815" s="277"/>
      <c r="N815" s="277"/>
      <c r="O815" s="277"/>
      <c r="P815" s="277"/>
      <c r="Q815" s="277"/>
      <c r="R815" s="277"/>
      <c r="S815" s="277"/>
    </row>
    <row r="816" spans="1:19" s="2" customFormat="1">
      <c r="A816" s="429">
        <v>796</v>
      </c>
      <c r="B816" s="430" t="s">
        <v>728</v>
      </c>
      <c r="C816" s="429"/>
      <c r="D816" s="429"/>
      <c r="E816" s="429" t="s">
        <v>8</v>
      </c>
      <c r="F816" s="437">
        <v>260</v>
      </c>
      <c r="G816" s="27">
        <f t="shared" si="17"/>
        <v>260</v>
      </c>
      <c r="H816" s="429"/>
      <c r="J816" s="277"/>
      <c r="K816" s="277"/>
      <c r="L816" s="277"/>
      <c r="M816" s="277"/>
      <c r="N816" s="277"/>
      <c r="O816" s="277"/>
      <c r="P816" s="277"/>
      <c r="Q816" s="277"/>
      <c r="R816" s="277"/>
      <c r="S816" s="277"/>
    </row>
    <row r="817" spans="1:19" s="2" customFormat="1" ht="33" customHeight="1">
      <c r="A817" s="429">
        <v>797</v>
      </c>
      <c r="B817" s="430" t="s">
        <v>747</v>
      </c>
      <c r="C817" s="429"/>
      <c r="D817" s="429" t="s">
        <v>10</v>
      </c>
      <c r="E817" s="429" t="s">
        <v>8</v>
      </c>
      <c r="F817" s="27">
        <v>260</v>
      </c>
      <c r="G817" s="27">
        <f t="shared" si="17"/>
        <v>260</v>
      </c>
      <c r="H817" s="429"/>
      <c r="J817" s="277"/>
      <c r="K817" s="277"/>
      <c r="L817" s="278"/>
      <c r="M817" s="278"/>
      <c r="N817" s="278"/>
      <c r="O817" s="278"/>
      <c r="P817" s="278"/>
      <c r="Q817" s="278"/>
      <c r="R817" s="278"/>
      <c r="S817" s="278"/>
    </row>
    <row r="818" spans="1:19" s="2" customFormat="1" ht="16.5" customHeight="1">
      <c r="A818" s="429">
        <v>798</v>
      </c>
      <c r="B818" s="430" t="s">
        <v>756</v>
      </c>
      <c r="C818" s="429" t="s">
        <v>6</v>
      </c>
      <c r="D818" s="429" t="s">
        <v>10</v>
      </c>
      <c r="E818" s="429" t="s">
        <v>8</v>
      </c>
      <c r="F818" s="437">
        <v>260</v>
      </c>
      <c r="G818" s="27">
        <f t="shared" si="17"/>
        <v>260</v>
      </c>
      <c r="H818" s="429"/>
      <c r="J818" s="277"/>
      <c r="K818" s="277"/>
      <c r="L818" s="277"/>
      <c r="M818" s="277"/>
      <c r="N818" s="277"/>
      <c r="O818" s="277"/>
      <c r="P818" s="277"/>
      <c r="Q818" s="277"/>
      <c r="R818" s="277"/>
      <c r="S818" s="277"/>
    </row>
    <row r="819" spans="1:19" s="2" customFormat="1" ht="33" customHeight="1">
      <c r="A819" s="429">
        <v>799</v>
      </c>
      <c r="B819" s="430" t="s">
        <v>807</v>
      </c>
      <c r="C819" s="429" t="s">
        <v>9</v>
      </c>
      <c r="D819" s="429" t="s">
        <v>7</v>
      </c>
      <c r="E819" s="429" t="s">
        <v>8</v>
      </c>
      <c r="F819" s="437">
        <v>260</v>
      </c>
      <c r="G819" s="27">
        <f t="shared" si="17"/>
        <v>260</v>
      </c>
      <c r="H819" s="429"/>
      <c r="J819" s="277"/>
      <c r="K819" s="277"/>
      <c r="L819" s="278"/>
      <c r="M819" s="278"/>
      <c r="N819" s="278"/>
      <c r="O819" s="278"/>
      <c r="P819" s="278"/>
      <c r="Q819" s="278"/>
      <c r="R819" s="278"/>
      <c r="S819" s="278"/>
    </row>
    <row r="820" spans="1:19" s="2" customFormat="1" ht="16.5" customHeight="1">
      <c r="A820" s="429">
        <v>800</v>
      </c>
      <c r="B820" s="430" t="s">
        <v>936</v>
      </c>
      <c r="C820" s="429" t="s">
        <v>15</v>
      </c>
      <c r="D820" s="429" t="s">
        <v>7</v>
      </c>
      <c r="E820" s="431" t="s">
        <v>8</v>
      </c>
      <c r="F820" s="440">
        <v>260</v>
      </c>
      <c r="G820" s="27">
        <f t="shared" si="17"/>
        <v>260</v>
      </c>
      <c r="H820" s="429"/>
      <c r="J820" s="277"/>
      <c r="K820" s="277"/>
      <c r="L820" s="277"/>
      <c r="M820" s="277"/>
      <c r="N820" s="277"/>
      <c r="O820" s="277"/>
      <c r="P820" s="277"/>
      <c r="Q820" s="277"/>
      <c r="R820" s="277"/>
      <c r="S820" s="277"/>
    </row>
    <row r="821" spans="1:19" s="6" customFormat="1" ht="33" customHeight="1">
      <c r="A821" s="429">
        <v>801</v>
      </c>
      <c r="B821" s="430" t="s">
        <v>957</v>
      </c>
      <c r="C821" s="429"/>
      <c r="D821" s="429"/>
      <c r="E821" s="431" t="s">
        <v>8</v>
      </c>
      <c r="F821" s="432">
        <v>260</v>
      </c>
      <c r="G821" s="27">
        <f t="shared" si="17"/>
        <v>260</v>
      </c>
      <c r="H821" s="429"/>
      <c r="I821" s="2"/>
      <c r="J821" s="277"/>
      <c r="K821" s="277"/>
      <c r="L821" s="277"/>
      <c r="M821" s="277"/>
      <c r="N821" s="277"/>
      <c r="O821" s="277"/>
      <c r="P821" s="277"/>
      <c r="Q821" s="277"/>
      <c r="R821" s="277"/>
      <c r="S821" s="277"/>
    </row>
    <row r="822" spans="1:19" s="2" customFormat="1" ht="16.5" customHeight="1">
      <c r="A822" s="429">
        <v>802</v>
      </c>
      <c r="B822" s="430" t="s">
        <v>1001</v>
      </c>
      <c r="C822" s="429" t="s">
        <v>14</v>
      </c>
      <c r="D822" s="429" t="s">
        <v>10</v>
      </c>
      <c r="E822" s="429" t="s">
        <v>8</v>
      </c>
      <c r="F822" s="437">
        <v>260</v>
      </c>
      <c r="G822" s="27">
        <f t="shared" si="17"/>
        <v>260</v>
      </c>
      <c r="H822" s="429"/>
      <c r="J822" s="277"/>
      <c r="K822" s="277"/>
      <c r="L822" s="277"/>
      <c r="M822" s="277"/>
      <c r="N822" s="277"/>
      <c r="O822" s="277"/>
      <c r="P822" s="277"/>
      <c r="Q822" s="277"/>
      <c r="R822" s="277"/>
      <c r="S822" s="277"/>
    </row>
    <row r="823" spans="1:19" s="2" customFormat="1" ht="33" customHeight="1">
      <c r="A823" s="429">
        <v>803</v>
      </c>
      <c r="B823" s="430" t="s">
        <v>1012</v>
      </c>
      <c r="C823" s="429" t="s">
        <v>14</v>
      </c>
      <c r="D823" s="429" t="s">
        <v>7</v>
      </c>
      <c r="E823" s="431" t="s">
        <v>8</v>
      </c>
      <c r="F823" s="440">
        <v>260</v>
      </c>
      <c r="G823" s="27">
        <f t="shared" si="17"/>
        <v>260</v>
      </c>
      <c r="H823" s="429"/>
      <c r="J823" s="277"/>
      <c r="K823" s="277"/>
      <c r="L823" s="278"/>
      <c r="M823" s="278"/>
      <c r="N823" s="278"/>
      <c r="O823" s="278"/>
      <c r="P823" s="278"/>
      <c r="Q823" s="278"/>
      <c r="R823" s="278"/>
      <c r="S823" s="278"/>
    </row>
    <row r="824" spans="1:19" s="6" customFormat="1" ht="16.5" customHeight="1">
      <c r="A824" s="429">
        <v>804</v>
      </c>
      <c r="B824" s="430" t="s">
        <v>294</v>
      </c>
      <c r="C824" s="429"/>
      <c r="D824" s="429"/>
      <c r="E824" s="438" t="s">
        <v>8</v>
      </c>
      <c r="F824" s="27">
        <v>274</v>
      </c>
      <c r="G824" s="27">
        <v>260</v>
      </c>
      <c r="H824" s="429"/>
      <c r="I824" s="2"/>
      <c r="J824" s="277"/>
      <c r="K824" s="277"/>
      <c r="L824" s="278"/>
      <c r="M824" s="278"/>
      <c r="N824" s="278"/>
      <c r="O824" s="278"/>
      <c r="P824" s="278"/>
      <c r="Q824" s="278"/>
      <c r="R824" s="278"/>
      <c r="S824" s="278"/>
    </row>
    <row r="825" spans="1:19" s="2" customFormat="1" ht="16.5" customHeight="1">
      <c r="A825" s="429">
        <v>805</v>
      </c>
      <c r="B825" s="430" t="s">
        <v>469</v>
      </c>
      <c r="C825" s="429" t="s">
        <v>16</v>
      </c>
      <c r="D825" s="429" t="s">
        <v>10</v>
      </c>
      <c r="E825" s="429" t="s">
        <v>8</v>
      </c>
      <c r="F825" s="27">
        <v>274</v>
      </c>
      <c r="G825" s="27">
        <v>260</v>
      </c>
      <c r="H825" s="429"/>
      <c r="J825" s="277"/>
      <c r="K825" s="277"/>
      <c r="L825" s="278"/>
      <c r="M825" s="278"/>
      <c r="N825" s="278"/>
      <c r="O825" s="278"/>
      <c r="P825" s="278"/>
      <c r="Q825" s="278"/>
      <c r="R825" s="278"/>
      <c r="S825" s="278"/>
    </row>
    <row r="826" spans="1:19" s="2" customFormat="1" ht="16.5" customHeight="1">
      <c r="A826" s="429">
        <v>806</v>
      </c>
      <c r="B826" s="430" t="s">
        <v>744</v>
      </c>
      <c r="C826" s="429" t="s">
        <v>18</v>
      </c>
      <c r="D826" s="429" t="s">
        <v>7</v>
      </c>
      <c r="E826" s="429" t="s">
        <v>8</v>
      </c>
      <c r="F826" s="27">
        <v>274</v>
      </c>
      <c r="G826" s="27">
        <v>260</v>
      </c>
      <c r="H826" s="429"/>
      <c r="J826" s="277"/>
      <c r="K826" s="277"/>
      <c r="L826" s="278"/>
      <c r="M826" s="278"/>
      <c r="N826" s="278"/>
      <c r="O826" s="278"/>
      <c r="P826" s="278"/>
      <c r="Q826" s="278"/>
      <c r="R826" s="278"/>
      <c r="S826" s="278"/>
    </row>
    <row r="827" spans="1:19" s="2" customFormat="1" ht="16.5" customHeight="1">
      <c r="A827" s="429">
        <v>807</v>
      </c>
      <c r="B827" s="430" t="s">
        <v>755</v>
      </c>
      <c r="C827" s="431" t="s">
        <v>6</v>
      </c>
      <c r="D827" s="431" t="s">
        <v>7</v>
      </c>
      <c r="E827" s="431" t="s">
        <v>8</v>
      </c>
      <c r="F827" s="440">
        <v>274</v>
      </c>
      <c r="G827" s="27">
        <v>260</v>
      </c>
      <c r="H827" s="429"/>
      <c r="J827" s="277"/>
      <c r="K827" s="277"/>
      <c r="L827" s="277"/>
      <c r="M827" s="277"/>
      <c r="N827" s="277"/>
      <c r="O827" s="277"/>
      <c r="P827" s="277"/>
      <c r="Q827" s="277"/>
      <c r="R827" s="277"/>
      <c r="S827" s="277"/>
    </row>
    <row r="828" spans="1:19" s="2" customFormat="1" ht="49.5">
      <c r="A828" s="429">
        <v>808</v>
      </c>
      <c r="B828" s="430" t="s">
        <v>1040</v>
      </c>
      <c r="C828" s="429"/>
      <c r="D828" s="429"/>
      <c r="E828" s="429" t="s">
        <v>8</v>
      </c>
      <c r="F828" s="27">
        <v>260</v>
      </c>
      <c r="G828" s="27">
        <f>F828</f>
        <v>260</v>
      </c>
      <c r="H828" s="27" t="s">
        <v>47</v>
      </c>
      <c r="J828" s="277"/>
      <c r="K828" s="277"/>
      <c r="L828" s="277"/>
      <c r="M828" s="277"/>
      <c r="N828" s="277"/>
      <c r="O828" s="277"/>
      <c r="P828" s="277"/>
      <c r="Q828" s="277"/>
      <c r="R828" s="277"/>
      <c r="S828" s="277"/>
    </row>
    <row r="829" spans="1:19" s="2" customFormat="1" ht="16.5" customHeight="1">
      <c r="A829" s="429">
        <v>809</v>
      </c>
      <c r="B829" s="430" t="s">
        <v>55</v>
      </c>
      <c r="C829" s="429"/>
      <c r="D829" s="429"/>
      <c r="E829" s="429" t="s">
        <v>8</v>
      </c>
      <c r="F829" s="436">
        <v>260</v>
      </c>
      <c r="G829" s="27">
        <f>F829</f>
        <v>260</v>
      </c>
      <c r="H829" s="429"/>
      <c r="J829" s="277"/>
      <c r="K829" s="277"/>
      <c r="L829" s="277"/>
      <c r="M829" s="277"/>
      <c r="N829" s="277"/>
      <c r="O829" s="277"/>
      <c r="P829" s="277"/>
      <c r="Q829" s="277"/>
      <c r="R829" s="277"/>
      <c r="S829" s="277"/>
    </row>
    <row r="830" spans="1:19" s="6" customFormat="1" ht="33" customHeight="1">
      <c r="A830" s="429">
        <v>810</v>
      </c>
      <c r="B830" s="430" t="s">
        <v>718</v>
      </c>
      <c r="C830" s="429"/>
      <c r="D830" s="429" t="s">
        <v>10</v>
      </c>
      <c r="E830" s="429" t="s">
        <v>8</v>
      </c>
      <c r="F830" s="436">
        <v>260</v>
      </c>
      <c r="G830" s="27">
        <f>F830</f>
        <v>260</v>
      </c>
      <c r="H830" s="429"/>
      <c r="I830" s="2"/>
      <c r="J830" s="277"/>
      <c r="K830" s="277"/>
      <c r="L830" s="277"/>
      <c r="M830" s="277"/>
      <c r="N830" s="277"/>
      <c r="O830" s="277"/>
      <c r="P830" s="277"/>
      <c r="Q830" s="277"/>
      <c r="R830" s="277"/>
      <c r="S830" s="277"/>
    </row>
    <row r="831" spans="1:19" s="6" customFormat="1" ht="16.5" customHeight="1">
      <c r="A831" s="429">
        <v>811</v>
      </c>
      <c r="B831" s="430" t="s">
        <v>828</v>
      </c>
      <c r="C831" s="429"/>
      <c r="D831" s="429"/>
      <c r="E831" s="429" t="s">
        <v>8</v>
      </c>
      <c r="F831" s="436">
        <v>260</v>
      </c>
      <c r="G831" s="27">
        <f>F831</f>
        <v>260</v>
      </c>
      <c r="H831" s="429"/>
      <c r="I831" s="2"/>
      <c r="J831" s="277"/>
      <c r="K831" s="277"/>
      <c r="L831" s="278"/>
      <c r="M831" s="278"/>
      <c r="N831" s="278"/>
      <c r="O831" s="278"/>
      <c r="P831" s="278"/>
      <c r="Q831" s="278"/>
      <c r="R831" s="278"/>
      <c r="S831" s="278"/>
    </row>
    <row r="832" spans="1:19" s="6" customFormat="1" ht="16.5" customHeight="1">
      <c r="A832" s="429">
        <v>812</v>
      </c>
      <c r="B832" s="430" t="s">
        <v>635</v>
      </c>
      <c r="C832" s="431" t="s">
        <v>6</v>
      </c>
      <c r="D832" s="431" t="s">
        <v>10</v>
      </c>
      <c r="E832" s="431" t="s">
        <v>25</v>
      </c>
      <c r="F832" s="440">
        <v>274</v>
      </c>
      <c r="G832" s="27">
        <v>260</v>
      </c>
      <c r="H832" s="429"/>
      <c r="I832" s="2"/>
      <c r="J832" s="277"/>
      <c r="K832" s="277"/>
      <c r="L832" s="277"/>
      <c r="M832" s="277"/>
      <c r="N832" s="277"/>
      <c r="O832" s="277"/>
      <c r="P832" s="277"/>
      <c r="Q832" s="277"/>
      <c r="R832" s="277"/>
      <c r="S832" s="277"/>
    </row>
    <row r="833" spans="1:19" s="6" customFormat="1" ht="16.5" customHeight="1">
      <c r="A833" s="429">
        <v>813</v>
      </c>
      <c r="B833" s="430" t="s">
        <v>879</v>
      </c>
      <c r="C833" s="429" t="s">
        <v>6</v>
      </c>
      <c r="D833" s="429" t="s">
        <v>10</v>
      </c>
      <c r="E833" s="429" t="s">
        <v>25</v>
      </c>
      <c r="F833" s="27">
        <v>274</v>
      </c>
      <c r="G833" s="27">
        <v>260</v>
      </c>
      <c r="H833" s="429"/>
      <c r="I833" s="2"/>
      <c r="J833" s="277"/>
      <c r="K833" s="277"/>
      <c r="L833" s="277"/>
      <c r="M833" s="277"/>
      <c r="N833" s="277"/>
      <c r="O833" s="277"/>
      <c r="P833" s="277"/>
      <c r="Q833" s="277"/>
      <c r="R833" s="277"/>
      <c r="S833" s="277"/>
    </row>
    <row r="834" spans="1:19" s="6" customFormat="1" ht="33" customHeight="1">
      <c r="A834" s="429">
        <v>814</v>
      </c>
      <c r="B834" s="430" t="s">
        <v>679</v>
      </c>
      <c r="C834" s="429" t="s">
        <v>14</v>
      </c>
      <c r="D834" s="429" t="s">
        <v>10</v>
      </c>
      <c r="E834" s="429" t="s">
        <v>25</v>
      </c>
      <c r="F834" s="27">
        <v>274</v>
      </c>
      <c r="G834" s="27">
        <v>260</v>
      </c>
      <c r="H834" s="429"/>
      <c r="I834" s="2"/>
      <c r="J834" s="277"/>
      <c r="K834" s="277"/>
      <c r="L834" s="277"/>
      <c r="M834" s="277"/>
      <c r="N834" s="277"/>
      <c r="O834" s="277"/>
      <c r="P834" s="277"/>
      <c r="Q834" s="277"/>
      <c r="R834" s="277"/>
      <c r="S834" s="277"/>
    </row>
    <row r="835" spans="1:19" s="2" customFormat="1">
      <c r="A835" s="429">
        <v>815</v>
      </c>
      <c r="B835" s="430" t="s">
        <v>331</v>
      </c>
      <c r="C835" s="429" t="s">
        <v>14</v>
      </c>
      <c r="D835" s="429" t="s">
        <v>10</v>
      </c>
      <c r="E835" s="429" t="s">
        <v>25</v>
      </c>
      <c r="F835" s="27">
        <v>274</v>
      </c>
      <c r="G835" s="27">
        <v>260</v>
      </c>
      <c r="H835" s="429"/>
      <c r="J835" s="277"/>
      <c r="K835" s="277"/>
      <c r="L835" s="277"/>
      <c r="M835" s="277"/>
      <c r="N835" s="277"/>
      <c r="O835" s="277"/>
      <c r="P835" s="277"/>
      <c r="Q835" s="277"/>
      <c r="R835" s="277"/>
      <c r="S835" s="277"/>
    </row>
    <row r="836" spans="1:19" s="2" customFormat="1">
      <c r="A836" s="429">
        <v>816</v>
      </c>
      <c r="B836" s="430" t="s">
        <v>869</v>
      </c>
      <c r="C836" s="429" t="s">
        <v>18</v>
      </c>
      <c r="D836" s="429" t="s">
        <v>10</v>
      </c>
      <c r="E836" s="429" t="s">
        <v>25</v>
      </c>
      <c r="F836" s="27">
        <v>274</v>
      </c>
      <c r="G836" s="27">
        <v>260</v>
      </c>
      <c r="H836" s="429"/>
      <c r="J836" s="277"/>
      <c r="K836" s="277"/>
      <c r="L836" s="277"/>
      <c r="M836" s="277"/>
      <c r="N836" s="277"/>
      <c r="O836" s="277"/>
      <c r="P836" s="277"/>
      <c r="Q836" s="277"/>
      <c r="R836" s="277"/>
      <c r="S836" s="277"/>
    </row>
    <row r="837" spans="1:19" s="2" customFormat="1" ht="16.5" customHeight="1">
      <c r="A837" s="429">
        <v>817</v>
      </c>
      <c r="B837" s="430" t="s">
        <v>897</v>
      </c>
      <c r="C837" s="429" t="s">
        <v>12</v>
      </c>
      <c r="D837" s="429" t="s">
        <v>10</v>
      </c>
      <c r="E837" s="429" t="s">
        <v>25</v>
      </c>
      <c r="F837" s="27">
        <v>274</v>
      </c>
      <c r="G837" s="27">
        <v>260</v>
      </c>
      <c r="H837" s="429"/>
      <c r="J837" s="277"/>
      <c r="K837" s="277"/>
      <c r="L837" s="277"/>
      <c r="M837" s="277"/>
      <c r="N837" s="277"/>
      <c r="O837" s="277"/>
      <c r="P837" s="277"/>
      <c r="Q837" s="277"/>
      <c r="R837" s="277"/>
      <c r="S837" s="277"/>
    </row>
    <row r="838" spans="1:19" s="2" customFormat="1" ht="33" customHeight="1">
      <c r="A838" s="429">
        <v>818</v>
      </c>
      <c r="B838" s="430" t="s">
        <v>579</v>
      </c>
      <c r="C838" s="429" t="s">
        <v>9</v>
      </c>
      <c r="D838" s="429" t="s">
        <v>7</v>
      </c>
      <c r="E838" s="431" t="s">
        <v>8</v>
      </c>
      <c r="F838" s="432">
        <v>272</v>
      </c>
      <c r="G838" s="27">
        <v>272</v>
      </c>
      <c r="H838" s="429"/>
      <c r="J838" s="277"/>
      <c r="K838" s="277"/>
      <c r="L838" s="277"/>
      <c r="M838" s="277"/>
      <c r="N838" s="277"/>
      <c r="O838" s="277"/>
      <c r="P838" s="277"/>
      <c r="Q838" s="277"/>
      <c r="R838" s="277"/>
      <c r="S838" s="277"/>
    </row>
    <row r="839" spans="1:19" s="2" customFormat="1">
      <c r="A839" s="429">
        <v>819</v>
      </c>
      <c r="B839" s="430" t="s">
        <v>90</v>
      </c>
      <c r="C839" s="429" t="s">
        <v>14</v>
      </c>
      <c r="D839" s="429" t="s">
        <v>7</v>
      </c>
      <c r="E839" s="429" t="s">
        <v>8</v>
      </c>
      <c r="F839" s="436">
        <v>274</v>
      </c>
      <c r="G839" s="27">
        <f t="shared" ref="G839:G844" si="18">F839</f>
        <v>274</v>
      </c>
      <c r="H839" s="429"/>
      <c r="J839" s="277"/>
      <c r="K839" s="277"/>
      <c r="L839" s="277"/>
      <c r="M839" s="277"/>
      <c r="N839" s="277"/>
      <c r="O839" s="277"/>
      <c r="P839" s="277"/>
      <c r="Q839" s="277"/>
      <c r="R839" s="277"/>
      <c r="S839" s="277"/>
    </row>
    <row r="840" spans="1:19" s="2" customFormat="1" ht="33" customHeight="1">
      <c r="A840" s="429">
        <v>820</v>
      </c>
      <c r="B840" s="430" t="s">
        <v>273</v>
      </c>
      <c r="C840" s="429" t="s">
        <v>6</v>
      </c>
      <c r="D840" s="429" t="s">
        <v>7</v>
      </c>
      <c r="E840" s="429" t="s">
        <v>8</v>
      </c>
      <c r="F840" s="447">
        <v>274</v>
      </c>
      <c r="G840" s="27">
        <f t="shared" si="18"/>
        <v>274</v>
      </c>
      <c r="H840" s="429"/>
      <c r="J840" s="277"/>
      <c r="K840" s="277"/>
      <c r="L840" s="277"/>
      <c r="M840" s="277"/>
      <c r="N840" s="277"/>
      <c r="O840" s="277"/>
      <c r="P840" s="277"/>
      <c r="Q840" s="277"/>
      <c r="R840" s="277"/>
      <c r="S840" s="277"/>
    </row>
    <row r="841" spans="1:19" s="2" customFormat="1" ht="33" customHeight="1">
      <c r="A841" s="429">
        <v>821</v>
      </c>
      <c r="B841" s="430" t="s">
        <v>551</v>
      </c>
      <c r="C841" s="429" t="s">
        <v>6</v>
      </c>
      <c r="D841" s="429" t="s">
        <v>7</v>
      </c>
      <c r="E841" s="431" t="s">
        <v>8</v>
      </c>
      <c r="F841" s="432">
        <v>274</v>
      </c>
      <c r="G841" s="27">
        <f t="shared" si="18"/>
        <v>274</v>
      </c>
      <c r="H841" s="429"/>
      <c r="J841" s="277"/>
      <c r="K841" s="277"/>
      <c r="L841" s="277"/>
      <c r="M841" s="277"/>
      <c r="N841" s="277"/>
      <c r="O841" s="277"/>
      <c r="P841" s="277"/>
      <c r="Q841" s="277"/>
      <c r="R841" s="277"/>
      <c r="S841" s="277"/>
    </row>
    <row r="842" spans="1:19" s="2" customFormat="1">
      <c r="A842" s="429">
        <v>822</v>
      </c>
      <c r="B842" s="430" t="s">
        <v>101</v>
      </c>
      <c r="C842" s="444" t="s">
        <v>6</v>
      </c>
      <c r="D842" s="444" t="s">
        <v>7</v>
      </c>
      <c r="E842" s="444" t="s">
        <v>8</v>
      </c>
      <c r="F842" s="42">
        <v>274</v>
      </c>
      <c r="G842" s="27">
        <f t="shared" si="18"/>
        <v>274</v>
      </c>
      <c r="H842" s="429"/>
      <c r="J842" s="277"/>
      <c r="K842" s="277"/>
      <c r="L842" s="277"/>
      <c r="M842" s="277"/>
      <c r="N842" s="277"/>
      <c r="O842" s="277"/>
      <c r="P842" s="277"/>
      <c r="Q842" s="277"/>
      <c r="R842" s="277"/>
      <c r="S842" s="277"/>
    </row>
    <row r="843" spans="1:19" s="2" customFormat="1">
      <c r="A843" s="429">
        <v>823</v>
      </c>
      <c r="B843" s="430" t="s">
        <v>965</v>
      </c>
      <c r="C843" s="429" t="s">
        <v>12</v>
      </c>
      <c r="D843" s="429" t="s">
        <v>10</v>
      </c>
      <c r="E843" s="429" t="s">
        <v>8</v>
      </c>
      <c r="F843" s="437">
        <v>280</v>
      </c>
      <c r="G843" s="27">
        <f t="shared" si="18"/>
        <v>280</v>
      </c>
      <c r="H843" s="429"/>
      <c r="J843" s="277"/>
      <c r="K843" s="277"/>
      <c r="L843" s="277"/>
      <c r="M843" s="277"/>
      <c r="N843" s="277"/>
      <c r="O843" s="277"/>
      <c r="P843" s="277"/>
      <c r="Q843" s="277"/>
      <c r="R843" s="277"/>
      <c r="S843" s="277"/>
    </row>
    <row r="844" spans="1:19" s="2" customFormat="1" ht="33" customHeight="1">
      <c r="A844" s="429">
        <v>824</v>
      </c>
      <c r="B844" s="430" t="s">
        <v>440</v>
      </c>
      <c r="C844" s="429"/>
      <c r="D844" s="429"/>
      <c r="E844" s="429"/>
      <c r="F844" s="27">
        <v>300</v>
      </c>
      <c r="G844" s="27">
        <f t="shared" si="18"/>
        <v>300</v>
      </c>
      <c r="H844" s="429"/>
      <c r="J844" s="277"/>
      <c r="K844" s="277"/>
      <c r="L844" s="277"/>
      <c r="M844" s="277"/>
      <c r="N844" s="277"/>
      <c r="O844" s="277"/>
      <c r="P844" s="277"/>
      <c r="Q844" s="277"/>
      <c r="R844" s="277"/>
      <c r="S844" s="277"/>
    </row>
    <row r="845" spans="1:19" s="2" customFormat="1" ht="16.5" customHeight="1">
      <c r="A845" s="429">
        <v>825</v>
      </c>
      <c r="B845" s="430" t="s">
        <v>114</v>
      </c>
      <c r="C845" s="429" t="s">
        <v>12</v>
      </c>
      <c r="D845" s="429" t="s">
        <v>10</v>
      </c>
      <c r="E845" s="429" t="s">
        <v>13</v>
      </c>
      <c r="F845" s="27">
        <v>322</v>
      </c>
      <c r="G845" s="27">
        <v>305</v>
      </c>
      <c r="H845" s="429"/>
      <c r="J845" s="277"/>
      <c r="K845" s="277"/>
      <c r="L845" s="278"/>
      <c r="M845" s="278"/>
      <c r="N845" s="278"/>
      <c r="O845" s="278"/>
      <c r="P845" s="278"/>
      <c r="Q845" s="278"/>
      <c r="R845" s="278"/>
      <c r="S845" s="278"/>
    </row>
    <row r="846" spans="1:19" s="2" customFormat="1">
      <c r="A846" s="429">
        <v>826</v>
      </c>
      <c r="B846" s="430" t="s">
        <v>686</v>
      </c>
      <c r="C846" s="429" t="s">
        <v>18</v>
      </c>
      <c r="D846" s="429" t="s">
        <v>10</v>
      </c>
      <c r="E846" s="429" t="s">
        <v>13</v>
      </c>
      <c r="F846" s="27">
        <v>322</v>
      </c>
      <c r="G846" s="27">
        <v>305</v>
      </c>
      <c r="H846" s="429"/>
      <c r="J846" s="277"/>
      <c r="K846" s="277"/>
      <c r="L846" s="277"/>
      <c r="M846" s="277"/>
      <c r="N846" s="277"/>
      <c r="O846" s="277"/>
      <c r="P846" s="277"/>
      <c r="Q846" s="277"/>
      <c r="R846" s="277"/>
      <c r="S846" s="277"/>
    </row>
    <row r="847" spans="1:19" s="2" customFormat="1">
      <c r="A847" s="429">
        <v>827</v>
      </c>
      <c r="B847" s="430" t="s">
        <v>855</v>
      </c>
      <c r="C847" s="429" t="s">
        <v>14</v>
      </c>
      <c r="D847" s="429" t="s">
        <v>10</v>
      </c>
      <c r="E847" s="429" t="s">
        <v>13</v>
      </c>
      <c r="F847" s="27">
        <v>322</v>
      </c>
      <c r="G847" s="27">
        <v>305</v>
      </c>
      <c r="H847" s="429"/>
      <c r="J847" s="277"/>
      <c r="K847" s="277"/>
      <c r="L847" s="277"/>
      <c r="M847" s="277"/>
      <c r="N847" s="277"/>
      <c r="O847" s="277"/>
      <c r="P847" s="277"/>
      <c r="Q847" s="277"/>
      <c r="R847" s="277"/>
      <c r="S847" s="277"/>
    </row>
    <row r="848" spans="1:19" s="2" customFormat="1">
      <c r="A848" s="429">
        <v>828</v>
      </c>
      <c r="B848" s="430" t="s">
        <v>340</v>
      </c>
      <c r="C848" s="429" t="s">
        <v>12</v>
      </c>
      <c r="D848" s="429" t="s">
        <v>10</v>
      </c>
      <c r="E848" s="429" t="s">
        <v>13</v>
      </c>
      <c r="F848" s="27">
        <v>322</v>
      </c>
      <c r="G848" s="27">
        <f>F848</f>
        <v>322</v>
      </c>
      <c r="H848" s="429"/>
      <c r="J848" s="277"/>
      <c r="K848" s="277"/>
      <c r="L848" s="277"/>
      <c r="M848" s="277"/>
      <c r="N848" s="277"/>
      <c r="O848" s="277"/>
      <c r="P848" s="277"/>
      <c r="Q848" s="277"/>
      <c r="R848" s="277"/>
      <c r="S848" s="277"/>
    </row>
    <row r="849" spans="1:19" s="2" customFormat="1" ht="49.5">
      <c r="A849" s="429">
        <v>829</v>
      </c>
      <c r="B849" s="430" t="s">
        <v>1042</v>
      </c>
      <c r="C849" s="429" t="s">
        <v>14</v>
      </c>
      <c r="D849" s="429" t="s">
        <v>10</v>
      </c>
      <c r="E849" s="429" t="s">
        <v>11</v>
      </c>
      <c r="F849" s="27">
        <v>220</v>
      </c>
      <c r="G849" s="27">
        <v>345</v>
      </c>
      <c r="H849" s="27" t="s">
        <v>41</v>
      </c>
      <c r="J849" s="277"/>
      <c r="K849" s="277"/>
      <c r="L849" s="277"/>
      <c r="M849" s="277"/>
      <c r="N849" s="277"/>
      <c r="O849" s="277"/>
      <c r="P849" s="277"/>
      <c r="Q849" s="277"/>
      <c r="R849" s="277"/>
      <c r="S849" s="277"/>
    </row>
    <row r="850" spans="1:19" s="6" customFormat="1">
      <c r="A850" s="429">
        <v>830</v>
      </c>
      <c r="B850" s="430" t="s">
        <v>864</v>
      </c>
      <c r="C850" s="429" t="s">
        <v>14</v>
      </c>
      <c r="D850" s="429" t="s">
        <v>10</v>
      </c>
      <c r="E850" s="429" t="s">
        <v>13</v>
      </c>
      <c r="F850" s="27">
        <v>364</v>
      </c>
      <c r="G850" s="27">
        <v>345</v>
      </c>
      <c r="H850" s="429"/>
      <c r="I850" s="2"/>
      <c r="J850" s="277"/>
      <c r="K850" s="277"/>
      <c r="L850" s="277"/>
      <c r="M850" s="277"/>
      <c r="N850" s="277"/>
      <c r="O850" s="277"/>
      <c r="P850" s="277"/>
      <c r="Q850" s="277"/>
      <c r="R850" s="277"/>
      <c r="S850" s="277"/>
    </row>
    <row r="851" spans="1:19" s="2" customFormat="1" ht="33">
      <c r="A851" s="429">
        <v>831</v>
      </c>
      <c r="B851" s="430" t="s">
        <v>782</v>
      </c>
      <c r="C851" s="429" t="s">
        <v>6</v>
      </c>
      <c r="D851" s="429" t="s">
        <v>10</v>
      </c>
      <c r="E851" s="429" t="s">
        <v>8</v>
      </c>
      <c r="F851" s="27">
        <v>364</v>
      </c>
      <c r="G851" s="27">
        <v>345</v>
      </c>
      <c r="H851" s="429"/>
      <c r="J851" s="277"/>
      <c r="K851" s="277"/>
      <c r="L851" s="277"/>
      <c r="M851" s="277"/>
      <c r="N851" s="277"/>
      <c r="O851" s="277"/>
      <c r="P851" s="277"/>
      <c r="Q851" s="277"/>
      <c r="R851" s="277"/>
      <c r="S851" s="277"/>
    </row>
    <row r="852" spans="1:19" s="2" customFormat="1">
      <c r="A852" s="429">
        <v>832</v>
      </c>
      <c r="B852" s="430" t="s">
        <v>544</v>
      </c>
      <c r="C852" s="429" t="s">
        <v>6</v>
      </c>
      <c r="D852" s="429" t="s">
        <v>7</v>
      </c>
      <c r="E852" s="429" t="s">
        <v>8</v>
      </c>
      <c r="F852" s="437">
        <v>360</v>
      </c>
      <c r="G852" s="27">
        <f>F852</f>
        <v>360</v>
      </c>
      <c r="H852" s="429"/>
      <c r="J852" s="277"/>
      <c r="K852" s="277"/>
      <c r="L852" s="277"/>
      <c r="M852" s="277"/>
      <c r="N852" s="277"/>
      <c r="O852" s="277"/>
      <c r="P852" s="277"/>
      <c r="Q852" s="277"/>
      <c r="R852" s="277"/>
      <c r="S852" s="277"/>
    </row>
    <row r="853" spans="1:19" s="2" customFormat="1" ht="33">
      <c r="A853" s="429">
        <v>833</v>
      </c>
      <c r="B853" s="430" t="s">
        <v>656</v>
      </c>
      <c r="C853" s="429" t="s">
        <v>12</v>
      </c>
      <c r="D853" s="429" t="s">
        <v>10</v>
      </c>
      <c r="E853" s="429" t="s">
        <v>8</v>
      </c>
      <c r="F853" s="27">
        <v>496</v>
      </c>
      <c r="G853" s="27">
        <v>470</v>
      </c>
      <c r="H853" s="429"/>
      <c r="J853" s="277"/>
      <c r="K853" s="277"/>
      <c r="L853" s="277"/>
      <c r="M853" s="277"/>
      <c r="N853" s="277"/>
      <c r="O853" s="277"/>
      <c r="P853" s="277"/>
      <c r="Q853" s="277"/>
      <c r="R853" s="277"/>
      <c r="S853" s="277"/>
    </row>
    <row r="854" spans="1:19" s="8" customFormat="1" ht="33" customHeight="1">
      <c r="A854" s="429">
        <v>834</v>
      </c>
      <c r="B854" s="433" t="s">
        <v>910</v>
      </c>
      <c r="C854" s="434" t="s">
        <v>15</v>
      </c>
      <c r="D854" s="434" t="s">
        <v>7</v>
      </c>
      <c r="E854" s="434" t="s">
        <v>8</v>
      </c>
      <c r="F854" s="31">
        <v>227</v>
      </c>
      <c r="G854" s="31">
        <v>190</v>
      </c>
      <c r="H854" s="434"/>
      <c r="J854" s="521"/>
      <c r="K854" s="489"/>
      <c r="L854" s="228"/>
      <c r="M854" s="228"/>
      <c r="N854" s="228"/>
      <c r="O854" s="228"/>
      <c r="P854" s="228"/>
      <c r="Q854" s="228"/>
      <c r="R854" s="228"/>
      <c r="S854" s="228"/>
    </row>
    <row r="855" spans="1:19" s="8" customFormat="1" ht="16.5" customHeight="1">
      <c r="A855" s="429">
        <v>835</v>
      </c>
      <c r="B855" s="433" t="s">
        <v>676</v>
      </c>
      <c r="C855" s="434" t="s">
        <v>14</v>
      </c>
      <c r="D855" s="434" t="s">
        <v>7</v>
      </c>
      <c r="E855" s="434" t="s">
        <v>8</v>
      </c>
      <c r="F855" s="31">
        <v>227</v>
      </c>
      <c r="G855" s="31">
        <v>216</v>
      </c>
      <c r="H855" s="434"/>
      <c r="J855" s="521"/>
      <c r="K855" s="489"/>
      <c r="L855" s="228"/>
      <c r="M855" s="228"/>
      <c r="N855" s="228"/>
      <c r="O855" s="228"/>
      <c r="P855" s="228"/>
      <c r="Q855" s="228"/>
      <c r="R855" s="228"/>
      <c r="S855" s="228"/>
    </row>
    <row r="856" spans="1:19" s="8" customFormat="1" ht="33" customHeight="1">
      <c r="A856" s="429">
        <v>836</v>
      </c>
      <c r="B856" s="433" t="s">
        <v>183</v>
      </c>
      <c r="C856" s="434" t="s">
        <v>6</v>
      </c>
      <c r="D856" s="434" t="s">
        <v>7</v>
      </c>
      <c r="E856" s="434" t="s">
        <v>8</v>
      </c>
      <c r="F856" s="31">
        <v>227</v>
      </c>
      <c r="G856" s="31">
        <v>227</v>
      </c>
      <c r="H856" s="434"/>
      <c r="J856" s="521"/>
      <c r="K856" s="489"/>
      <c r="L856" s="228"/>
      <c r="M856" s="228"/>
      <c r="N856" s="228"/>
      <c r="O856" s="228"/>
      <c r="P856" s="228"/>
      <c r="Q856" s="228"/>
      <c r="R856" s="228"/>
      <c r="S856" s="228"/>
    </row>
    <row r="857" spans="1:19" s="8" customFormat="1" ht="16.5" customHeight="1">
      <c r="A857" s="429">
        <v>837</v>
      </c>
      <c r="B857" s="433" t="s">
        <v>143</v>
      </c>
      <c r="C857" s="602" t="s">
        <v>14</v>
      </c>
      <c r="D857" s="602" t="s">
        <v>7</v>
      </c>
      <c r="E857" s="602" t="s">
        <v>13</v>
      </c>
      <c r="F857" s="603">
        <v>227</v>
      </c>
      <c r="G857" s="31">
        <f t="shared" ref="G857:G893" si="19">F857</f>
        <v>227</v>
      </c>
      <c r="H857" s="434"/>
      <c r="J857" s="521"/>
      <c r="K857" s="489"/>
      <c r="L857" s="228"/>
      <c r="M857" s="228"/>
      <c r="N857" s="228"/>
      <c r="O857" s="228"/>
      <c r="P857" s="228"/>
      <c r="Q857" s="228"/>
      <c r="R857" s="228"/>
      <c r="S857" s="228"/>
    </row>
    <row r="858" spans="1:19" s="8" customFormat="1" ht="16.5" customHeight="1">
      <c r="A858" s="429">
        <v>838</v>
      </c>
      <c r="B858" s="433" t="s">
        <v>155</v>
      </c>
      <c r="C858" s="602" t="s">
        <v>14</v>
      </c>
      <c r="D858" s="602" t="s">
        <v>7</v>
      </c>
      <c r="E858" s="602" t="s">
        <v>13</v>
      </c>
      <c r="F858" s="603">
        <v>227</v>
      </c>
      <c r="G858" s="31">
        <f t="shared" si="19"/>
        <v>227</v>
      </c>
      <c r="H858" s="434"/>
      <c r="J858" s="521"/>
      <c r="K858" s="489"/>
      <c r="L858" s="228"/>
      <c r="M858" s="228"/>
      <c r="N858" s="228"/>
      <c r="O858" s="228"/>
      <c r="P858" s="228"/>
      <c r="Q858" s="228"/>
      <c r="R858" s="228"/>
      <c r="S858" s="228"/>
    </row>
    <row r="859" spans="1:19" s="8" customFormat="1">
      <c r="A859" s="429">
        <v>839</v>
      </c>
      <c r="B859" s="433" t="s">
        <v>170</v>
      </c>
      <c r="C859" s="602" t="s">
        <v>14</v>
      </c>
      <c r="D859" s="602" t="s">
        <v>7</v>
      </c>
      <c r="E859" s="602" t="s">
        <v>13</v>
      </c>
      <c r="F859" s="603">
        <v>227</v>
      </c>
      <c r="G859" s="31">
        <f t="shared" si="19"/>
        <v>227</v>
      </c>
      <c r="H859" s="434"/>
      <c r="J859" s="520"/>
      <c r="K859" s="489"/>
      <c r="L859" s="228"/>
      <c r="M859" s="228"/>
      <c r="N859" s="228"/>
      <c r="O859" s="228"/>
      <c r="P859" s="228"/>
      <c r="Q859" s="228"/>
      <c r="R859" s="228"/>
      <c r="S859" s="228"/>
    </row>
    <row r="860" spans="1:19" s="8" customFormat="1" ht="16.5" customHeight="1">
      <c r="A860" s="429">
        <v>840</v>
      </c>
      <c r="B860" s="433" t="s">
        <v>174</v>
      </c>
      <c r="C860" s="434" t="s">
        <v>18</v>
      </c>
      <c r="D860" s="434" t="s">
        <v>7</v>
      </c>
      <c r="E860" s="434" t="s">
        <v>13</v>
      </c>
      <c r="F860" s="31">
        <v>227</v>
      </c>
      <c r="G860" s="31">
        <f t="shared" si="19"/>
        <v>227</v>
      </c>
      <c r="H860" s="434"/>
      <c r="J860" s="520"/>
      <c r="K860" s="489"/>
      <c r="L860" s="228"/>
      <c r="M860" s="228"/>
      <c r="N860" s="228"/>
      <c r="O860" s="228"/>
      <c r="P860" s="228"/>
      <c r="Q860" s="228"/>
      <c r="R860" s="228"/>
      <c r="S860" s="228"/>
    </row>
    <row r="861" spans="1:19" s="8" customFormat="1" ht="33" customHeight="1">
      <c r="A861" s="429">
        <v>841</v>
      </c>
      <c r="B861" s="433" t="s">
        <v>249</v>
      </c>
      <c r="C861" s="434" t="s">
        <v>18</v>
      </c>
      <c r="D861" s="434" t="s">
        <v>7</v>
      </c>
      <c r="E861" s="434" t="s">
        <v>13</v>
      </c>
      <c r="F861" s="31">
        <v>227</v>
      </c>
      <c r="G861" s="31">
        <f t="shared" si="19"/>
        <v>227</v>
      </c>
      <c r="H861" s="434"/>
      <c r="J861" s="521"/>
      <c r="K861" s="489"/>
      <c r="L861" s="228"/>
      <c r="M861" s="228"/>
      <c r="N861" s="228"/>
      <c r="O861" s="228"/>
      <c r="P861" s="228"/>
      <c r="Q861" s="228"/>
      <c r="R861" s="228"/>
      <c r="S861" s="228"/>
    </row>
    <row r="862" spans="1:19" s="8" customFormat="1" ht="27.95" customHeight="1">
      <c r="A862" s="429">
        <v>842</v>
      </c>
      <c r="B862" s="433" t="s">
        <v>303</v>
      </c>
      <c r="C862" s="434" t="s">
        <v>14</v>
      </c>
      <c r="D862" s="434" t="s">
        <v>7</v>
      </c>
      <c r="E862" s="434" t="s">
        <v>13</v>
      </c>
      <c r="F862" s="31">
        <v>227</v>
      </c>
      <c r="G862" s="31">
        <f t="shared" si="19"/>
        <v>227</v>
      </c>
      <c r="H862" s="434"/>
      <c r="J862" s="521"/>
      <c r="K862" s="489"/>
      <c r="L862" s="228"/>
      <c r="M862" s="228"/>
      <c r="N862" s="228"/>
      <c r="O862" s="228"/>
      <c r="P862" s="228"/>
      <c r="Q862" s="228"/>
      <c r="R862" s="228"/>
      <c r="S862" s="228"/>
    </row>
    <row r="863" spans="1:19" s="8" customFormat="1" ht="16.5" customHeight="1">
      <c r="A863" s="429">
        <v>843</v>
      </c>
      <c r="B863" s="433" t="s">
        <v>341</v>
      </c>
      <c r="C863" s="434" t="s">
        <v>12</v>
      </c>
      <c r="D863" s="434" t="s">
        <v>7</v>
      </c>
      <c r="E863" s="434" t="s">
        <v>13</v>
      </c>
      <c r="F863" s="31">
        <v>227</v>
      </c>
      <c r="G863" s="31">
        <f t="shared" si="19"/>
        <v>227</v>
      </c>
      <c r="H863" s="434"/>
      <c r="J863" s="521"/>
      <c r="K863" s="489"/>
      <c r="L863" s="228"/>
      <c r="M863" s="228"/>
      <c r="N863" s="228"/>
      <c r="O863" s="228"/>
      <c r="P863" s="228"/>
      <c r="Q863" s="228"/>
      <c r="R863" s="228"/>
      <c r="S863" s="228"/>
    </row>
    <row r="864" spans="1:19" s="8" customFormat="1">
      <c r="A864" s="429">
        <v>844</v>
      </c>
      <c r="B864" s="433" t="s">
        <v>417</v>
      </c>
      <c r="C864" s="434" t="s">
        <v>6</v>
      </c>
      <c r="D864" s="434" t="s">
        <v>7</v>
      </c>
      <c r="E864" s="434" t="s">
        <v>13</v>
      </c>
      <c r="F864" s="31">
        <v>227</v>
      </c>
      <c r="G864" s="31">
        <f t="shared" si="19"/>
        <v>227</v>
      </c>
      <c r="H864" s="434"/>
      <c r="J864" s="521"/>
      <c r="K864" s="489"/>
      <c r="L864" s="228"/>
      <c r="M864" s="228"/>
      <c r="N864" s="228"/>
      <c r="O864" s="228"/>
      <c r="P864" s="228"/>
      <c r="Q864" s="228"/>
      <c r="R864" s="228"/>
      <c r="S864" s="228"/>
    </row>
    <row r="865" spans="1:43" s="523" customFormat="1" ht="16.5" customHeight="1">
      <c r="A865" s="429">
        <v>845</v>
      </c>
      <c r="B865" s="433" t="s">
        <v>434</v>
      </c>
      <c r="C865" s="434" t="s">
        <v>18</v>
      </c>
      <c r="D865" s="434" t="s">
        <v>7</v>
      </c>
      <c r="E865" s="434" t="s">
        <v>13</v>
      </c>
      <c r="F865" s="31">
        <v>227</v>
      </c>
      <c r="G865" s="31">
        <f t="shared" si="19"/>
        <v>227</v>
      </c>
      <c r="H865" s="434"/>
      <c r="I865" s="8"/>
      <c r="J865" s="521"/>
      <c r="K865" s="489"/>
      <c r="L865" s="228"/>
      <c r="M865" s="228"/>
      <c r="N865" s="228"/>
      <c r="O865" s="228"/>
      <c r="P865" s="228"/>
      <c r="Q865" s="228"/>
      <c r="R865" s="228"/>
      <c r="S865" s="22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</row>
    <row r="866" spans="1:43" s="523" customFormat="1" ht="33" customHeight="1">
      <c r="A866" s="429">
        <v>846</v>
      </c>
      <c r="B866" s="433" t="s">
        <v>445</v>
      </c>
      <c r="C866" s="434" t="s">
        <v>6</v>
      </c>
      <c r="D866" s="434" t="s">
        <v>7</v>
      </c>
      <c r="E866" s="434" t="s">
        <v>13</v>
      </c>
      <c r="F866" s="31">
        <v>227</v>
      </c>
      <c r="G866" s="31">
        <f t="shared" si="19"/>
        <v>227</v>
      </c>
      <c r="H866" s="434"/>
      <c r="I866" s="8"/>
      <c r="J866" s="521"/>
      <c r="K866" s="489"/>
      <c r="L866" s="228"/>
      <c r="M866" s="228"/>
      <c r="N866" s="228"/>
      <c r="O866" s="228"/>
      <c r="P866" s="228"/>
      <c r="Q866" s="228"/>
      <c r="R866" s="228"/>
      <c r="S866" s="22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</row>
    <row r="867" spans="1:43" s="523" customFormat="1" ht="16.5" customHeight="1">
      <c r="A867" s="429">
        <v>847</v>
      </c>
      <c r="B867" s="433" t="s">
        <v>447</v>
      </c>
      <c r="C867" s="434" t="s">
        <v>6</v>
      </c>
      <c r="D867" s="434" t="s">
        <v>10</v>
      </c>
      <c r="E867" s="434" t="s">
        <v>13</v>
      </c>
      <c r="F867" s="31">
        <v>227</v>
      </c>
      <c r="G867" s="31">
        <f t="shared" si="19"/>
        <v>227</v>
      </c>
      <c r="H867" s="434"/>
      <c r="I867" s="8"/>
      <c r="J867" s="521"/>
      <c r="K867" s="489"/>
      <c r="L867" s="228"/>
      <c r="M867" s="228"/>
      <c r="N867" s="228"/>
      <c r="O867" s="228"/>
      <c r="P867" s="228"/>
      <c r="Q867" s="228"/>
      <c r="R867" s="228"/>
      <c r="S867" s="22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</row>
    <row r="868" spans="1:43" s="523" customFormat="1" ht="16.5" customHeight="1">
      <c r="A868" s="429">
        <v>848</v>
      </c>
      <c r="B868" s="433" t="s">
        <v>472</v>
      </c>
      <c r="C868" s="602" t="s">
        <v>14</v>
      </c>
      <c r="D868" s="602" t="s">
        <v>7</v>
      </c>
      <c r="E868" s="602" t="s">
        <v>13</v>
      </c>
      <c r="F868" s="603">
        <v>227</v>
      </c>
      <c r="G868" s="31">
        <f t="shared" si="19"/>
        <v>227</v>
      </c>
      <c r="H868" s="434"/>
      <c r="I868" s="8"/>
      <c r="J868" s="521"/>
      <c r="K868" s="489"/>
      <c r="L868" s="228"/>
      <c r="M868" s="228"/>
      <c r="N868" s="228"/>
      <c r="O868" s="228"/>
      <c r="P868" s="228"/>
      <c r="Q868" s="228"/>
      <c r="R868" s="228"/>
      <c r="S868" s="22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</row>
    <row r="869" spans="1:43" s="523" customFormat="1" ht="33" customHeight="1">
      <c r="A869" s="429">
        <v>849</v>
      </c>
      <c r="B869" s="433" t="s">
        <v>298</v>
      </c>
      <c r="C869" s="434" t="s">
        <v>15</v>
      </c>
      <c r="D869" s="434" t="s">
        <v>7</v>
      </c>
      <c r="E869" s="434" t="s">
        <v>24</v>
      </c>
      <c r="F869" s="31">
        <v>227</v>
      </c>
      <c r="G869" s="31">
        <f t="shared" si="19"/>
        <v>227</v>
      </c>
      <c r="H869" s="434"/>
      <c r="I869" s="8"/>
      <c r="J869" s="521"/>
      <c r="K869" s="489"/>
      <c r="L869" s="228"/>
      <c r="M869" s="228"/>
      <c r="N869" s="228"/>
      <c r="O869" s="228"/>
      <c r="P869" s="228"/>
      <c r="Q869" s="228"/>
      <c r="R869" s="228"/>
      <c r="S869" s="22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</row>
    <row r="870" spans="1:43" s="523" customFormat="1" ht="16.5" customHeight="1">
      <c r="A870" s="429">
        <v>850</v>
      </c>
      <c r="B870" s="433" t="s">
        <v>289</v>
      </c>
      <c r="C870" s="434" t="s">
        <v>18</v>
      </c>
      <c r="D870" s="434" t="s">
        <v>7</v>
      </c>
      <c r="E870" s="434" t="s">
        <v>8</v>
      </c>
      <c r="F870" s="31">
        <v>227</v>
      </c>
      <c r="G870" s="31">
        <f t="shared" si="19"/>
        <v>227</v>
      </c>
      <c r="H870" s="434"/>
      <c r="I870" s="8"/>
      <c r="J870" s="521"/>
      <c r="K870" s="489"/>
      <c r="L870" s="228"/>
      <c r="M870" s="228"/>
      <c r="N870" s="228"/>
      <c r="O870" s="228"/>
      <c r="P870" s="228"/>
      <c r="Q870" s="228"/>
      <c r="R870" s="228"/>
      <c r="S870" s="22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</row>
    <row r="871" spans="1:43" s="523" customFormat="1" ht="33" customHeight="1">
      <c r="A871" s="429">
        <v>851</v>
      </c>
      <c r="B871" s="433" t="s">
        <v>329</v>
      </c>
      <c r="C871" s="602" t="s">
        <v>14</v>
      </c>
      <c r="D871" s="602" t="s">
        <v>7</v>
      </c>
      <c r="E871" s="602" t="s">
        <v>8</v>
      </c>
      <c r="F871" s="603">
        <v>227</v>
      </c>
      <c r="G871" s="31">
        <f t="shared" si="19"/>
        <v>227</v>
      </c>
      <c r="H871" s="434"/>
      <c r="I871" s="8"/>
      <c r="J871" s="521"/>
      <c r="K871" s="489"/>
      <c r="L871" s="228"/>
      <c r="M871" s="228"/>
      <c r="N871" s="228"/>
      <c r="O871" s="228"/>
      <c r="P871" s="228"/>
      <c r="Q871" s="228"/>
      <c r="R871" s="228"/>
      <c r="S871" s="22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</row>
    <row r="872" spans="1:43" s="523" customFormat="1" ht="16.5" customHeight="1">
      <c r="A872" s="429">
        <v>852</v>
      </c>
      <c r="B872" s="433" t="s">
        <v>392</v>
      </c>
      <c r="C872" s="602" t="s">
        <v>14</v>
      </c>
      <c r="D872" s="602" t="s">
        <v>7</v>
      </c>
      <c r="E872" s="602" t="s">
        <v>8</v>
      </c>
      <c r="F872" s="603">
        <v>227</v>
      </c>
      <c r="G872" s="31">
        <f t="shared" si="19"/>
        <v>227</v>
      </c>
      <c r="H872" s="434"/>
      <c r="I872" s="8"/>
      <c r="J872" s="521"/>
      <c r="K872" s="489"/>
      <c r="L872" s="228"/>
      <c r="M872" s="228"/>
      <c r="N872" s="228"/>
      <c r="O872" s="228"/>
      <c r="P872" s="228"/>
      <c r="Q872" s="228"/>
      <c r="R872" s="228"/>
      <c r="S872" s="22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</row>
    <row r="873" spans="1:43" s="523" customFormat="1" ht="16.5" customHeight="1">
      <c r="A873" s="429">
        <v>853</v>
      </c>
      <c r="B873" s="433" t="s">
        <v>406</v>
      </c>
      <c r="C873" s="434" t="s">
        <v>14</v>
      </c>
      <c r="D873" s="434" t="s">
        <v>7</v>
      </c>
      <c r="E873" s="434" t="s">
        <v>8</v>
      </c>
      <c r="F873" s="31">
        <v>227</v>
      </c>
      <c r="G873" s="31">
        <f t="shared" si="19"/>
        <v>227</v>
      </c>
      <c r="H873" s="434"/>
      <c r="I873" s="8"/>
      <c r="J873" s="521"/>
      <c r="K873" s="489"/>
      <c r="L873" s="228"/>
      <c r="M873" s="228"/>
      <c r="N873" s="228"/>
      <c r="O873" s="228"/>
      <c r="P873" s="228"/>
      <c r="Q873" s="228"/>
      <c r="R873" s="228"/>
      <c r="S873" s="22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</row>
    <row r="874" spans="1:43" s="523" customFormat="1">
      <c r="A874" s="429">
        <v>854</v>
      </c>
      <c r="B874" s="433" t="s">
        <v>586</v>
      </c>
      <c r="C874" s="434" t="s">
        <v>6</v>
      </c>
      <c r="D874" s="434" t="s">
        <v>7</v>
      </c>
      <c r="E874" s="434" t="s">
        <v>8</v>
      </c>
      <c r="F874" s="31">
        <v>227</v>
      </c>
      <c r="G874" s="31">
        <f t="shared" si="19"/>
        <v>227</v>
      </c>
      <c r="H874" s="604"/>
      <c r="I874" s="8"/>
      <c r="J874" s="521"/>
      <c r="K874" s="489"/>
      <c r="L874" s="228"/>
      <c r="M874" s="228"/>
      <c r="N874" s="228"/>
      <c r="O874" s="228"/>
      <c r="P874" s="228"/>
      <c r="Q874" s="228"/>
      <c r="R874" s="228"/>
      <c r="S874" s="22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</row>
    <row r="875" spans="1:43" s="523" customFormat="1" ht="16.5" customHeight="1">
      <c r="A875" s="429">
        <v>855</v>
      </c>
      <c r="B875" s="433" t="s">
        <v>593</v>
      </c>
      <c r="C875" s="602" t="s">
        <v>18</v>
      </c>
      <c r="D875" s="602" t="s">
        <v>7</v>
      </c>
      <c r="E875" s="602" t="s">
        <v>8</v>
      </c>
      <c r="F875" s="603">
        <v>227</v>
      </c>
      <c r="G875" s="31">
        <f t="shared" si="19"/>
        <v>227</v>
      </c>
      <c r="H875" s="434"/>
      <c r="I875" s="8"/>
      <c r="J875" s="521"/>
      <c r="K875" s="489"/>
      <c r="L875" s="228"/>
      <c r="M875" s="228"/>
      <c r="N875" s="228"/>
      <c r="O875" s="228"/>
      <c r="P875" s="228"/>
      <c r="Q875" s="228"/>
      <c r="R875" s="228"/>
      <c r="S875" s="22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</row>
    <row r="876" spans="1:43" s="523" customFormat="1" ht="19.5" customHeight="1">
      <c r="A876" s="429">
        <v>856</v>
      </c>
      <c r="B876" s="433" t="s">
        <v>665</v>
      </c>
      <c r="C876" s="602" t="s">
        <v>14</v>
      </c>
      <c r="D876" s="602" t="s">
        <v>7</v>
      </c>
      <c r="E876" s="602" t="s">
        <v>8</v>
      </c>
      <c r="F876" s="603">
        <v>227</v>
      </c>
      <c r="G876" s="31">
        <f t="shared" si="19"/>
        <v>227</v>
      </c>
      <c r="H876" s="434"/>
      <c r="I876" s="8"/>
      <c r="J876" s="521"/>
      <c r="K876" s="489"/>
      <c r="L876" s="228"/>
      <c r="M876" s="228"/>
      <c r="N876" s="228"/>
      <c r="O876" s="228"/>
      <c r="P876" s="228"/>
      <c r="Q876" s="228"/>
      <c r="R876" s="228"/>
      <c r="S876" s="22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</row>
    <row r="877" spans="1:43" s="523" customFormat="1" ht="33" customHeight="1">
      <c r="A877" s="429">
        <v>857</v>
      </c>
      <c r="B877" s="433" t="s">
        <v>734</v>
      </c>
      <c r="C877" s="602" t="s">
        <v>14</v>
      </c>
      <c r="D877" s="602" t="s">
        <v>7</v>
      </c>
      <c r="E877" s="602" t="s">
        <v>8</v>
      </c>
      <c r="F877" s="603">
        <v>227</v>
      </c>
      <c r="G877" s="31">
        <f t="shared" si="19"/>
        <v>227</v>
      </c>
      <c r="H877" s="434"/>
      <c r="I877" s="282"/>
      <c r="J877" s="521"/>
      <c r="K877" s="489"/>
      <c r="L877" s="228"/>
      <c r="M877" s="228"/>
      <c r="N877" s="228"/>
      <c r="O877" s="228"/>
      <c r="P877" s="228"/>
      <c r="Q877" s="228"/>
      <c r="R877" s="228"/>
      <c r="S877" s="22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</row>
    <row r="878" spans="1:43" s="292" customFormat="1" ht="16.5" customHeight="1">
      <c r="A878" s="429">
        <v>858</v>
      </c>
      <c r="B878" s="433" t="s">
        <v>749</v>
      </c>
      <c r="C878" s="434" t="s">
        <v>9</v>
      </c>
      <c r="D878" s="434" t="s">
        <v>7</v>
      </c>
      <c r="E878" s="434" t="s">
        <v>8</v>
      </c>
      <c r="F878" s="31">
        <v>227</v>
      </c>
      <c r="G878" s="31">
        <f t="shared" si="19"/>
        <v>227</v>
      </c>
      <c r="H878" s="434"/>
      <c r="I878" s="8"/>
      <c r="J878" s="521"/>
      <c r="K878" s="489"/>
      <c r="L878" s="228"/>
      <c r="M878" s="228"/>
      <c r="N878" s="228"/>
      <c r="O878" s="228"/>
      <c r="P878" s="228"/>
      <c r="Q878" s="228"/>
      <c r="R878" s="228"/>
      <c r="S878" s="22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</row>
    <row r="879" spans="1:43" s="292" customFormat="1" ht="16.5" customHeight="1">
      <c r="A879" s="429">
        <v>859</v>
      </c>
      <c r="B879" s="433" t="s">
        <v>778</v>
      </c>
      <c r="C879" s="434" t="s">
        <v>6</v>
      </c>
      <c r="D879" s="434" t="s">
        <v>7</v>
      </c>
      <c r="E879" s="434" t="s">
        <v>8</v>
      </c>
      <c r="F879" s="31">
        <v>227</v>
      </c>
      <c r="G879" s="31">
        <f t="shared" si="19"/>
        <v>227</v>
      </c>
      <c r="H879" s="434"/>
      <c r="I879" s="8"/>
      <c r="J879" s="521"/>
      <c r="K879" s="489"/>
      <c r="L879" s="228"/>
      <c r="M879" s="228"/>
      <c r="N879" s="228"/>
      <c r="O879" s="228"/>
      <c r="P879" s="228"/>
      <c r="Q879" s="228"/>
      <c r="R879" s="228"/>
      <c r="S879" s="22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</row>
    <row r="880" spans="1:43" s="292" customFormat="1" ht="33" customHeight="1">
      <c r="A880" s="429">
        <v>860</v>
      </c>
      <c r="B880" s="433" t="s">
        <v>850</v>
      </c>
      <c r="C880" s="434" t="s">
        <v>14</v>
      </c>
      <c r="D880" s="434" t="s">
        <v>7</v>
      </c>
      <c r="E880" s="434" t="s">
        <v>8</v>
      </c>
      <c r="F880" s="31">
        <v>227</v>
      </c>
      <c r="G880" s="31">
        <f t="shared" si="19"/>
        <v>227</v>
      </c>
      <c r="H880" s="434"/>
      <c r="I880" s="8"/>
      <c r="J880" s="521"/>
      <c r="K880" s="489"/>
      <c r="L880" s="228"/>
      <c r="M880" s="228"/>
      <c r="N880" s="228"/>
      <c r="O880" s="228"/>
      <c r="P880" s="228"/>
      <c r="Q880" s="228"/>
      <c r="R880" s="228"/>
      <c r="S880" s="22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</row>
    <row r="881" spans="1:43" s="292" customFormat="1" ht="33" customHeight="1">
      <c r="A881" s="429">
        <v>861</v>
      </c>
      <c r="B881" s="433" t="s">
        <v>860</v>
      </c>
      <c r="C881" s="602" t="s">
        <v>12</v>
      </c>
      <c r="D881" s="602" t="s">
        <v>7</v>
      </c>
      <c r="E881" s="602" t="s">
        <v>8</v>
      </c>
      <c r="F881" s="603">
        <v>227</v>
      </c>
      <c r="G881" s="31">
        <f t="shared" si="19"/>
        <v>227</v>
      </c>
      <c r="H881" s="434"/>
      <c r="I881" s="8"/>
      <c r="J881" s="521"/>
      <c r="K881" s="489"/>
      <c r="L881" s="228"/>
      <c r="M881" s="228"/>
      <c r="N881" s="228"/>
      <c r="O881" s="228"/>
      <c r="P881" s="228"/>
      <c r="Q881" s="228"/>
      <c r="R881" s="228"/>
      <c r="S881" s="22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</row>
    <row r="882" spans="1:43" s="292" customFormat="1" ht="16.5" customHeight="1">
      <c r="A882" s="429">
        <v>862</v>
      </c>
      <c r="B882" s="433" t="s">
        <v>942</v>
      </c>
      <c r="C882" s="434" t="s">
        <v>6</v>
      </c>
      <c r="D882" s="434" t="s">
        <v>7</v>
      </c>
      <c r="E882" s="434" t="s">
        <v>8</v>
      </c>
      <c r="F882" s="31">
        <v>227</v>
      </c>
      <c r="G882" s="31">
        <f t="shared" si="19"/>
        <v>227</v>
      </c>
      <c r="H882" s="434"/>
      <c r="I882" s="8"/>
      <c r="J882" s="521"/>
      <c r="K882" s="489"/>
      <c r="L882" s="228"/>
      <c r="M882" s="228"/>
      <c r="N882" s="228"/>
      <c r="O882" s="228"/>
      <c r="P882" s="228"/>
      <c r="Q882" s="228"/>
      <c r="R882" s="228"/>
      <c r="S882" s="22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</row>
    <row r="883" spans="1:43" s="292" customFormat="1" ht="16.5" customHeight="1">
      <c r="A883" s="429">
        <v>863</v>
      </c>
      <c r="B883" s="433" t="s">
        <v>951</v>
      </c>
      <c r="C883" s="602" t="s">
        <v>14</v>
      </c>
      <c r="D883" s="602" t="s">
        <v>7</v>
      </c>
      <c r="E883" s="602" t="s">
        <v>8</v>
      </c>
      <c r="F883" s="603">
        <v>227</v>
      </c>
      <c r="G883" s="31">
        <f t="shared" si="19"/>
        <v>227</v>
      </c>
      <c r="H883" s="434"/>
      <c r="I883" s="8"/>
      <c r="J883" s="521"/>
      <c r="K883" s="489"/>
      <c r="L883" s="228"/>
      <c r="M883" s="228"/>
      <c r="N883" s="228"/>
      <c r="O883" s="228"/>
      <c r="P883" s="228"/>
      <c r="Q883" s="228"/>
      <c r="R883" s="228"/>
      <c r="S883" s="22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</row>
    <row r="884" spans="1:43" s="292" customFormat="1" ht="33" customHeight="1">
      <c r="A884" s="429">
        <v>864</v>
      </c>
      <c r="B884" s="433" t="s">
        <v>974</v>
      </c>
      <c r="C884" s="434" t="s">
        <v>18</v>
      </c>
      <c r="D884" s="434" t="s">
        <v>7</v>
      </c>
      <c r="E884" s="434" t="s">
        <v>8</v>
      </c>
      <c r="F884" s="31">
        <v>227</v>
      </c>
      <c r="G884" s="31">
        <f t="shared" si="19"/>
        <v>227</v>
      </c>
      <c r="H884" s="434"/>
      <c r="I884" s="8"/>
      <c r="J884" s="521"/>
      <c r="K884" s="489"/>
      <c r="L884" s="228"/>
      <c r="M884" s="228"/>
      <c r="N884" s="228"/>
      <c r="O884" s="228"/>
      <c r="P884" s="228"/>
      <c r="Q884" s="228"/>
      <c r="R884" s="228"/>
      <c r="S884" s="22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</row>
    <row r="885" spans="1:43" s="292" customFormat="1" ht="16.5" customHeight="1">
      <c r="A885" s="429">
        <v>865</v>
      </c>
      <c r="B885" s="433" t="s">
        <v>645</v>
      </c>
      <c r="C885" s="434" t="s">
        <v>6</v>
      </c>
      <c r="D885" s="434" t="s">
        <v>7</v>
      </c>
      <c r="E885" s="438" t="s">
        <v>8</v>
      </c>
      <c r="F885" s="31">
        <v>260</v>
      </c>
      <c r="G885" s="31">
        <f t="shared" si="19"/>
        <v>260</v>
      </c>
      <c r="H885" s="434"/>
      <c r="I885" s="8"/>
      <c r="J885" s="520"/>
      <c r="K885" s="489"/>
      <c r="L885" s="228"/>
      <c r="M885" s="228"/>
      <c r="N885" s="228"/>
      <c r="O885" s="228"/>
      <c r="P885" s="228"/>
      <c r="Q885" s="228"/>
      <c r="R885" s="228"/>
      <c r="S885" s="22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</row>
    <row r="886" spans="1:43" s="292" customFormat="1" ht="16.5" customHeight="1">
      <c r="A886" s="429">
        <v>866</v>
      </c>
      <c r="B886" s="433" t="s">
        <v>801</v>
      </c>
      <c r="C886" s="434" t="s">
        <v>14</v>
      </c>
      <c r="D886" s="434" t="s">
        <v>7</v>
      </c>
      <c r="E886" s="438" t="s">
        <v>8</v>
      </c>
      <c r="F886" s="31">
        <v>260</v>
      </c>
      <c r="G886" s="31">
        <f t="shared" si="19"/>
        <v>260</v>
      </c>
      <c r="H886" s="434"/>
      <c r="I886" s="8"/>
      <c r="J886" s="520"/>
      <c r="K886" s="489"/>
      <c r="L886" s="228"/>
      <c r="M886" s="228"/>
      <c r="N886" s="228"/>
      <c r="O886" s="228"/>
      <c r="P886" s="228"/>
      <c r="Q886" s="228"/>
      <c r="R886" s="228"/>
      <c r="S886" s="22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</row>
    <row r="887" spans="1:43" s="8" customFormat="1" ht="16.5" customHeight="1">
      <c r="A887" s="429">
        <v>867</v>
      </c>
      <c r="B887" s="433" t="s">
        <v>888</v>
      </c>
      <c r="C887" s="434"/>
      <c r="D887" s="434" t="s">
        <v>7</v>
      </c>
      <c r="E887" s="434" t="s">
        <v>8</v>
      </c>
      <c r="F887" s="31">
        <v>260</v>
      </c>
      <c r="G887" s="31">
        <f t="shared" si="19"/>
        <v>260</v>
      </c>
      <c r="H887" s="434"/>
      <c r="J887" s="520"/>
      <c r="K887" s="489"/>
      <c r="L887" s="228"/>
      <c r="M887" s="228"/>
      <c r="N887" s="228"/>
      <c r="O887" s="228"/>
      <c r="P887" s="228"/>
      <c r="Q887" s="228"/>
      <c r="R887" s="228"/>
      <c r="S887" s="228"/>
    </row>
    <row r="888" spans="1:43" s="8" customFormat="1" ht="16.5" customHeight="1">
      <c r="A888" s="429">
        <v>868</v>
      </c>
      <c r="B888" s="433" t="s">
        <v>89</v>
      </c>
      <c r="C888" s="602" t="s">
        <v>14</v>
      </c>
      <c r="D888" s="602" t="s">
        <v>10</v>
      </c>
      <c r="E888" s="602" t="s">
        <v>8</v>
      </c>
      <c r="F888" s="603">
        <v>274</v>
      </c>
      <c r="G888" s="31">
        <f t="shared" si="19"/>
        <v>274</v>
      </c>
      <c r="H888" s="434"/>
      <c r="J888" s="520"/>
      <c r="K888" s="489"/>
      <c r="L888" s="228"/>
      <c r="M888" s="228"/>
      <c r="N888" s="228"/>
      <c r="O888" s="228"/>
      <c r="P888" s="228"/>
      <c r="Q888" s="228"/>
      <c r="R888" s="228"/>
      <c r="S888" s="228"/>
    </row>
    <row r="889" spans="1:43" s="8" customFormat="1" ht="16.5" customHeight="1">
      <c r="A889" s="429">
        <v>869</v>
      </c>
      <c r="B889" s="433" t="s">
        <v>263</v>
      </c>
      <c r="C889" s="434" t="s">
        <v>6</v>
      </c>
      <c r="D889" s="434" t="s">
        <v>10</v>
      </c>
      <c r="E889" s="434" t="s">
        <v>8</v>
      </c>
      <c r="F889" s="31">
        <v>274</v>
      </c>
      <c r="G889" s="31">
        <f t="shared" si="19"/>
        <v>274</v>
      </c>
      <c r="H889" s="434"/>
      <c r="J889" s="521"/>
      <c r="K889" s="489"/>
      <c r="L889" s="228"/>
      <c r="M889" s="228"/>
      <c r="N889" s="228"/>
      <c r="O889" s="228"/>
      <c r="P889" s="228"/>
      <c r="Q889" s="228"/>
      <c r="R889" s="228"/>
      <c r="S889" s="228"/>
    </row>
    <row r="890" spans="1:43" s="8" customFormat="1" ht="16.5" customHeight="1">
      <c r="A890" s="429">
        <v>870</v>
      </c>
      <c r="B890" s="433" t="s">
        <v>405</v>
      </c>
      <c r="C890" s="602" t="s">
        <v>14</v>
      </c>
      <c r="D890" s="602" t="s">
        <v>7</v>
      </c>
      <c r="E890" s="602" t="s">
        <v>8</v>
      </c>
      <c r="F890" s="603">
        <v>274</v>
      </c>
      <c r="G890" s="31">
        <f t="shared" si="19"/>
        <v>274</v>
      </c>
      <c r="H890" s="434"/>
      <c r="J890" s="521"/>
      <c r="K890" s="489"/>
      <c r="L890" s="228"/>
      <c r="M890" s="228"/>
      <c r="N890" s="228"/>
      <c r="O890" s="228"/>
      <c r="P890" s="228"/>
      <c r="Q890" s="228"/>
      <c r="R890" s="228"/>
      <c r="S890" s="228"/>
    </row>
    <row r="891" spans="1:43" s="8" customFormat="1" ht="16.5" customHeight="1">
      <c r="A891" s="429">
        <v>871</v>
      </c>
      <c r="B891" s="433" t="s">
        <v>537</v>
      </c>
      <c r="C891" s="602" t="s">
        <v>14</v>
      </c>
      <c r="D891" s="602" t="s">
        <v>7</v>
      </c>
      <c r="E891" s="602" t="s">
        <v>8</v>
      </c>
      <c r="F891" s="603">
        <v>274</v>
      </c>
      <c r="G891" s="31">
        <f t="shared" si="19"/>
        <v>274</v>
      </c>
      <c r="H891" s="434"/>
      <c r="J891" s="521"/>
      <c r="K891" s="489"/>
      <c r="L891" s="228"/>
      <c r="M891" s="228"/>
      <c r="N891" s="228"/>
      <c r="O891" s="228"/>
      <c r="P891" s="228"/>
      <c r="Q891" s="228"/>
      <c r="R891" s="228"/>
      <c r="S891" s="228"/>
    </row>
    <row r="892" spans="1:43" s="523" customFormat="1" ht="16.5" customHeight="1">
      <c r="A892" s="429">
        <v>872</v>
      </c>
      <c r="B892" s="433" t="s">
        <v>607</v>
      </c>
      <c r="C892" s="434" t="s">
        <v>14</v>
      </c>
      <c r="D892" s="434" t="s">
        <v>10</v>
      </c>
      <c r="E892" s="434" t="s">
        <v>8</v>
      </c>
      <c r="F892" s="31">
        <v>274</v>
      </c>
      <c r="G892" s="31">
        <f t="shared" si="19"/>
        <v>274</v>
      </c>
      <c r="H892" s="434"/>
      <c r="I892" s="8"/>
      <c r="J892" s="521"/>
      <c r="K892" s="489"/>
      <c r="L892" s="228"/>
      <c r="M892" s="228"/>
      <c r="N892" s="228"/>
      <c r="O892" s="228"/>
      <c r="P892" s="228"/>
      <c r="Q892" s="228"/>
      <c r="R892" s="228"/>
      <c r="S892" s="22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</row>
    <row r="893" spans="1:43" s="523" customFormat="1" ht="16.5" customHeight="1">
      <c r="A893" s="429">
        <v>873</v>
      </c>
      <c r="B893" s="433" t="s">
        <v>771</v>
      </c>
      <c r="C893" s="434"/>
      <c r="D893" s="434" t="s">
        <v>10</v>
      </c>
      <c r="E893" s="434" t="s">
        <v>8</v>
      </c>
      <c r="F893" s="31">
        <v>315</v>
      </c>
      <c r="G893" s="31">
        <f t="shared" si="19"/>
        <v>315</v>
      </c>
      <c r="H893" s="434"/>
      <c r="I893" s="8"/>
      <c r="J893" s="520"/>
      <c r="K893" s="489"/>
      <c r="L893" s="228"/>
      <c r="M893" s="228"/>
      <c r="N893" s="228"/>
      <c r="O893" s="228"/>
      <c r="P893" s="228"/>
      <c r="Q893" s="228"/>
      <c r="R893" s="228"/>
      <c r="S893" s="22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</row>
    <row r="894" spans="1:43" s="523" customFormat="1" ht="26.25" customHeight="1">
      <c r="A894" s="429">
        <v>874</v>
      </c>
      <c r="B894" s="433" t="s">
        <v>556</v>
      </c>
      <c r="C894" s="434" t="s">
        <v>18</v>
      </c>
      <c r="D894" s="434" t="s">
        <v>7</v>
      </c>
      <c r="E894" s="434" t="s">
        <v>8</v>
      </c>
      <c r="F894" s="31">
        <v>232</v>
      </c>
      <c r="G894" s="605">
        <v>328</v>
      </c>
      <c r="H894" s="434"/>
      <c r="I894" s="8"/>
      <c r="J894" s="522"/>
      <c r="K894" s="489"/>
      <c r="L894" s="228"/>
      <c r="M894" s="228"/>
      <c r="N894" s="228"/>
      <c r="O894" s="228"/>
      <c r="P894" s="228"/>
      <c r="Q894" s="228"/>
      <c r="R894" s="228"/>
      <c r="S894" s="22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</row>
    <row r="895" spans="1:43" s="2" customFormat="1" ht="30.75" customHeight="1">
      <c r="A895" s="33"/>
      <c r="B895" s="21"/>
      <c r="C895" s="34"/>
      <c r="D895" s="34"/>
      <c r="E895" s="35" t="s">
        <v>1045</v>
      </c>
      <c r="F895" s="267"/>
      <c r="G895" s="267">
        <f>SUM(G21:G894)</f>
        <v>179916</v>
      </c>
      <c r="H895" s="36"/>
      <c r="I895" s="313"/>
      <c r="J895" s="277"/>
      <c r="K895" s="277"/>
      <c r="L895" s="277"/>
      <c r="M895" s="277"/>
      <c r="N895" s="277"/>
      <c r="O895" s="277"/>
      <c r="P895" s="277"/>
      <c r="Q895" s="277"/>
      <c r="R895" s="277"/>
      <c r="S895" s="277"/>
    </row>
    <row r="896" spans="1:43" s="8" customFormat="1" ht="19.5">
      <c r="A896" s="382"/>
      <c r="B896" s="383"/>
      <c r="C896" s="37"/>
      <c r="D896" s="129"/>
      <c r="E896" s="129"/>
      <c r="F896" s="130"/>
      <c r="G896" s="344"/>
      <c r="H896" s="384"/>
      <c r="J896" s="521"/>
      <c r="K896" s="489"/>
      <c r="L896" s="228"/>
      <c r="M896" s="228"/>
      <c r="N896" s="228"/>
      <c r="O896" s="228"/>
      <c r="P896" s="228"/>
      <c r="Q896" s="228"/>
      <c r="R896" s="228"/>
      <c r="S896" s="228"/>
    </row>
    <row r="897" spans="1:43" s="8" customFormat="1" ht="25.5" customHeight="1">
      <c r="A897" s="686" t="s">
        <v>3717</v>
      </c>
      <c r="B897" s="687"/>
      <c r="C897" s="687"/>
      <c r="D897" s="687"/>
      <c r="E897" s="687"/>
      <c r="F897" s="687"/>
      <c r="G897" s="687"/>
      <c r="H897" s="688"/>
      <c r="J897" s="521"/>
      <c r="K897" s="489"/>
      <c r="L897" s="10"/>
      <c r="M897" s="10"/>
      <c r="N897" s="10"/>
      <c r="O897" s="10"/>
      <c r="P897" s="10"/>
      <c r="Q897" s="10"/>
      <c r="R897" s="10"/>
      <c r="S897" s="10"/>
    </row>
    <row r="898" spans="1:43" s="8" customFormat="1" ht="24" customHeight="1">
      <c r="A898" s="450">
        <v>1</v>
      </c>
      <c r="B898" s="451" t="s">
        <v>753</v>
      </c>
      <c r="C898" s="450" t="s">
        <v>26</v>
      </c>
      <c r="D898" s="450" t="s">
        <v>10</v>
      </c>
      <c r="E898" s="450" t="s">
        <v>11</v>
      </c>
      <c r="F898" s="452">
        <v>160</v>
      </c>
      <c r="G898" s="452">
        <f t="shared" ref="G898:G920" si="20">F898</f>
        <v>160</v>
      </c>
      <c r="H898" s="450"/>
      <c r="J898" s="521"/>
      <c r="K898" s="489"/>
      <c r="L898" s="228"/>
      <c r="M898" s="228"/>
      <c r="N898" s="228"/>
      <c r="O898" s="228"/>
      <c r="P898" s="228"/>
      <c r="Q898" s="228"/>
      <c r="R898" s="228"/>
      <c r="S898" s="228"/>
    </row>
    <row r="899" spans="1:43" s="8" customFormat="1">
      <c r="A899" s="450">
        <v>2</v>
      </c>
      <c r="B899" s="453" t="s">
        <v>614</v>
      </c>
      <c r="C899" s="450" t="s">
        <v>14</v>
      </c>
      <c r="D899" s="450" t="s">
        <v>10</v>
      </c>
      <c r="E899" s="450" t="s">
        <v>11</v>
      </c>
      <c r="F899" s="452">
        <v>169</v>
      </c>
      <c r="G899" s="452">
        <f t="shared" si="20"/>
        <v>169</v>
      </c>
      <c r="H899" s="450"/>
      <c r="J899" s="521"/>
      <c r="K899" s="489"/>
      <c r="L899" s="228"/>
      <c r="M899" s="228"/>
      <c r="N899" s="228"/>
      <c r="O899" s="228"/>
      <c r="P899" s="228"/>
      <c r="Q899" s="228"/>
      <c r="R899" s="228"/>
      <c r="S899" s="228"/>
    </row>
    <row r="900" spans="1:43" s="8" customFormat="1">
      <c r="A900" s="450">
        <v>3</v>
      </c>
      <c r="B900" s="453" t="s">
        <v>56</v>
      </c>
      <c r="C900" s="454" t="s">
        <v>9</v>
      </c>
      <c r="D900" s="450" t="s">
        <v>10</v>
      </c>
      <c r="E900" s="450" t="s">
        <v>11</v>
      </c>
      <c r="F900" s="452">
        <v>180</v>
      </c>
      <c r="G900" s="452">
        <f t="shared" si="20"/>
        <v>180</v>
      </c>
      <c r="H900" s="450"/>
      <c r="J900" s="521"/>
      <c r="K900" s="489"/>
      <c r="L900" s="228"/>
      <c r="M900" s="228"/>
      <c r="N900" s="228"/>
      <c r="O900" s="228"/>
      <c r="P900" s="228"/>
      <c r="Q900" s="228"/>
      <c r="R900" s="228"/>
      <c r="S900" s="228"/>
    </row>
    <row r="901" spans="1:43" s="8" customFormat="1">
      <c r="A901" s="450">
        <v>4</v>
      </c>
      <c r="B901" s="453" t="s">
        <v>161</v>
      </c>
      <c r="C901" s="454" t="s">
        <v>9</v>
      </c>
      <c r="D901" s="450" t="s">
        <v>10</v>
      </c>
      <c r="E901" s="450" t="s">
        <v>11</v>
      </c>
      <c r="F901" s="455">
        <v>180</v>
      </c>
      <c r="G901" s="452">
        <f t="shared" si="20"/>
        <v>180</v>
      </c>
      <c r="H901" s="450"/>
      <c r="J901" s="521"/>
      <c r="K901" s="489"/>
      <c r="L901" s="228"/>
      <c r="M901" s="228"/>
      <c r="N901" s="228"/>
      <c r="O901" s="228"/>
      <c r="P901" s="228"/>
      <c r="Q901" s="228"/>
      <c r="R901" s="228"/>
      <c r="S901" s="228"/>
    </row>
    <row r="902" spans="1:43" s="8" customFormat="1" ht="16.5" customHeight="1">
      <c r="A902" s="450">
        <v>5</v>
      </c>
      <c r="B902" s="453" t="s">
        <v>836</v>
      </c>
      <c r="C902" s="454" t="s">
        <v>9</v>
      </c>
      <c r="D902" s="450" t="s">
        <v>10</v>
      </c>
      <c r="E902" s="450" t="s">
        <v>11</v>
      </c>
      <c r="F902" s="455">
        <v>180</v>
      </c>
      <c r="G902" s="452">
        <f t="shared" si="20"/>
        <v>180</v>
      </c>
      <c r="H902" s="450"/>
      <c r="J902" s="521"/>
      <c r="K902" s="489"/>
      <c r="L902" s="228"/>
      <c r="M902" s="228"/>
      <c r="N902" s="228"/>
      <c r="O902" s="228"/>
      <c r="P902" s="228"/>
      <c r="Q902" s="228"/>
      <c r="R902" s="228"/>
      <c r="S902" s="228"/>
    </row>
    <row r="903" spans="1:43" s="8" customFormat="1">
      <c r="A903" s="450">
        <v>6</v>
      </c>
      <c r="B903" s="453" t="s">
        <v>906</v>
      </c>
      <c r="C903" s="454" t="s">
        <v>9</v>
      </c>
      <c r="D903" s="450" t="s">
        <v>10</v>
      </c>
      <c r="E903" s="450" t="s">
        <v>11</v>
      </c>
      <c r="F903" s="455">
        <v>180</v>
      </c>
      <c r="G903" s="452">
        <f t="shared" si="20"/>
        <v>180</v>
      </c>
      <c r="H903" s="450"/>
      <c r="J903" s="521"/>
      <c r="K903" s="489"/>
      <c r="L903" s="228"/>
      <c r="M903" s="228"/>
      <c r="N903" s="228"/>
      <c r="O903" s="228"/>
      <c r="P903" s="228"/>
      <c r="Q903" s="228"/>
      <c r="R903" s="228"/>
      <c r="S903" s="228"/>
    </row>
    <row r="904" spans="1:43" s="8" customFormat="1">
      <c r="A904" s="450">
        <v>7</v>
      </c>
      <c r="B904" s="453" t="s">
        <v>950</v>
      </c>
      <c r="C904" s="454" t="s">
        <v>9</v>
      </c>
      <c r="D904" s="450" t="s">
        <v>10</v>
      </c>
      <c r="E904" s="450" t="s">
        <v>11</v>
      </c>
      <c r="F904" s="455">
        <v>180</v>
      </c>
      <c r="G904" s="452">
        <f t="shared" si="20"/>
        <v>180</v>
      </c>
      <c r="H904" s="450"/>
      <c r="J904" s="520"/>
      <c r="K904" s="489"/>
      <c r="L904" s="228"/>
      <c r="M904" s="228"/>
      <c r="N904" s="228"/>
      <c r="O904" s="228"/>
      <c r="P904" s="228"/>
      <c r="Q904" s="228"/>
      <c r="R904" s="228"/>
      <c r="S904" s="228"/>
    </row>
    <row r="905" spans="1:43" s="8" customFormat="1" ht="16.5" customHeight="1">
      <c r="A905" s="450">
        <v>8</v>
      </c>
      <c r="B905" s="453" t="s">
        <v>615</v>
      </c>
      <c r="C905" s="454" t="s">
        <v>39</v>
      </c>
      <c r="D905" s="450" t="s">
        <v>10</v>
      </c>
      <c r="E905" s="450" t="s">
        <v>11</v>
      </c>
      <c r="F905" s="455">
        <v>180</v>
      </c>
      <c r="G905" s="452">
        <f t="shared" si="20"/>
        <v>180</v>
      </c>
      <c r="H905" s="450"/>
      <c r="J905" s="521"/>
      <c r="K905" s="489"/>
      <c r="L905" s="228"/>
      <c r="M905" s="228"/>
      <c r="N905" s="228"/>
      <c r="O905" s="228"/>
      <c r="P905" s="228"/>
      <c r="Q905" s="228"/>
      <c r="R905" s="228"/>
      <c r="S905" s="228"/>
    </row>
    <row r="906" spans="1:43" s="8" customFormat="1" ht="16.5" customHeight="1">
      <c r="A906" s="450">
        <v>9</v>
      </c>
      <c r="B906" s="453" t="s">
        <v>651</v>
      </c>
      <c r="C906" s="454" t="s">
        <v>9</v>
      </c>
      <c r="D906" s="450" t="s">
        <v>27</v>
      </c>
      <c r="E906" s="450" t="s">
        <v>11</v>
      </c>
      <c r="F906" s="455">
        <v>180</v>
      </c>
      <c r="G906" s="452">
        <f t="shared" si="20"/>
        <v>180</v>
      </c>
      <c r="H906" s="450"/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</row>
    <row r="907" spans="1:43" s="8" customFormat="1" ht="16.5" customHeight="1">
      <c r="A907" s="450">
        <v>10</v>
      </c>
      <c r="B907" s="453" t="s">
        <v>673</v>
      </c>
      <c r="C907" s="454" t="s">
        <v>9</v>
      </c>
      <c r="D907" s="450" t="s">
        <v>10</v>
      </c>
      <c r="E907" s="450" t="s">
        <v>11</v>
      </c>
      <c r="F907" s="455">
        <v>180</v>
      </c>
      <c r="G907" s="452">
        <f t="shared" si="20"/>
        <v>180</v>
      </c>
      <c r="H907" s="450"/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</row>
    <row r="908" spans="1:43" s="8" customFormat="1">
      <c r="A908" s="450">
        <v>11</v>
      </c>
      <c r="B908" s="453" t="s">
        <v>241</v>
      </c>
      <c r="C908" s="450"/>
      <c r="D908" s="450" t="s">
        <v>10</v>
      </c>
      <c r="E908" s="450" t="s">
        <v>11</v>
      </c>
      <c r="F908" s="452">
        <v>260</v>
      </c>
      <c r="G908" s="452">
        <f t="shared" si="20"/>
        <v>260</v>
      </c>
      <c r="H908" s="450"/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</row>
    <row r="909" spans="1:43" s="8" customFormat="1">
      <c r="A909" s="450">
        <v>12</v>
      </c>
      <c r="B909" s="453" t="s">
        <v>735</v>
      </c>
      <c r="C909" s="450"/>
      <c r="D909" s="450" t="s">
        <v>10</v>
      </c>
      <c r="E909" s="450" t="s">
        <v>11</v>
      </c>
      <c r="F909" s="452">
        <v>260</v>
      </c>
      <c r="G909" s="452">
        <f t="shared" si="20"/>
        <v>260</v>
      </c>
      <c r="H909" s="450"/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</row>
    <row r="910" spans="1:43" s="8" customFormat="1">
      <c r="A910" s="450">
        <v>13</v>
      </c>
      <c r="B910" s="453" t="s">
        <v>757</v>
      </c>
      <c r="C910" s="450"/>
      <c r="D910" s="450" t="s">
        <v>10</v>
      </c>
      <c r="E910" s="450" t="s">
        <v>11</v>
      </c>
      <c r="F910" s="452">
        <v>260</v>
      </c>
      <c r="G910" s="452">
        <f t="shared" si="20"/>
        <v>260</v>
      </c>
      <c r="H910" s="450"/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</row>
    <row r="911" spans="1:43" s="524" customFormat="1" ht="33" customHeight="1">
      <c r="A911" s="450">
        <v>14</v>
      </c>
      <c r="B911" s="453" t="s">
        <v>483</v>
      </c>
      <c r="C911" s="450" t="s">
        <v>12</v>
      </c>
      <c r="D911" s="450" t="s">
        <v>27</v>
      </c>
      <c r="E911" s="456" t="s">
        <v>13</v>
      </c>
      <c r="F911" s="452">
        <v>190</v>
      </c>
      <c r="G911" s="459">
        <f>F911</f>
        <v>190</v>
      </c>
      <c r="H911" s="526"/>
      <c r="I911" s="8"/>
      <c r="J911" s="521"/>
      <c r="K911" s="489"/>
      <c r="L911" s="228"/>
      <c r="M911" s="228"/>
      <c r="N911" s="228"/>
      <c r="O911" s="228"/>
      <c r="P911" s="228"/>
      <c r="Q911" s="228"/>
      <c r="R911" s="228"/>
      <c r="S911" s="22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</row>
    <row r="912" spans="1:43" s="524" customFormat="1" ht="33" customHeight="1">
      <c r="A912" s="450">
        <v>15</v>
      </c>
      <c r="B912" s="453" t="s">
        <v>604</v>
      </c>
      <c r="C912" s="450" t="s">
        <v>15</v>
      </c>
      <c r="D912" s="450" t="s">
        <v>10</v>
      </c>
      <c r="E912" s="456" t="s">
        <v>13</v>
      </c>
      <c r="F912" s="452">
        <v>190</v>
      </c>
      <c r="G912" s="452">
        <f>F912</f>
        <v>190</v>
      </c>
      <c r="H912" s="452"/>
      <c r="I912" s="8"/>
      <c r="J912" s="521"/>
      <c r="K912" s="489"/>
      <c r="L912" s="228"/>
      <c r="M912" s="228"/>
      <c r="N912" s="228"/>
      <c r="O912" s="228"/>
      <c r="P912" s="228"/>
      <c r="Q912" s="228"/>
      <c r="R912" s="228"/>
      <c r="S912" s="22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</row>
    <row r="913" spans="1:43" s="524" customFormat="1" ht="33" customHeight="1">
      <c r="A913" s="450">
        <v>16</v>
      </c>
      <c r="B913" s="453" t="s">
        <v>847</v>
      </c>
      <c r="C913" s="450"/>
      <c r="D913" s="450" t="s">
        <v>7</v>
      </c>
      <c r="E913" s="456" t="s">
        <v>13</v>
      </c>
      <c r="F913" s="452">
        <v>190</v>
      </c>
      <c r="G913" s="459">
        <f>F913</f>
        <v>190</v>
      </c>
      <c r="H913" s="459"/>
      <c r="I913" s="8"/>
      <c r="J913" s="521"/>
      <c r="K913" s="489"/>
      <c r="L913" s="228"/>
      <c r="M913" s="228"/>
      <c r="N913" s="228"/>
      <c r="O913" s="228"/>
      <c r="P913" s="228"/>
      <c r="Q913" s="228"/>
      <c r="R913" s="228"/>
      <c r="S913" s="22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</row>
    <row r="914" spans="1:43" s="8" customFormat="1" ht="33" customHeight="1">
      <c r="A914" s="450">
        <v>17</v>
      </c>
      <c r="B914" s="453" t="s">
        <v>336</v>
      </c>
      <c r="C914" s="450" t="s">
        <v>6</v>
      </c>
      <c r="D914" s="450" t="s">
        <v>10</v>
      </c>
      <c r="E914" s="450" t="s">
        <v>11</v>
      </c>
      <c r="F914" s="452">
        <v>227</v>
      </c>
      <c r="G914" s="452">
        <f t="shared" si="20"/>
        <v>227</v>
      </c>
      <c r="H914" s="450"/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</row>
    <row r="915" spans="1:43" s="8" customFormat="1" ht="33" customHeight="1">
      <c r="A915" s="450">
        <v>18</v>
      </c>
      <c r="B915" s="453" t="s">
        <v>674</v>
      </c>
      <c r="C915" s="450" t="s">
        <v>14</v>
      </c>
      <c r="D915" s="450" t="s">
        <v>10</v>
      </c>
      <c r="E915" s="450" t="s">
        <v>11</v>
      </c>
      <c r="F915" s="452">
        <v>227</v>
      </c>
      <c r="G915" s="452">
        <f t="shared" si="20"/>
        <v>227</v>
      </c>
      <c r="H915" s="450"/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</row>
    <row r="916" spans="1:43" s="8" customFormat="1" ht="33" customHeight="1">
      <c r="A916" s="450">
        <v>19</v>
      </c>
      <c r="B916" s="453" t="s">
        <v>907</v>
      </c>
      <c r="C916" s="450" t="s">
        <v>14</v>
      </c>
      <c r="D916" s="450" t="s">
        <v>10</v>
      </c>
      <c r="E916" s="450" t="s">
        <v>11</v>
      </c>
      <c r="F916" s="452">
        <v>227</v>
      </c>
      <c r="G916" s="452">
        <f t="shared" si="20"/>
        <v>227</v>
      </c>
      <c r="H916" s="450"/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</row>
    <row r="917" spans="1:43" s="8" customFormat="1" ht="33" customHeight="1">
      <c r="A917" s="450">
        <v>20</v>
      </c>
      <c r="B917" s="453" t="s">
        <v>393</v>
      </c>
      <c r="C917" s="450" t="s">
        <v>15</v>
      </c>
      <c r="D917" s="450" t="s">
        <v>10</v>
      </c>
      <c r="E917" s="456" t="s">
        <v>13</v>
      </c>
      <c r="F917" s="452">
        <v>215</v>
      </c>
      <c r="G917" s="452">
        <f t="shared" si="20"/>
        <v>215</v>
      </c>
      <c r="H917" s="450"/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</row>
    <row r="918" spans="1:43" s="8" customFormat="1" ht="31.5" customHeight="1">
      <c r="A918" s="450">
        <v>21</v>
      </c>
      <c r="B918" s="453" t="s">
        <v>323</v>
      </c>
      <c r="C918" s="450" t="s">
        <v>14</v>
      </c>
      <c r="D918" s="450" t="s">
        <v>7</v>
      </c>
      <c r="E918" s="450" t="s">
        <v>13</v>
      </c>
      <c r="F918" s="452">
        <v>274</v>
      </c>
      <c r="G918" s="452">
        <f t="shared" si="20"/>
        <v>274</v>
      </c>
      <c r="H918" s="450"/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</row>
    <row r="919" spans="1:43" s="8" customFormat="1">
      <c r="A919" s="450">
        <v>22</v>
      </c>
      <c r="B919" s="453" t="s">
        <v>570</v>
      </c>
      <c r="C919" s="450" t="s">
        <v>14</v>
      </c>
      <c r="D919" s="450" t="s">
        <v>7</v>
      </c>
      <c r="E919" s="450" t="s">
        <v>13</v>
      </c>
      <c r="F919" s="452">
        <v>274</v>
      </c>
      <c r="G919" s="452">
        <f t="shared" si="20"/>
        <v>274</v>
      </c>
      <c r="H919" s="450"/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</row>
    <row r="920" spans="1:43" s="8" customFormat="1">
      <c r="A920" s="450">
        <v>23</v>
      </c>
      <c r="B920" s="453" t="s">
        <v>559</v>
      </c>
      <c r="C920" s="450" t="s">
        <v>14</v>
      </c>
      <c r="D920" s="450" t="s">
        <v>7</v>
      </c>
      <c r="E920" s="450" t="s">
        <v>13</v>
      </c>
      <c r="F920" s="452">
        <v>227</v>
      </c>
      <c r="G920" s="452">
        <f t="shared" si="20"/>
        <v>227</v>
      </c>
      <c r="H920" s="450"/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</row>
    <row r="921" spans="1:43" s="8" customFormat="1" ht="33">
      <c r="A921" s="450">
        <v>24</v>
      </c>
      <c r="B921" s="453" t="s">
        <v>596</v>
      </c>
      <c r="C921" s="450" t="s">
        <v>6</v>
      </c>
      <c r="D921" s="450" t="s">
        <v>7</v>
      </c>
      <c r="E921" s="450" t="s">
        <v>13</v>
      </c>
      <c r="F921" s="452">
        <v>227</v>
      </c>
      <c r="G921" s="452">
        <v>274</v>
      </c>
      <c r="H921" s="450"/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</row>
    <row r="922" spans="1:43" s="8" customFormat="1" ht="33" customHeight="1">
      <c r="A922" s="450">
        <v>25</v>
      </c>
      <c r="B922" s="453" t="s">
        <v>610</v>
      </c>
      <c r="C922" s="457" t="s">
        <v>14</v>
      </c>
      <c r="D922" s="457" t="s">
        <v>7</v>
      </c>
      <c r="E922" s="457" t="s">
        <v>13</v>
      </c>
      <c r="F922" s="458">
        <v>227</v>
      </c>
      <c r="G922" s="452">
        <f t="shared" ref="G922:G964" si="21">F922</f>
        <v>227</v>
      </c>
      <c r="H922" s="450"/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</row>
    <row r="923" spans="1:43" s="8" customFormat="1" ht="16.5" customHeight="1">
      <c r="A923" s="450">
        <v>26</v>
      </c>
      <c r="B923" s="453" t="s">
        <v>627</v>
      </c>
      <c r="C923" s="457" t="s">
        <v>14</v>
      </c>
      <c r="D923" s="457" t="s">
        <v>7</v>
      </c>
      <c r="E923" s="457" t="s">
        <v>13</v>
      </c>
      <c r="F923" s="458">
        <v>227</v>
      </c>
      <c r="G923" s="452">
        <f t="shared" si="21"/>
        <v>227</v>
      </c>
      <c r="H923" s="450"/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</row>
    <row r="924" spans="1:43" s="8" customFormat="1" ht="16.5" customHeight="1">
      <c r="A924" s="450">
        <v>27</v>
      </c>
      <c r="B924" s="453" t="s">
        <v>653</v>
      </c>
      <c r="C924" s="457" t="s">
        <v>14</v>
      </c>
      <c r="D924" s="457" t="s">
        <v>10</v>
      </c>
      <c r="E924" s="457" t="s">
        <v>13</v>
      </c>
      <c r="F924" s="458">
        <v>227</v>
      </c>
      <c r="G924" s="452">
        <f t="shared" si="21"/>
        <v>227</v>
      </c>
      <c r="H924" s="450"/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</row>
    <row r="925" spans="1:43" s="8" customFormat="1" ht="33">
      <c r="A925" s="450">
        <v>28</v>
      </c>
      <c r="B925" s="453" t="s">
        <v>655</v>
      </c>
      <c r="C925" s="450" t="s">
        <v>6</v>
      </c>
      <c r="D925" s="450" t="s">
        <v>10</v>
      </c>
      <c r="E925" s="450" t="s">
        <v>13</v>
      </c>
      <c r="F925" s="452">
        <v>227</v>
      </c>
      <c r="G925" s="452">
        <f t="shared" si="21"/>
        <v>227</v>
      </c>
      <c r="H925" s="450"/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</row>
    <row r="926" spans="1:43" s="8" customFormat="1">
      <c r="A926" s="450">
        <v>29</v>
      </c>
      <c r="B926" s="453" t="s">
        <v>658</v>
      </c>
      <c r="C926" s="450" t="s">
        <v>6</v>
      </c>
      <c r="D926" s="450" t="s">
        <v>10</v>
      </c>
      <c r="E926" s="450" t="s">
        <v>13</v>
      </c>
      <c r="F926" s="452">
        <v>227</v>
      </c>
      <c r="G926" s="452">
        <f t="shared" si="21"/>
        <v>227</v>
      </c>
      <c r="H926" s="450"/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</row>
    <row r="927" spans="1:43" s="8" customFormat="1" ht="16.5" customHeight="1">
      <c r="A927" s="450">
        <v>30</v>
      </c>
      <c r="B927" s="453" t="s">
        <v>822</v>
      </c>
      <c r="C927" s="457" t="s">
        <v>14</v>
      </c>
      <c r="D927" s="457" t="s">
        <v>7</v>
      </c>
      <c r="E927" s="457" t="s">
        <v>13</v>
      </c>
      <c r="F927" s="458">
        <v>227</v>
      </c>
      <c r="G927" s="452">
        <f t="shared" si="21"/>
        <v>227</v>
      </c>
      <c r="H927" s="450"/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</row>
    <row r="928" spans="1:43" s="8" customFormat="1" ht="16.5" customHeight="1">
      <c r="A928" s="450">
        <v>31</v>
      </c>
      <c r="B928" s="453" t="s">
        <v>823</v>
      </c>
      <c r="C928" s="457" t="s">
        <v>14</v>
      </c>
      <c r="D928" s="457" t="s">
        <v>7</v>
      </c>
      <c r="E928" s="457" t="s">
        <v>13</v>
      </c>
      <c r="F928" s="458">
        <v>227</v>
      </c>
      <c r="G928" s="452">
        <f t="shared" si="21"/>
        <v>227</v>
      </c>
      <c r="H928" s="450"/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</row>
    <row r="929" spans="1:19" s="8" customFormat="1" ht="16.5" customHeight="1">
      <c r="A929" s="450">
        <v>32</v>
      </c>
      <c r="B929" s="453" t="s">
        <v>825</v>
      </c>
      <c r="C929" s="457" t="s">
        <v>14</v>
      </c>
      <c r="D929" s="457" t="s">
        <v>7</v>
      </c>
      <c r="E929" s="457" t="s">
        <v>13</v>
      </c>
      <c r="F929" s="458">
        <v>227</v>
      </c>
      <c r="G929" s="452">
        <f t="shared" si="21"/>
        <v>227</v>
      </c>
      <c r="H929" s="450"/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</row>
    <row r="930" spans="1:19" s="8" customFormat="1" ht="16.5" customHeight="1">
      <c r="A930" s="450">
        <v>33</v>
      </c>
      <c r="B930" s="453" t="s">
        <v>845</v>
      </c>
      <c r="C930" s="457" t="s">
        <v>12</v>
      </c>
      <c r="D930" s="457" t="s">
        <v>7</v>
      </c>
      <c r="E930" s="457" t="s">
        <v>13</v>
      </c>
      <c r="F930" s="458">
        <v>227</v>
      </c>
      <c r="G930" s="452">
        <f t="shared" si="21"/>
        <v>227</v>
      </c>
      <c r="H930" s="450"/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</row>
    <row r="931" spans="1:19" s="8" customFormat="1" ht="16.5" customHeight="1">
      <c r="A931" s="450">
        <v>34</v>
      </c>
      <c r="B931" s="453" t="s">
        <v>886</v>
      </c>
      <c r="C931" s="450" t="s">
        <v>6</v>
      </c>
      <c r="D931" s="450" t="s">
        <v>7</v>
      </c>
      <c r="E931" s="450" t="s">
        <v>13</v>
      </c>
      <c r="F931" s="452">
        <v>227</v>
      </c>
      <c r="G931" s="452">
        <f t="shared" si="21"/>
        <v>227</v>
      </c>
      <c r="H931" s="450"/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</row>
    <row r="932" spans="1:19" s="8" customFormat="1">
      <c r="A932" s="450">
        <v>35</v>
      </c>
      <c r="B932" s="453" t="s">
        <v>899</v>
      </c>
      <c r="C932" s="457" t="s">
        <v>14</v>
      </c>
      <c r="D932" s="457" t="s">
        <v>7</v>
      </c>
      <c r="E932" s="457" t="s">
        <v>13</v>
      </c>
      <c r="F932" s="458">
        <v>227</v>
      </c>
      <c r="G932" s="452">
        <f t="shared" si="21"/>
        <v>227</v>
      </c>
      <c r="H932" s="450"/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</row>
    <row r="933" spans="1:19" s="8" customFormat="1" ht="33" customHeight="1">
      <c r="A933" s="450">
        <v>36</v>
      </c>
      <c r="B933" s="453" t="s">
        <v>904</v>
      </c>
      <c r="C933" s="450" t="s">
        <v>18</v>
      </c>
      <c r="D933" s="450" t="s">
        <v>7</v>
      </c>
      <c r="E933" s="450" t="s">
        <v>13</v>
      </c>
      <c r="F933" s="452">
        <v>227</v>
      </c>
      <c r="G933" s="452">
        <f t="shared" si="21"/>
        <v>227</v>
      </c>
      <c r="H933" s="450"/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</row>
    <row r="934" spans="1:19" s="8" customFormat="1">
      <c r="A934" s="450">
        <v>37</v>
      </c>
      <c r="B934" s="453" t="s">
        <v>229</v>
      </c>
      <c r="C934" s="450" t="s">
        <v>14</v>
      </c>
      <c r="D934" s="450" t="s">
        <v>10</v>
      </c>
      <c r="E934" s="450" t="s">
        <v>13</v>
      </c>
      <c r="F934" s="452">
        <v>232</v>
      </c>
      <c r="G934" s="452">
        <f t="shared" si="21"/>
        <v>232</v>
      </c>
      <c r="H934" s="450"/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</row>
    <row r="935" spans="1:19" s="8" customFormat="1" ht="16.5" customHeight="1">
      <c r="A935" s="450">
        <v>38</v>
      </c>
      <c r="B935" s="453" t="s">
        <v>237</v>
      </c>
      <c r="C935" s="450"/>
      <c r="D935" s="450" t="s">
        <v>10</v>
      </c>
      <c r="E935" s="450" t="s">
        <v>13</v>
      </c>
      <c r="F935" s="452">
        <v>240.7</v>
      </c>
      <c r="G935" s="452">
        <f t="shared" si="21"/>
        <v>240.7</v>
      </c>
      <c r="H935" s="450"/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</row>
    <row r="936" spans="1:19" s="8" customFormat="1" ht="49.5">
      <c r="A936" s="450">
        <v>39</v>
      </c>
      <c r="B936" s="453" t="s">
        <v>314</v>
      </c>
      <c r="C936" s="450" t="s">
        <v>6</v>
      </c>
      <c r="D936" s="450" t="s">
        <v>10</v>
      </c>
      <c r="E936" s="450" t="s">
        <v>13</v>
      </c>
      <c r="F936" s="452">
        <v>285</v>
      </c>
      <c r="G936" s="459">
        <f t="shared" si="21"/>
        <v>285</v>
      </c>
      <c r="H936" s="450"/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</row>
    <row r="937" spans="1:19" s="8" customFormat="1" ht="33">
      <c r="A937" s="450">
        <v>40</v>
      </c>
      <c r="B937" s="453" t="s">
        <v>304</v>
      </c>
      <c r="C937" s="450"/>
      <c r="D937" s="450" t="s">
        <v>10</v>
      </c>
      <c r="E937" s="450" t="s">
        <v>20</v>
      </c>
      <c r="F937" s="452">
        <v>125</v>
      </c>
      <c r="G937" s="452">
        <f t="shared" si="21"/>
        <v>125</v>
      </c>
      <c r="H937" s="450"/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</row>
    <row r="938" spans="1:19" s="8" customFormat="1" ht="16.5" customHeight="1">
      <c r="A938" s="450">
        <v>41</v>
      </c>
      <c r="B938" s="453" t="s">
        <v>318</v>
      </c>
      <c r="C938" s="450" t="s">
        <v>26</v>
      </c>
      <c r="D938" s="450" t="s">
        <v>10</v>
      </c>
      <c r="E938" s="450" t="s">
        <v>20</v>
      </c>
      <c r="F938" s="452">
        <v>160</v>
      </c>
      <c r="G938" s="452">
        <f t="shared" si="21"/>
        <v>160</v>
      </c>
      <c r="H938" s="450"/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</row>
    <row r="939" spans="1:19" s="8" customFormat="1">
      <c r="A939" s="450">
        <v>42</v>
      </c>
      <c r="B939" s="453" t="s">
        <v>939</v>
      </c>
      <c r="C939" s="450" t="s">
        <v>26</v>
      </c>
      <c r="D939" s="450" t="s">
        <v>10</v>
      </c>
      <c r="E939" s="450" t="s">
        <v>20</v>
      </c>
      <c r="F939" s="452">
        <v>161</v>
      </c>
      <c r="G939" s="452">
        <f t="shared" si="21"/>
        <v>161</v>
      </c>
      <c r="H939" s="450"/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</row>
    <row r="940" spans="1:19" s="8" customFormat="1" ht="16.5" customHeight="1">
      <c r="A940" s="450">
        <v>43</v>
      </c>
      <c r="B940" s="453" t="s">
        <v>292</v>
      </c>
      <c r="C940" s="450" t="s">
        <v>14</v>
      </c>
      <c r="D940" s="450" t="s">
        <v>10</v>
      </c>
      <c r="E940" s="450" t="s">
        <v>20</v>
      </c>
      <c r="F940" s="452">
        <v>180</v>
      </c>
      <c r="G940" s="452">
        <f t="shared" si="21"/>
        <v>180</v>
      </c>
      <c r="H940" s="450"/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</row>
    <row r="941" spans="1:19" s="8" customFormat="1" ht="16.5" customHeight="1">
      <c r="A941" s="450">
        <v>44</v>
      </c>
      <c r="B941" s="453" t="s">
        <v>423</v>
      </c>
      <c r="C941" s="450" t="s">
        <v>14</v>
      </c>
      <c r="D941" s="450" t="s">
        <v>10</v>
      </c>
      <c r="E941" s="456" t="s">
        <v>20</v>
      </c>
      <c r="F941" s="452">
        <v>180</v>
      </c>
      <c r="G941" s="452">
        <f t="shared" si="21"/>
        <v>180</v>
      </c>
      <c r="H941" s="450"/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</row>
    <row r="942" spans="1:19" s="8" customFormat="1">
      <c r="A942" s="450">
        <v>45</v>
      </c>
      <c r="B942" s="453" t="s">
        <v>1021</v>
      </c>
      <c r="C942" s="450" t="s">
        <v>16</v>
      </c>
      <c r="D942" s="450" t="s">
        <v>10</v>
      </c>
      <c r="E942" s="450" t="s">
        <v>20</v>
      </c>
      <c r="F942" s="452">
        <v>180</v>
      </c>
      <c r="G942" s="452">
        <f t="shared" si="21"/>
        <v>180</v>
      </c>
      <c r="H942" s="450"/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</row>
    <row r="943" spans="1:19" s="8" customFormat="1">
      <c r="A943" s="450">
        <v>46</v>
      </c>
      <c r="B943" s="453" t="s">
        <v>526</v>
      </c>
      <c r="C943" s="450" t="s">
        <v>14</v>
      </c>
      <c r="D943" s="450" t="s">
        <v>10</v>
      </c>
      <c r="E943" s="450" t="s">
        <v>20</v>
      </c>
      <c r="F943" s="452">
        <v>180</v>
      </c>
      <c r="G943" s="452">
        <f t="shared" si="21"/>
        <v>180</v>
      </c>
      <c r="H943" s="450"/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</row>
    <row r="944" spans="1:19" s="8" customFormat="1">
      <c r="A944" s="450">
        <v>47</v>
      </c>
      <c r="B944" s="453" t="s">
        <v>853</v>
      </c>
      <c r="C944" s="450" t="s">
        <v>9</v>
      </c>
      <c r="D944" s="450" t="s">
        <v>10</v>
      </c>
      <c r="E944" s="450" t="s">
        <v>20</v>
      </c>
      <c r="F944" s="452">
        <v>220</v>
      </c>
      <c r="G944" s="452">
        <f t="shared" si="21"/>
        <v>220</v>
      </c>
      <c r="H944" s="450"/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</row>
    <row r="945" spans="1:19" s="8" customFormat="1" ht="33" customHeight="1">
      <c r="A945" s="450">
        <v>48</v>
      </c>
      <c r="B945" s="453" t="s">
        <v>871</v>
      </c>
      <c r="C945" s="450" t="s">
        <v>9</v>
      </c>
      <c r="D945" s="450" t="s">
        <v>10</v>
      </c>
      <c r="E945" s="450" t="s">
        <v>20</v>
      </c>
      <c r="F945" s="452">
        <v>220</v>
      </c>
      <c r="G945" s="452">
        <f t="shared" si="21"/>
        <v>220</v>
      </c>
      <c r="H945" s="450"/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</row>
    <row r="946" spans="1:19" s="8" customFormat="1" ht="33" customHeight="1">
      <c r="A946" s="450">
        <v>49</v>
      </c>
      <c r="B946" s="453" t="s">
        <v>995</v>
      </c>
      <c r="C946" s="450" t="s">
        <v>12</v>
      </c>
      <c r="D946" s="450" t="s">
        <v>10</v>
      </c>
      <c r="E946" s="450" t="s">
        <v>20</v>
      </c>
      <c r="F946" s="452">
        <v>220</v>
      </c>
      <c r="G946" s="452">
        <f t="shared" si="21"/>
        <v>220</v>
      </c>
      <c r="H946" s="450"/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</row>
    <row r="947" spans="1:19" s="8" customFormat="1">
      <c r="A947" s="450">
        <v>50</v>
      </c>
      <c r="B947" s="453" t="s">
        <v>1006</v>
      </c>
      <c r="C947" s="450" t="s">
        <v>12</v>
      </c>
      <c r="D947" s="450" t="s">
        <v>10</v>
      </c>
      <c r="E947" s="450" t="s">
        <v>20</v>
      </c>
      <c r="F947" s="452">
        <v>220</v>
      </c>
      <c r="G947" s="452">
        <f t="shared" si="21"/>
        <v>220</v>
      </c>
      <c r="H947" s="450"/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</row>
    <row r="948" spans="1:19" s="8" customFormat="1">
      <c r="A948" s="450">
        <v>51</v>
      </c>
      <c r="B948" s="453" t="s">
        <v>224</v>
      </c>
      <c r="C948" s="450"/>
      <c r="D948" s="450" t="s">
        <v>7</v>
      </c>
      <c r="E948" s="450" t="s">
        <v>20</v>
      </c>
      <c r="F948" s="452">
        <v>260</v>
      </c>
      <c r="G948" s="452">
        <f t="shared" si="21"/>
        <v>260</v>
      </c>
      <c r="H948" s="450"/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</row>
    <row r="949" spans="1:19" s="8" customFormat="1" ht="33">
      <c r="A949" s="450">
        <v>52</v>
      </c>
      <c r="B949" s="453" t="s">
        <v>369</v>
      </c>
      <c r="C949" s="450" t="s">
        <v>14</v>
      </c>
      <c r="D949" s="450" t="s">
        <v>10</v>
      </c>
      <c r="E949" s="450" t="s">
        <v>20</v>
      </c>
      <c r="F949" s="452">
        <v>260</v>
      </c>
      <c r="G949" s="452">
        <f t="shared" si="21"/>
        <v>260</v>
      </c>
      <c r="H949" s="450"/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</row>
    <row r="950" spans="1:19" s="8" customFormat="1" ht="22.5" customHeight="1">
      <c r="A950" s="450">
        <v>53</v>
      </c>
      <c r="B950" s="453" t="s">
        <v>657</v>
      </c>
      <c r="C950" s="450" t="s">
        <v>12</v>
      </c>
      <c r="D950" s="450" t="s">
        <v>10</v>
      </c>
      <c r="E950" s="450" t="s">
        <v>20</v>
      </c>
      <c r="F950" s="452">
        <v>260</v>
      </c>
      <c r="G950" s="452">
        <f t="shared" si="21"/>
        <v>260</v>
      </c>
      <c r="H950" s="450"/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</row>
    <row r="951" spans="1:19" s="8" customFormat="1">
      <c r="A951" s="450">
        <v>54</v>
      </c>
      <c r="B951" s="453" t="s">
        <v>697</v>
      </c>
      <c r="C951" s="450" t="s">
        <v>9</v>
      </c>
      <c r="D951" s="450" t="s">
        <v>7</v>
      </c>
      <c r="E951" s="450" t="s">
        <v>20</v>
      </c>
      <c r="F951" s="452">
        <v>260</v>
      </c>
      <c r="G951" s="452">
        <f t="shared" si="21"/>
        <v>260</v>
      </c>
      <c r="H951" s="450"/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</row>
    <row r="952" spans="1:19" s="8" customFormat="1" ht="33" customHeight="1">
      <c r="A952" s="450">
        <v>55</v>
      </c>
      <c r="B952" s="453" t="s">
        <v>1005</v>
      </c>
      <c r="C952" s="450" t="s">
        <v>14</v>
      </c>
      <c r="D952" s="450" t="s">
        <v>10</v>
      </c>
      <c r="E952" s="450" t="s">
        <v>20</v>
      </c>
      <c r="F952" s="452">
        <v>260</v>
      </c>
      <c r="G952" s="452">
        <f t="shared" si="21"/>
        <v>260</v>
      </c>
      <c r="H952" s="450"/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</row>
    <row r="953" spans="1:19" s="8" customFormat="1" ht="16.5" customHeight="1">
      <c r="A953" s="450">
        <v>56</v>
      </c>
      <c r="B953" s="453" t="s">
        <v>663</v>
      </c>
      <c r="C953" s="450" t="s">
        <v>14</v>
      </c>
      <c r="D953" s="450" t="s">
        <v>10</v>
      </c>
      <c r="E953" s="450" t="s">
        <v>20</v>
      </c>
      <c r="F953" s="452">
        <v>274</v>
      </c>
      <c r="G953" s="452">
        <f t="shared" si="21"/>
        <v>274</v>
      </c>
      <c r="H953" s="450"/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</row>
    <row r="954" spans="1:19" s="8" customFormat="1" ht="16.5" customHeight="1">
      <c r="A954" s="450">
        <v>57</v>
      </c>
      <c r="B954" s="453" t="s">
        <v>220</v>
      </c>
      <c r="C954" s="450" t="s">
        <v>12</v>
      </c>
      <c r="D954" s="450" t="s">
        <v>10</v>
      </c>
      <c r="E954" s="450" t="s">
        <v>20</v>
      </c>
      <c r="F954" s="452">
        <v>220</v>
      </c>
      <c r="G954" s="452">
        <f t="shared" si="21"/>
        <v>220</v>
      </c>
      <c r="H954" s="450"/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</row>
    <row r="955" spans="1:19" s="8" customFormat="1" ht="16.5" customHeight="1">
      <c r="A955" s="450">
        <v>58</v>
      </c>
      <c r="B955" s="453" t="s">
        <v>251</v>
      </c>
      <c r="C955" s="450" t="s">
        <v>9</v>
      </c>
      <c r="D955" s="450" t="s">
        <v>10</v>
      </c>
      <c r="E955" s="450" t="s">
        <v>20</v>
      </c>
      <c r="F955" s="452">
        <v>220</v>
      </c>
      <c r="G955" s="452">
        <f t="shared" si="21"/>
        <v>220</v>
      </c>
      <c r="H955" s="450"/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</row>
    <row r="956" spans="1:19" s="8" customFormat="1" ht="33" customHeight="1">
      <c r="A956" s="450">
        <v>59</v>
      </c>
      <c r="B956" s="453" t="s">
        <v>485</v>
      </c>
      <c r="C956" s="456" t="s">
        <v>33</v>
      </c>
      <c r="D956" s="454" t="s">
        <v>10</v>
      </c>
      <c r="E956" s="457" t="s">
        <v>25</v>
      </c>
      <c r="F956" s="458">
        <v>169</v>
      </c>
      <c r="G956" s="452">
        <f t="shared" si="21"/>
        <v>169</v>
      </c>
      <c r="H956" s="450"/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</row>
    <row r="957" spans="1:19" s="8" customFormat="1" ht="16.5" customHeight="1">
      <c r="A957" s="450">
        <v>60</v>
      </c>
      <c r="B957" s="453" t="s">
        <v>931</v>
      </c>
      <c r="C957" s="456" t="s">
        <v>33</v>
      </c>
      <c r="D957" s="454" t="s">
        <v>10</v>
      </c>
      <c r="E957" s="457" t="s">
        <v>25</v>
      </c>
      <c r="F957" s="458">
        <v>169</v>
      </c>
      <c r="G957" s="452">
        <f t="shared" si="21"/>
        <v>169</v>
      </c>
      <c r="H957" s="450"/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</row>
    <row r="958" spans="1:19" s="8" customFormat="1" ht="33" customHeight="1">
      <c r="A958" s="450">
        <v>61</v>
      </c>
      <c r="B958" s="453" t="s">
        <v>1013</v>
      </c>
      <c r="C958" s="456" t="s">
        <v>43</v>
      </c>
      <c r="D958" s="454" t="s">
        <v>10</v>
      </c>
      <c r="E958" s="457" t="s">
        <v>25</v>
      </c>
      <c r="F958" s="458">
        <v>169</v>
      </c>
      <c r="G958" s="452">
        <f t="shared" si="21"/>
        <v>169</v>
      </c>
      <c r="H958" s="450"/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</row>
    <row r="959" spans="1:19" s="8" customFormat="1" ht="16.5" customHeight="1">
      <c r="A959" s="450">
        <v>62</v>
      </c>
      <c r="B959" s="453" t="s">
        <v>924</v>
      </c>
      <c r="C959" s="450" t="s">
        <v>9</v>
      </c>
      <c r="D959" s="450" t="s">
        <v>7</v>
      </c>
      <c r="E959" s="456" t="s">
        <v>25</v>
      </c>
      <c r="F959" s="452">
        <v>180</v>
      </c>
      <c r="G959" s="452">
        <f t="shared" si="21"/>
        <v>180</v>
      </c>
      <c r="H959" s="450"/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</row>
    <row r="960" spans="1:19" s="8" customFormat="1" ht="16.5" customHeight="1">
      <c r="A960" s="450">
        <v>63</v>
      </c>
      <c r="B960" s="453" t="s">
        <v>427</v>
      </c>
      <c r="C960" s="450" t="s">
        <v>16</v>
      </c>
      <c r="D960" s="450" t="s">
        <v>10</v>
      </c>
      <c r="E960" s="450" t="s">
        <v>25</v>
      </c>
      <c r="F960" s="452">
        <v>274</v>
      </c>
      <c r="G960" s="452">
        <f t="shared" si="21"/>
        <v>274</v>
      </c>
      <c r="H960" s="450"/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</row>
    <row r="961" spans="1:43" s="8" customFormat="1">
      <c r="A961" s="450">
        <v>64</v>
      </c>
      <c r="B961" s="453" t="s">
        <v>919</v>
      </c>
      <c r="C961" s="450"/>
      <c r="D961" s="450" t="s">
        <v>10</v>
      </c>
      <c r="E961" s="450" t="s">
        <v>25</v>
      </c>
      <c r="F961" s="452">
        <v>274</v>
      </c>
      <c r="G961" s="452">
        <f t="shared" si="21"/>
        <v>274</v>
      </c>
      <c r="H961" s="450"/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</row>
    <row r="962" spans="1:43" s="8" customFormat="1">
      <c r="A962" s="450">
        <v>65</v>
      </c>
      <c r="B962" s="453" t="s">
        <v>652</v>
      </c>
      <c r="C962" s="450" t="s">
        <v>12</v>
      </c>
      <c r="D962" s="450" t="s">
        <v>10</v>
      </c>
      <c r="E962" s="450" t="s">
        <v>25</v>
      </c>
      <c r="F962" s="452">
        <v>274</v>
      </c>
      <c r="G962" s="452">
        <f t="shared" si="21"/>
        <v>274</v>
      </c>
      <c r="H962" s="450"/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</row>
    <row r="963" spans="1:43" s="8" customFormat="1" ht="16.5" customHeight="1">
      <c r="A963" s="450">
        <v>66</v>
      </c>
      <c r="B963" s="453" t="s">
        <v>616</v>
      </c>
      <c r="C963" s="456" t="s">
        <v>9</v>
      </c>
      <c r="D963" s="454" t="s">
        <v>10</v>
      </c>
      <c r="E963" s="457" t="s">
        <v>25</v>
      </c>
      <c r="F963" s="458">
        <v>227</v>
      </c>
      <c r="G963" s="452">
        <f t="shared" si="21"/>
        <v>227</v>
      </c>
      <c r="H963" s="450"/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</row>
    <row r="964" spans="1:43" s="8" customFormat="1">
      <c r="A964" s="450">
        <v>67</v>
      </c>
      <c r="B964" s="453" t="s">
        <v>313</v>
      </c>
      <c r="C964" s="450" t="s">
        <v>14</v>
      </c>
      <c r="D964" s="450" t="s">
        <v>10</v>
      </c>
      <c r="E964" s="450" t="s">
        <v>25</v>
      </c>
      <c r="F964" s="452">
        <v>396</v>
      </c>
      <c r="G964" s="452">
        <f t="shared" si="21"/>
        <v>396</v>
      </c>
      <c r="H964" s="450"/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</row>
    <row r="965" spans="1:43" s="8" customFormat="1">
      <c r="A965" s="450">
        <v>68</v>
      </c>
      <c r="B965" s="453" t="s">
        <v>73</v>
      </c>
      <c r="C965" s="450" t="s">
        <v>6</v>
      </c>
      <c r="D965" s="450" t="s">
        <v>7</v>
      </c>
      <c r="E965" s="450" t="s">
        <v>13</v>
      </c>
      <c r="F965" s="452">
        <v>227</v>
      </c>
      <c r="G965" s="452">
        <v>180</v>
      </c>
      <c r="H965" s="450"/>
      <c r="J965" s="521"/>
      <c r="K965" s="489"/>
      <c r="L965" s="228"/>
      <c r="M965" s="228"/>
      <c r="N965" s="228"/>
      <c r="O965" s="228"/>
      <c r="P965" s="228"/>
      <c r="Q965" s="228"/>
      <c r="R965" s="228"/>
      <c r="S965" s="228"/>
    </row>
    <row r="966" spans="1:43" s="523" customFormat="1" ht="33" customHeight="1">
      <c r="A966" s="450">
        <v>69</v>
      </c>
      <c r="B966" s="453" t="s">
        <v>781</v>
      </c>
      <c r="C966" s="450" t="s">
        <v>43</v>
      </c>
      <c r="D966" s="450" t="s">
        <v>10</v>
      </c>
      <c r="E966" s="450" t="s">
        <v>8</v>
      </c>
      <c r="F966" s="452">
        <v>125</v>
      </c>
      <c r="G966" s="452">
        <f t="shared" ref="G966:G979" si="22">F966</f>
        <v>125</v>
      </c>
      <c r="H966" s="450"/>
      <c r="I966" s="8"/>
      <c r="J966" s="521"/>
      <c r="K966" s="489"/>
      <c r="L966" s="228"/>
      <c r="M966" s="228"/>
      <c r="N966" s="228"/>
      <c r="O966" s="228"/>
      <c r="P966" s="228"/>
      <c r="Q966" s="228"/>
      <c r="R966" s="228"/>
      <c r="S966" s="22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</row>
    <row r="967" spans="1:43" s="523" customFormat="1" ht="16.5" customHeight="1">
      <c r="A967" s="450">
        <v>70</v>
      </c>
      <c r="B967" s="453" t="s">
        <v>668</v>
      </c>
      <c r="C967" s="450" t="s">
        <v>18</v>
      </c>
      <c r="D967" s="450" t="s">
        <v>7</v>
      </c>
      <c r="E967" s="450" t="s">
        <v>8</v>
      </c>
      <c r="F967" s="452">
        <v>169</v>
      </c>
      <c r="G967" s="452">
        <f t="shared" si="22"/>
        <v>169</v>
      </c>
      <c r="H967" s="450"/>
      <c r="I967" s="8"/>
      <c r="J967" s="521"/>
      <c r="K967" s="489"/>
      <c r="L967" s="228"/>
      <c r="M967" s="228"/>
      <c r="N967" s="228"/>
      <c r="O967" s="228"/>
      <c r="P967" s="228"/>
      <c r="Q967" s="228"/>
      <c r="R967" s="228"/>
      <c r="S967" s="22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</row>
    <row r="968" spans="1:43" s="523" customFormat="1" ht="16.5" customHeight="1">
      <c r="A968" s="450">
        <v>71</v>
      </c>
      <c r="B968" s="453" t="s">
        <v>856</v>
      </c>
      <c r="C968" s="457" t="s">
        <v>18</v>
      </c>
      <c r="D968" s="457" t="s">
        <v>10</v>
      </c>
      <c r="E968" s="457" t="s">
        <v>8</v>
      </c>
      <c r="F968" s="458">
        <v>169</v>
      </c>
      <c r="G968" s="452">
        <f t="shared" si="22"/>
        <v>169</v>
      </c>
      <c r="H968" s="450"/>
      <c r="I968" s="8"/>
      <c r="J968" s="521"/>
      <c r="K968" s="489"/>
      <c r="L968" s="228"/>
      <c r="M968" s="228"/>
      <c r="N968" s="228"/>
      <c r="O968" s="228"/>
      <c r="P968" s="228"/>
      <c r="Q968" s="228"/>
      <c r="R968" s="228"/>
      <c r="S968" s="22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</row>
    <row r="969" spans="1:43" s="523" customFormat="1" ht="16.5" customHeight="1">
      <c r="A969" s="450">
        <v>72</v>
      </c>
      <c r="B969" s="453" t="s">
        <v>730</v>
      </c>
      <c r="C969" s="450" t="s">
        <v>14</v>
      </c>
      <c r="D969" s="450" t="s">
        <v>7</v>
      </c>
      <c r="E969" s="456" t="s">
        <v>8</v>
      </c>
      <c r="F969" s="452">
        <v>180</v>
      </c>
      <c r="G969" s="452">
        <f t="shared" si="22"/>
        <v>180</v>
      </c>
      <c r="H969" s="450"/>
      <c r="I969" s="8"/>
      <c r="J969" s="521"/>
      <c r="K969" s="489"/>
      <c r="L969" s="228"/>
      <c r="M969" s="228"/>
      <c r="N969" s="228"/>
      <c r="O969" s="228"/>
      <c r="P969" s="228"/>
      <c r="Q969" s="228"/>
      <c r="R969" s="228"/>
      <c r="S969" s="22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</row>
    <row r="970" spans="1:43" s="523" customFormat="1" ht="33" customHeight="1">
      <c r="A970" s="450">
        <v>73</v>
      </c>
      <c r="B970" s="453" t="s">
        <v>786</v>
      </c>
      <c r="C970" s="450" t="s">
        <v>14</v>
      </c>
      <c r="D970" s="450" t="s">
        <v>7</v>
      </c>
      <c r="E970" s="456" t="s">
        <v>8</v>
      </c>
      <c r="F970" s="452">
        <v>180</v>
      </c>
      <c r="G970" s="452">
        <f t="shared" si="22"/>
        <v>180</v>
      </c>
      <c r="H970" s="450"/>
      <c r="I970" s="8"/>
      <c r="J970" s="521"/>
      <c r="K970" s="489"/>
      <c r="L970" s="228"/>
      <c r="M970" s="228"/>
      <c r="N970" s="228"/>
      <c r="O970" s="228"/>
      <c r="P970" s="228"/>
      <c r="Q970" s="228"/>
      <c r="R970" s="228"/>
      <c r="S970" s="22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</row>
    <row r="971" spans="1:43" s="523" customFormat="1" ht="16.5" customHeight="1">
      <c r="A971" s="450">
        <v>74</v>
      </c>
      <c r="B971" s="453" t="s">
        <v>126</v>
      </c>
      <c r="C971" s="450" t="s">
        <v>14</v>
      </c>
      <c r="D971" s="450" t="s">
        <v>7</v>
      </c>
      <c r="E971" s="450" t="s">
        <v>8</v>
      </c>
      <c r="F971" s="452">
        <v>190</v>
      </c>
      <c r="G971" s="452">
        <f t="shared" si="22"/>
        <v>190</v>
      </c>
      <c r="H971" s="450"/>
      <c r="I971" s="8"/>
      <c r="J971" s="521"/>
      <c r="K971" s="489"/>
      <c r="L971" s="228"/>
      <c r="M971" s="228"/>
      <c r="N971" s="228"/>
      <c r="O971" s="228"/>
      <c r="P971" s="228"/>
      <c r="Q971" s="228"/>
      <c r="R971" s="228"/>
      <c r="S971" s="22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</row>
    <row r="972" spans="1:43" s="523" customFormat="1" ht="33">
      <c r="A972" s="450">
        <v>75</v>
      </c>
      <c r="B972" s="453" t="s">
        <v>360</v>
      </c>
      <c r="C972" s="450" t="s">
        <v>15</v>
      </c>
      <c r="D972" s="450" t="s">
        <v>7</v>
      </c>
      <c r="E972" s="450" t="s">
        <v>8</v>
      </c>
      <c r="F972" s="452">
        <v>190</v>
      </c>
      <c r="G972" s="452">
        <f t="shared" si="22"/>
        <v>190</v>
      </c>
      <c r="H972" s="450"/>
      <c r="I972" s="8"/>
      <c r="J972" s="521"/>
      <c r="K972" s="489"/>
      <c r="L972" s="228"/>
      <c r="M972" s="228"/>
      <c r="N972" s="228"/>
      <c r="O972" s="228"/>
      <c r="P972" s="228"/>
      <c r="Q972" s="228"/>
      <c r="R972" s="228"/>
      <c r="S972" s="22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</row>
    <row r="973" spans="1:43" s="523" customFormat="1" ht="33" customHeight="1">
      <c r="A973" s="450">
        <v>76</v>
      </c>
      <c r="B973" s="453" t="s">
        <v>541</v>
      </c>
      <c r="C973" s="450" t="s">
        <v>6</v>
      </c>
      <c r="D973" s="450" t="s">
        <v>10</v>
      </c>
      <c r="E973" s="450" t="s">
        <v>8</v>
      </c>
      <c r="F973" s="452">
        <v>190</v>
      </c>
      <c r="G973" s="452">
        <f t="shared" si="22"/>
        <v>190</v>
      </c>
      <c r="H973" s="452"/>
      <c r="I973" s="8"/>
      <c r="J973" s="521"/>
      <c r="K973" s="489"/>
      <c r="L973" s="228"/>
      <c r="M973" s="228"/>
      <c r="N973" s="228"/>
      <c r="O973" s="228"/>
      <c r="P973" s="228"/>
      <c r="Q973" s="228"/>
      <c r="R973" s="228"/>
      <c r="S973" s="22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</row>
    <row r="974" spans="1:43" s="523" customFormat="1" ht="33" customHeight="1">
      <c r="A974" s="450">
        <v>77</v>
      </c>
      <c r="B974" s="453" t="s">
        <v>725</v>
      </c>
      <c r="C974" s="450" t="s">
        <v>9</v>
      </c>
      <c r="D974" s="450" t="s">
        <v>7</v>
      </c>
      <c r="E974" s="450" t="s">
        <v>8</v>
      </c>
      <c r="F974" s="452">
        <v>190</v>
      </c>
      <c r="G974" s="452">
        <f t="shared" si="22"/>
        <v>190</v>
      </c>
      <c r="H974" s="452"/>
      <c r="I974" s="282"/>
      <c r="J974" s="521"/>
      <c r="K974" s="489"/>
      <c r="L974" s="228"/>
      <c r="M974" s="228"/>
      <c r="N974" s="228"/>
      <c r="O974" s="228"/>
      <c r="P974" s="228"/>
      <c r="Q974" s="228"/>
      <c r="R974" s="228"/>
      <c r="S974" s="22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</row>
    <row r="975" spans="1:43" s="523" customFormat="1" ht="16.5" customHeight="1">
      <c r="A975" s="450">
        <v>78</v>
      </c>
      <c r="B975" s="453" t="s">
        <v>776</v>
      </c>
      <c r="C975" s="450" t="s">
        <v>6</v>
      </c>
      <c r="D975" s="450" t="s">
        <v>7</v>
      </c>
      <c r="E975" s="450" t="s">
        <v>8</v>
      </c>
      <c r="F975" s="452">
        <v>190</v>
      </c>
      <c r="G975" s="452">
        <f t="shared" si="22"/>
        <v>190</v>
      </c>
      <c r="H975" s="452"/>
      <c r="I975" s="8"/>
      <c r="J975" s="521"/>
      <c r="K975" s="489"/>
      <c r="L975" s="228"/>
      <c r="M975" s="228"/>
      <c r="N975" s="228"/>
      <c r="O975" s="228"/>
      <c r="P975" s="228"/>
      <c r="Q975" s="228"/>
      <c r="R975" s="228"/>
      <c r="S975" s="22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</row>
    <row r="976" spans="1:43" s="523" customFormat="1" ht="16.5" customHeight="1">
      <c r="A976" s="450">
        <v>79</v>
      </c>
      <c r="B976" s="453" t="s">
        <v>1041</v>
      </c>
      <c r="C976" s="450" t="s">
        <v>6</v>
      </c>
      <c r="D976" s="450" t="s">
        <v>10</v>
      </c>
      <c r="E976" s="456" t="s">
        <v>8</v>
      </c>
      <c r="F976" s="452">
        <v>197</v>
      </c>
      <c r="G976" s="452">
        <f t="shared" si="22"/>
        <v>197</v>
      </c>
      <c r="H976" s="452"/>
      <c r="I976" s="8"/>
      <c r="J976" s="521"/>
      <c r="K976" s="489"/>
      <c r="L976" s="228"/>
      <c r="M976" s="228"/>
      <c r="N976" s="228"/>
      <c r="O976" s="228"/>
      <c r="P976" s="228"/>
      <c r="Q976" s="228"/>
      <c r="R976" s="228"/>
      <c r="S976" s="22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</row>
    <row r="977" spans="1:43" s="523" customFormat="1" ht="33" customHeight="1">
      <c r="A977" s="450">
        <v>80</v>
      </c>
      <c r="B977" s="453" t="s">
        <v>188</v>
      </c>
      <c r="C977" s="450" t="s">
        <v>15</v>
      </c>
      <c r="D977" s="450" t="s">
        <v>7</v>
      </c>
      <c r="E977" s="456" t="s">
        <v>8</v>
      </c>
      <c r="F977" s="452">
        <v>220</v>
      </c>
      <c r="G977" s="452">
        <f t="shared" si="22"/>
        <v>220</v>
      </c>
      <c r="H977" s="450"/>
      <c r="I977" s="8"/>
      <c r="J977" s="521"/>
      <c r="K977" s="489"/>
      <c r="L977" s="228"/>
      <c r="M977" s="228"/>
      <c r="N977" s="228"/>
      <c r="O977" s="228"/>
      <c r="P977" s="228"/>
      <c r="Q977" s="228"/>
      <c r="R977" s="228"/>
      <c r="S977" s="22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</row>
    <row r="978" spans="1:43" s="523" customFormat="1" ht="16.5" customHeight="1">
      <c r="A978" s="450">
        <v>81</v>
      </c>
      <c r="B978" s="453" t="s">
        <v>194</v>
      </c>
      <c r="C978" s="454" t="s">
        <v>9</v>
      </c>
      <c r="D978" s="525" t="s">
        <v>10</v>
      </c>
      <c r="E978" s="454" t="s">
        <v>8</v>
      </c>
      <c r="F978" s="455">
        <v>220</v>
      </c>
      <c r="G978" s="452">
        <f t="shared" si="22"/>
        <v>220</v>
      </c>
      <c r="H978" s="450"/>
      <c r="I978" s="8"/>
      <c r="J978" s="521"/>
      <c r="K978" s="489"/>
      <c r="L978" s="228"/>
      <c r="M978" s="228"/>
      <c r="N978" s="228"/>
      <c r="O978" s="228"/>
      <c r="P978" s="228"/>
      <c r="Q978" s="228"/>
      <c r="R978" s="228"/>
      <c r="S978" s="22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</row>
    <row r="979" spans="1:43" s="523" customFormat="1" ht="33" customHeight="1">
      <c r="A979" s="450">
        <v>82</v>
      </c>
      <c r="B979" s="453" t="s">
        <v>351</v>
      </c>
      <c r="C979" s="450" t="s">
        <v>14</v>
      </c>
      <c r="D979" s="450" t="s">
        <v>7</v>
      </c>
      <c r="E979" s="456" t="s">
        <v>8</v>
      </c>
      <c r="F979" s="452">
        <v>220</v>
      </c>
      <c r="G979" s="452">
        <f t="shared" si="22"/>
        <v>220</v>
      </c>
      <c r="H979" s="450"/>
      <c r="I979" s="8"/>
      <c r="J979" s="521"/>
      <c r="K979" s="489"/>
      <c r="L979" s="228"/>
      <c r="M979" s="228"/>
      <c r="N979" s="228"/>
      <c r="O979" s="228"/>
      <c r="P979" s="228"/>
      <c r="Q979" s="228"/>
      <c r="R979" s="228"/>
      <c r="S979" s="22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</row>
    <row r="980" spans="1:43" s="292" customFormat="1" ht="16.5" customHeight="1">
      <c r="A980" s="450">
        <v>83</v>
      </c>
      <c r="B980" s="453" t="s">
        <v>95</v>
      </c>
      <c r="C980" s="450"/>
      <c r="D980" s="450" t="s">
        <v>10</v>
      </c>
      <c r="E980" s="450" t="s">
        <v>8</v>
      </c>
      <c r="F980" s="452">
        <v>313</v>
      </c>
      <c r="G980" s="452">
        <v>312</v>
      </c>
      <c r="H980" s="450"/>
      <c r="I980" s="8"/>
      <c r="J980" s="521"/>
      <c r="K980" s="489"/>
      <c r="L980" s="228"/>
      <c r="M980" s="228"/>
      <c r="N980" s="228"/>
      <c r="O980" s="228"/>
      <c r="P980" s="228"/>
      <c r="Q980" s="228"/>
      <c r="R980" s="228"/>
      <c r="S980" s="22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</row>
    <row r="981" spans="1:43" s="8" customFormat="1" ht="33">
      <c r="A981" s="450">
        <v>84</v>
      </c>
      <c r="B981" s="453" t="s">
        <v>465</v>
      </c>
      <c r="C981" s="450" t="s">
        <v>18</v>
      </c>
      <c r="D981" s="450" t="s">
        <v>7</v>
      </c>
      <c r="E981" s="450" t="s">
        <v>31</v>
      </c>
      <c r="F981" s="452">
        <v>227</v>
      </c>
      <c r="G981" s="452">
        <f>F981</f>
        <v>227</v>
      </c>
      <c r="H981" s="450"/>
      <c r="J981" s="521"/>
      <c r="K981" s="489"/>
      <c r="L981" s="228"/>
      <c r="M981" s="228"/>
      <c r="N981" s="228"/>
      <c r="O981" s="228"/>
      <c r="P981" s="228"/>
      <c r="Q981" s="228"/>
      <c r="R981" s="228"/>
      <c r="S981" s="228"/>
    </row>
    <row r="982" spans="1:43" s="8" customFormat="1" ht="33">
      <c r="A982" s="450">
        <v>85</v>
      </c>
      <c r="B982" s="453" t="s">
        <v>374</v>
      </c>
      <c r="C982" s="450" t="s">
        <v>18</v>
      </c>
      <c r="D982" s="450" t="s">
        <v>10</v>
      </c>
      <c r="E982" s="450" t="s">
        <v>17</v>
      </c>
      <c r="F982" s="452">
        <v>227</v>
      </c>
      <c r="G982" s="452">
        <f>F982</f>
        <v>227</v>
      </c>
      <c r="H982" s="450"/>
      <c r="J982" s="521"/>
      <c r="K982" s="489"/>
      <c r="L982" s="228"/>
      <c r="M982" s="228"/>
      <c r="N982" s="228"/>
      <c r="O982" s="228"/>
      <c r="P982" s="228"/>
      <c r="Q982" s="228"/>
      <c r="R982" s="228"/>
      <c r="S982" s="228"/>
    </row>
    <row r="983" spans="1:43" s="8" customFormat="1" ht="16.5" customHeight="1">
      <c r="A983" s="450">
        <v>86</v>
      </c>
      <c r="B983" s="453" t="s">
        <v>677</v>
      </c>
      <c r="C983" s="450" t="s">
        <v>14</v>
      </c>
      <c r="D983" s="450" t="s">
        <v>10</v>
      </c>
      <c r="E983" s="456" t="s">
        <v>25</v>
      </c>
      <c r="F983" s="452">
        <v>227</v>
      </c>
      <c r="G983" s="452">
        <f>F983</f>
        <v>227</v>
      </c>
      <c r="H983" s="450"/>
      <c r="J983" s="521"/>
      <c r="K983" s="489"/>
      <c r="L983" s="228"/>
      <c r="M983" s="228"/>
      <c r="N983" s="228"/>
      <c r="O983" s="228"/>
      <c r="P983" s="228"/>
      <c r="Q983" s="228"/>
      <c r="R983" s="228"/>
      <c r="S983" s="228"/>
    </row>
    <row r="984" spans="1:43" s="8" customFormat="1" ht="33">
      <c r="A984" s="450">
        <v>87</v>
      </c>
      <c r="B984" s="453" t="s">
        <v>141</v>
      </c>
      <c r="C984" s="450" t="s">
        <v>6</v>
      </c>
      <c r="D984" s="450"/>
      <c r="E984" s="450"/>
      <c r="F984" s="452">
        <v>227</v>
      </c>
      <c r="G984" s="452">
        <f>F984</f>
        <v>227</v>
      </c>
      <c r="H984" s="450"/>
      <c r="J984" s="521"/>
      <c r="K984" s="489"/>
      <c r="L984" s="228"/>
      <c r="M984" s="228"/>
      <c r="N984" s="228"/>
      <c r="O984" s="228"/>
      <c r="P984" s="228"/>
      <c r="Q984" s="228"/>
      <c r="R984" s="228"/>
      <c r="S984" s="228"/>
    </row>
    <row r="985" spans="1:43" s="8" customFormat="1" ht="19.5">
      <c r="A985" s="28"/>
      <c r="B985" s="29"/>
      <c r="C985" s="22" t="s">
        <v>3686</v>
      </c>
      <c r="D985" s="46" t="s">
        <v>1045</v>
      </c>
      <c r="E985" s="28"/>
      <c r="F985" s="30"/>
      <c r="G985" s="314">
        <f>SUM(G898:G984)</f>
        <v>18767.7</v>
      </c>
      <c r="H985" s="28"/>
      <c r="J985" s="228"/>
      <c r="K985" s="228"/>
      <c r="L985" s="228"/>
      <c r="M985" s="228"/>
      <c r="N985" s="228"/>
      <c r="O985" s="228"/>
      <c r="P985" s="228"/>
      <c r="Q985" s="228"/>
      <c r="R985" s="228"/>
      <c r="S985" s="228"/>
    </row>
    <row r="986" spans="1:43" s="8" customFormat="1">
      <c r="A986" s="28"/>
      <c r="B986" s="29"/>
      <c r="C986" s="28"/>
      <c r="D986" s="28"/>
      <c r="E986" s="28"/>
      <c r="F986" s="30"/>
      <c r="G986" s="30"/>
      <c r="H986" s="28"/>
      <c r="J986" s="228"/>
      <c r="K986" s="228"/>
      <c r="L986" s="228"/>
      <c r="M986" s="228"/>
      <c r="N986" s="228"/>
      <c r="O986" s="228"/>
      <c r="P986" s="228"/>
      <c r="Q986" s="228"/>
      <c r="R986" s="228"/>
      <c r="S986" s="228"/>
    </row>
    <row r="987" spans="1:43" s="8" customFormat="1" ht="24" customHeight="1">
      <c r="A987" s="38"/>
      <c r="B987" s="39"/>
      <c r="C987" s="40"/>
      <c r="D987" s="46" t="s">
        <v>3683</v>
      </c>
      <c r="E987" s="40"/>
      <c r="F987" s="266"/>
      <c r="G987" s="266"/>
      <c r="H987" s="41"/>
      <c r="J987" s="228"/>
      <c r="K987" s="228"/>
      <c r="L987" s="228"/>
      <c r="M987" s="228"/>
      <c r="N987" s="228"/>
      <c r="O987" s="228"/>
      <c r="P987" s="228"/>
      <c r="Q987" s="228"/>
      <c r="R987" s="228"/>
      <c r="S987" s="228"/>
    </row>
    <row r="988" spans="1:43" s="8" customFormat="1">
      <c r="B988" s="11"/>
      <c r="F988" s="10"/>
      <c r="G988" s="10"/>
      <c r="J988" s="228"/>
      <c r="K988" s="228"/>
      <c r="L988" s="228"/>
      <c r="M988" s="228"/>
      <c r="N988" s="228"/>
      <c r="O988" s="228"/>
      <c r="P988" s="228"/>
      <c r="Q988" s="228"/>
      <c r="R988" s="228"/>
      <c r="S988" s="228"/>
    </row>
    <row r="989" spans="1:43" s="2" customFormat="1">
      <c r="B989" s="3"/>
      <c r="F989" s="4"/>
      <c r="G989" s="4"/>
      <c r="J989" s="277"/>
      <c r="K989" s="277"/>
      <c r="L989" s="277"/>
      <c r="M989" s="277"/>
      <c r="N989" s="277"/>
      <c r="O989" s="277"/>
      <c r="P989" s="277"/>
      <c r="Q989" s="277"/>
      <c r="R989" s="277"/>
      <c r="S989" s="277"/>
    </row>
    <row r="990" spans="1:43" s="2" customFormat="1">
      <c r="B990" s="3"/>
      <c r="E990" s="14"/>
      <c r="F990" s="4"/>
      <c r="G990" s="20"/>
      <c r="J990" s="277"/>
      <c r="K990" s="277"/>
      <c r="L990" s="277"/>
      <c r="M990" s="277"/>
      <c r="N990" s="277"/>
      <c r="O990" s="277"/>
      <c r="P990" s="277"/>
      <c r="Q990" s="277"/>
      <c r="R990" s="277"/>
      <c r="S990" s="277"/>
    </row>
    <row r="991" spans="1:43" s="17" customFormat="1" ht="28.5" customHeight="1">
      <c r="A991" s="689" t="s">
        <v>4806</v>
      </c>
      <c r="B991" s="689"/>
      <c r="C991" s="689"/>
      <c r="D991" s="689"/>
      <c r="E991" s="689"/>
      <c r="F991" s="689"/>
      <c r="G991" s="689"/>
      <c r="H991" s="689"/>
      <c r="J991" s="279"/>
      <c r="K991" s="279"/>
      <c r="L991" s="279"/>
      <c r="M991" s="279"/>
      <c r="N991" s="279"/>
      <c r="O991" s="279"/>
      <c r="P991" s="279"/>
      <c r="Q991" s="279"/>
      <c r="R991" s="279"/>
      <c r="S991" s="279"/>
    </row>
    <row r="992" spans="1:43" s="2" customFormat="1" ht="37.5" customHeight="1">
      <c r="A992" s="460">
        <v>1</v>
      </c>
      <c r="B992" s="461" t="s">
        <v>1023</v>
      </c>
      <c r="C992" s="460" t="s">
        <v>9</v>
      </c>
      <c r="D992" s="460" t="s">
        <v>10</v>
      </c>
      <c r="E992" s="460" t="s">
        <v>50</v>
      </c>
      <c r="F992" s="462"/>
      <c r="G992" s="462" t="s">
        <v>3718</v>
      </c>
      <c r="H992" s="460"/>
      <c r="J992" s="277"/>
      <c r="K992" s="277"/>
      <c r="L992" s="277"/>
      <c r="M992" s="277"/>
      <c r="N992" s="277"/>
      <c r="O992" s="277"/>
      <c r="P992" s="277"/>
      <c r="Q992" s="277"/>
      <c r="R992" s="277"/>
      <c r="S992" s="277"/>
    </row>
    <row r="993" spans="1:19" s="2" customFormat="1" ht="37.5" customHeight="1">
      <c r="A993" s="460">
        <v>2</v>
      </c>
      <c r="B993" s="461" t="s">
        <v>1024</v>
      </c>
      <c r="C993" s="460" t="s">
        <v>33</v>
      </c>
      <c r="D993" s="460" t="s">
        <v>10</v>
      </c>
      <c r="E993" s="460" t="s">
        <v>20</v>
      </c>
      <c r="F993" s="462"/>
      <c r="G993" s="463" t="s">
        <v>3719</v>
      </c>
      <c r="H993" s="460"/>
      <c r="J993" s="277"/>
      <c r="K993" s="277"/>
      <c r="L993" s="277"/>
      <c r="M993" s="277"/>
      <c r="N993" s="277"/>
      <c r="O993" s="277"/>
      <c r="P993" s="277"/>
      <c r="Q993" s="277"/>
      <c r="R993" s="277"/>
      <c r="S993" s="277"/>
    </row>
    <row r="994" spans="1:19" s="2" customFormat="1" ht="37.5" customHeight="1">
      <c r="A994" s="460">
        <v>3</v>
      </c>
      <c r="B994" s="461" t="s">
        <v>1025</v>
      </c>
      <c r="C994" s="460"/>
      <c r="D994" s="460" t="s">
        <v>10</v>
      </c>
      <c r="E994" s="460" t="s">
        <v>13</v>
      </c>
      <c r="F994" s="462"/>
      <c r="G994" s="462" t="s">
        <v>3720</v>
      </c>
      <c r="H994" s="460"/>
      <c r="J994" s="277"/>
      <c r="K994" s="277"/>
      <c r="L994" s="277"/>
      <c r="M994" s="277"/>
      <c r="N994" s="277"/>
      <c r="O994" s="277"/>
      <c r="P994" s="277"/>
      <c r="Q994" s="277"/>
      <c r="R994" s="277"/>
      <c r="S994" s="277"/>
    </row>
    <row r="995" spans="1:19" s="2" customFormat="1" ht="37.5" customHeight="1">
      <c r="A995" s="460">
        <v>4</v>
      </c>
      <c r="B995" s="461" t="s">
        <v>1026</v>
      </c>
      <c r="C995" s="460"/>
      <c r="D995" s="460" t="s">
        <v>10</v>
      </c>
      <c r="E995" s="460" t="s">
        <v>28</v>
      </c>
      <c r="F995" s="462"/>
      <c r="G995" s="462" t="s">
        <v>3721</v>
      </c>
      <c r="H995" s="460"/>
      <c r="J995" s="277"/>
      <c r="K995" s="277"/>
      <c r="L995" s="277"/>
      <c r="M995" s="277"/>
      <c r="N995" s="277"/>
      <c r="O995" s="277"/>
      <c r="P995" s="277"/>
      <c r="Q995" s="277"/>
      <c r="R995" s="277"/>
      <c r="S995" s="277"/>
    </row>
    <row r="996" spans="1:19" s="2" customFormat="1" ht="37.5" customHeight="1">
      <c r="A996" s="460">
        <v>5</v>
      </c>
      <c r="B996" s="461" t="s">
        <v>1027</v>
      </c>
      <c r="C996" s="460"/>
      <c r="D996" s="460" t="s">
        <v>10</v>
      </c>
      <c r="E996" s="460" t="s">
        <v>22</v>
      </c>
      <c r="F996" s="462"/>
      <c r="G996" s="462" t="s">
        <v>3722</v>
      </c>
      <c r="H996" s="460"/>
      <c r="J996" s="277"/>
      <c r="K996" s="277"/>
      <c r="L996" s="277"/>
      <c r="M996" s="277"/>
      <c r="N996" s="277"/>
      <c r="O996" s="277"/>
      <c r="P996" s="277"/>
      <c r="Q996" s="277"/>
      <c r="R996" s="277"/>
      <c r="S996" s="277"/>
    </row>
    <row r="997" spans="1:19" s="2" customFormat="1" ht="37.5" customHeight="1">
      <c r="A997" s="460">
        <v>6</v>
      </c>
      <c r="B997" s="461" t="s">
        <v>1028</v>
      </c>
      <c r="C997" s="460"/>
      <c r="D997" s="460" t="s">
        <v>10</v>
      </c>
      <c r="E997" s="460" t="s">
        <v>28</v>
      </c>
      <c r="F997" s="462"/>
      <c r="G997" s="462" t="s">
        <v>3723</v>
      </c>
      <c r="H997" s="460"/>
      <c r="J997" s="277"/>
      <c r="K997" s="277"/>
      <c r="L997" s="277"/>
      <c r="M997" s="277"/>
      <c r="N997" s="277"/>
      <c r="O997" s="277"/>
      <c r="P997" s="277"/>
      <c r="Q997" s="277"/>
      <c r="R997" s="277"/>
      <c r="S997" s="277"/>
    </row>
    <row r="998" spans="1:19" s="2" customFormat="1" ht="37.5" customHeight="1">
      <c r="A998" s="460">
        <v>7</v>
      </c>
      <c r="B998" s="461" t="s">
        <v>1029</v>
      </c>
      <c r="C998" s="460"/>
      <c r="D998" s="460" t="s">
        <v>10</v>
      </c>
      <c r="E998" s="460" t="s">
        <v>11</v>
      </c>
      <c r="F998" s="462"/>
      <c r="G998" s="462" t="s">
        <v>3724</v>
      </c>
      <c r="H998" s="460"/>
      <c r="J998" s="277"/>
      <c r="K998" s="277"/>
      <c r="L998" s="277"/>
      <c r="M998" s="277"/>
      <c r="N998" s="277"/>
      <c r="O998" s="277"/>
      <c r="P998" s="277"/>
      <c r="Q998" s="277"/>
      <c r="R998" s="277"/>
      <c r="S998" s="277"/>
    </row>
    <row r="999" spans="1:19" s="2" customFormat="1" ht="37.5" customHeight="1">
      <c r="A999" s="460">
        <v>8</v>
      </c>
      <c r="B999" s="461" t="s">
        <v>1030</v>
      </c>
      <c r="C999" s="460"/>
      <c r="D999" s="460" t="s">
        <v>10</v>
      </c>
      <c r="E999" s="460" t="s">
        <v>20</v>
      </c>
      <c r="F999" s="462"/>
      <c r="G999" s="462" t="s">
        <v>3725</v>
      </c>
      <c r="H999" s="460"/>
      <c r="J999" s="277"/>
      <c r="K999" s="277"/>
      <c r="L999" s="277"/>
      <c r="M999" s="277"/>
      <c r="N999" s="277"/>
      <c r="O999" s="277"/>
      <c r="P999" s="277"/>
      <c r="Q999" s="277"/>
      <c r="R999" s="277"/>
      <c r="S999" s="277"/>
    </row>
    <row r="1000" spans="1:19" s="2" customFormat="1" ht="37.5" customHeight="1">
      <c r="A1000" s="460">
        <v>9</v>
      </c>
      <c r="B1000" s="461" t="s">
        <v>1031</v>
      </c>
      <c r="C1000" s="460" t="s">
        <v>14</v>
      </c>
      <c r="D1000" s="460" t="s">
        <v>10</v>
      </c>
      <c r="E1000" s="460" t="s">
        <v>11</v>
      </c>
      <c r="F1000" s="462"/>
      <c r="G1000" s="462" t="s">
        <v>3726</v>
      </c>
      <c r="H1000" s="460"/>
      <c r="J1000" s="277"/>
      <c r="K1000" s="277"/>
      <c r="L1000" s="277"/>
      <c r="M1000" s="277"/>
      <c r="N1000" s="277"/>
      <c r="O1000" s="277"/>
      <c r="P1000" s="277"/>
      <c r="Q1000" s="277"/>
      <c r="R1000" s="277"/>
      <c r="S1000" s="277"/>
    </row>
    <row r="1001" spans="1:19" s="2" customFormat="1" ht="37.5" customHeight="1">
      <c r="A1001" s="460">
        <v>10</v>
      </c>
      <c r="B1001" s="461" t="s">
        <v>1032</v>
      </c>
      <c r="C1001" s="460"/>
      <c r="D1001" s="460" t="s">
        <v>10</v>
      </c>
      <c r="E1001" s="460"/>
      <c r="F1001" s="462"/>
      <c r="G1001" s="462" t="s">
        <v>3727</v>
      </c>
      <c r="H1001" s="460"/>
      <c r="J1001" s="277"/>
      <c r="K1001" s="277"/>
      <c r="L1001" s="277"/>
      <c r="M1001" s="277"/>
      <c r="N1001" s="277"/>
      <c r="O1001" s="277"/>
      <c r="P1001" s="277"/>
      <c r="Q1001" s="277"/>
      <c r="R1001" s="277"/>
      <c r="S1001" s="277"/>
    </row>
    <row r="1002" spans="1:19" s="2" customFormat="1" ht="37.5" customHeight="1">
      <c r="A1002" s="460">
        <v>11</v>
      </c>
      <c r="B1002" s="461" t="s">
        <v>1033</v>
      </c>
      <c r="C1002" s="460"/>
      <c r="D1002" s="460" t="s">
        <v>10</v>
      </c>
      <c r="E1002" s="460"/>
      <c r="F1002" s="462"/>
      <c r="G1002" s="462" t="s">
        <v>3728</v>
      </c>
      <c r="H1002" s="460"/>
      <c r="J1002" s="277"/>
      <c r="K1002" s="277"/>
      <c r="L1002" s="277"/>
      <c r="M1002" s="277"/>
      <c r="N1002" s="277"/>
      <c r="O1002" s="277"/>
      <c r="P1002" s="277"/>
      <c r="Q1002" s="277"/>
      <c r="R1002" s="277"/>
      <c r="S1002" s="277"/>
    </row>
    <row r="1003" spans="1:19" s="2" customFormat="1" ht="37.5" customHeight="1">
      <c r="A1003" s="460">
        <v>12</v>
      </c>
      <c r="B1003" s="461" t="s">
        <v>1034</v>
      </c>
      <c r="C1003" s="460"/>
      <c r="D1003" s="460" t="s">
        <v>10</v>
      </c>
      <c r="E1003" s="460"/>
      <c r="F1003" s="462"/>
      <c r="G1003" s="462" t="s">
        <v>3728</v>
      </c>
      <c r="H1003" s="460"/>
      <c r="J1003" s="277"/>
      <c r="K1003" s="277"/>
      <c r="L1003" s="277"/>
      <c r="M1003" s="277"/>
      <c r="N1003" s="277"/>
      <c r="O1003" s="277"/>
      <c r="P1003" s="277"/>
      <c r="Q1003" s="277"/>
      <c r="R1003" s="277"/>
      <c r="S1003" s="277"/>
    </row>
    <row r="1004" spans="1:19" s="2" customFormat="1" ht="37.5" customHeight="1">
      <c r="A1004" s="460">
        <v>13</v>
      </c>
      <c r="B1004" s="461" t="s">
        <v>1035</v>
      </c>
      <c r="C1004" s="460"/>
      <c r="D1004" s="460" t="s">
        <v>10</v>
      </c>
      <c r="E1004" s="460" t="s">
        <v>8</v>
      </c>
      <c r="F1004" s="462"/>
      <c r="G1004" s="462" t="s">
        <v>3728</v>
      </c>
      <c r="H1004" s="460"/>
      <c r="J1004" s="277"/>
      <c r="K1004" s="277"/>
      <c r="L1004" s="277"/>
      <c r="M1004" s="277"/>
      <c r="N1004" s="277"/>
      <c r="O1004" s="277"/>
      <c r="P1004" s="277"/>
      <c r="Q1004" s="277"/>
      <c r="R1004" s="277"/>
      <c r="S1004" s="277"/>
    </row>
    <row r="1005" spans="1:19" s="2" customFormat="1" ht="37.5" customHeight="1">
      <c r="A1005" s="460">
        <v>14</v>
      </c>
      <c r="B1005" s="461" t="s">
        <v>1036</v>
      </c>
      <c r="C1005" s="460"/>
      <c r="D1005" s="460" t="s">
        <v>10</v>
      </c>
      <c r="E1005" s="460"/>
      <c r="F1005" s="462"/>
      <c r="G1005" s="462" t="s">
        <v>3728</v>
      </c>
      <c r="H1005" s="460"/>
      <c r="J1005" s="277"/>
      <c r="K1005" s="277"/>
      <c r="L1005" s="277"/>
      <c r="M1005" s="277"/>
      <c r="N1005" s="277"/>
      <c r="O1005" s="277"/>
      <c r="P1005" s="277"/>
      <c r="Q1005" s="277"/>
      <c r="R1005" s="277"/>
      <c r="S1005" s="277"/>
    </row>
    <row r="1006" spans="1:19" s="2" customFormat="1" ht="37.5" customHeight="1">
      <c r="A1006" s="460">
        <v>15</v>
      </c>
      <c r="B1006" s="461" t="s">
        <v>1037</v>
      </c>
      <c r="C1006" s="460"/>
      <c r="D1006" s="460" t="s">
        <v>10</v>
      </c>
      <c r="E1006" s="460" t="s">
        <v>34</v>
      </c>
      <c r="F1006" s="462"/>
      <c r="G1006" s="462" t="s">
        <v>3728</v>
      </c>
      <c r="H1006" s="460"/>
      <c r="J1006" s="277"/>
      <c r="K1006" s="277"/>
      <c r="L1006" s="277"/>
      <c r="M1006" s="277"/>
      <c r="N1006" s="277"/>
      <c r="O1006" s="277"/>
      <c r="P1006" s="277"/>
      <c r="Q1006" s="277"/>
      <c r="R1006" s="277"/>
      <c r="S1006" s="277"/>
    </row>
    <row r="1007" spans="1:19" s="2" customFormat="1" ht="37.5" customHeight="1">
      <c r="A1007" s="460">
        <v>16</v>
      </c>
      <c r="B1007" s="461" t="s">
        <v>1043</v>
      </c>
      <c r="C1007" s="460" t="s">
        <v>33</v>
      </c>
      <c r="D1007" s="460" t="s">
        <v>10</v>
      </c>
      <c r="E1007" s="460" t="s">
        <v>11</v>
      </c>
      <c r="F1007" s="462"/>
      <c r="G1007" s="462" t="s">
        <v>3729</v>
      </c>
      <c r="H1007" s="460"/>
      <c r="J1007" s="277"/>
      <c r="K1007" s="277"/>
      <c r="L1007" s="277"/>
      <c r="M1007" s="277"/>
      <c r="N1007" s="277"/>
      <c r="O1007" s="277"/>
      <c r="P1007" s="277"/>
      <c r="Q1007" s="277"/>
      <c r="R1007" s="277"/>
      <c r="S1007" s="277"/>
    </row>
    <row r="1008" spans="1:19" s="2" customFormat="1">
      <c r="B1008" s="3"/>
      <c r="F1008" s="4"/>
      <c r="G1008" s="4"/>
      <c r="J1008" s="277"/>
      <c r="K1008" s="277"/>
      <c r="L1008" s="277"/>
      <c r="M1008" s="277"/>
      <c r="N1008" s="277"/>
      <c r="O1008" s="277"/>
      <c r="P1008" s="277"/>
      <c r="Q1008" s="277"/>
      <c r="R1008" s="277"/>
      <c r="S1008" s="277"/>
    </row>
    <row r="1009" spans="1:43" s="2" customFormat="1" ht="19.5" customHeight="1">
      <c r="B1009" s="3"/>
      <c r="F1009" s="4"/>
      <c r="G1009" s="4"/>
      <c r="J1009" s="277"/>
      <c r="K1009" s="277"/>
      <c r="L1009" s="277"/>
      <c r="M1009" s="277"/>
      <c r="N1009" s="277"/>
      <c r="O1009" s="277"/>
      <c r="P1009" s="277"/>
      <c r="Q1009" s="277"/>
      <c r="R1009" s="277"/>
      <c r="S1009" s="277"/>
    </row>
    <row r="1010" spans="1:43" s="2" customFormat="1" ht="27.75" customHeight="1">
      <c r="A1010" s="678" t="s">
        <v>3716</v>
      </c>
      <c r="B1010" s="678"/>
      <c r="C1010" s="678"/>
      <c r="D1010" s="678"/>
      <c r="E1010" s="678"/>
      <c r="F1010" s="678"/>
      <c r="G1010" s="678"/>
      <c r="H1010" s="678"/>
      <c r="J1010" s="277"/>
      <c r="K1010" s="277"/>
      <c r="L1010" s="277"/>
      <c r="M1010" s="277"/>
      <c r="N1010" s="277"/>
      <c r="O1010" s="277"/>
      <c r="P1010" s="277"/>
      <c r="Q1010" s="277"/>
      <c r="R1010" s="277"/>
      <c r="S1010" s="277"/>
    </row>
    <row r="1011" spans="1:43" s="2" customFormat="1" ht="33">
      <c r="A1011" s="465">
        <v>1</v>
      </c>
      <c r="B1011" s="466" t="s">
        <v>838</v>
      </c>
      <c r="C1011" s="465" t="s">
        <v>15</v>
      </c>
      <c r="D1011" s="465" t="s">
        <v>7</v>
      </c>
      <c r="E1011" s="465" t="s">
        <v>8</v>
      </c>
      <c r="F1011" s="467">
        <v>190</v>
      </c>
      <c r="G1011" s="467">
        <f>F1011</f>
        <v>190</v>
      </c>
      <c r="H1011" s="465" t="s">
        <v>1044</v>
      </c>
      <c r="I1011" s="6"/>
      <c r="J1011" s="278"/>
      <c r="K1011" s="278"/>
      <c r="L1011" s="277"/>
      <c r="M1011" s="277"/>
      <c r="N1011" s="277"/>
      <c r="O1011" s="277"/>
      <c r="P1011" s="277"/>
      <c r="Q1011" s="277"/>
      <c r="R1011" s="277"/>
      <c r="S1011" s="277"/>
    </row>
    <row r="1012" spans="1:43" s="6" customFormat="1">
      <c r="A1012" s="465">
        <v>2</v>
      </c>
      <c r="B1012" s="466" t="s">
        <v>623</v>
      </c>
      <c r="C1012" s="465"/>
      <c r="D1012" s="465"/>
      <c r="E1012" s="468" t="s">
        <v>8</v>
      </c>
      <c r="F1012" s="469">
        <v>180</v>
      </c>
      <c r="G1012" s="467">
        <f>F1012</f>
        <v>180</v>
      </c>
      <c r="H1012" s="465" t="s">
        <v>1044</v>
      </c>
      <c r="J1012" s="278"/>
      <c r="K1012" s="278"/>
      <c r="L1012" s="278"/>
      <c r="M1012" s="278"/>
      <c r="N1012" s="278"/>
      <c r="O1012" s="278"/>
      <c r="P1012" s="278"/>
      <c r="Q1012" s="278"/>
      <c r="R1012" s="278"/>
      <c r="S1012" s="278"/>
    </row>
    <row r="1013" spans="1:43" s="2" customFormat="1">
      <c r="A1013" s="465">
        <v>3</v>
      </c>
      <c r="B1013" s="466" t="s">
        <v>399</v>
      </c>
      <c r="C1013" s="465"/>
      <c r="D1013" s="465"/>
      <c r="E1013" s="465"/>
      <c r="F1013" s="470">
        <v>180</v>
      </c>
      <c r="G1013" s="467">
        <f>F1013</f>
        <v>180</v>
      </c>
      <c r="H1013" s="465" t="s">
        <v>1044</v>
      </c>
      <c r="I1013" s="6"/>
      <c r="J1013" s="278"/>
      <c r="K1013" s="278"/>
      <c r="L1013" s="277"/>
      <c r="M1013" s="277"/>
      <c r="N1013" s="277"/>
      <c r="O1013" s="277"/>
      <c r="P1013" s="277"/>
      <c r="Q1013" s="277"/>
      <c r="R1013" s="277"/>
      <c r="S1013" s="277"/>
    </row>
    <row r="1014" spans="1:43" s="2" customFormat="1" ht="18" customHeight="1">
      <c r="A1014" s="465">
        <v>4</v>
      </c>
      <c r="B1014" s="466" t="s">
        <v>707</v>
      </c>
      <c r="C1014" s="465"/>
      <c r="D1014" s="465"/>
      <c r="E1014" s="465"/>
      <c r="F1014" s="470">
        <v>180</v>
      </c>
      <c r="G1014" s="467">
        <f>F1014</f>
        <v>180</v>
      </c>
      <c r="H1014" s="465" t="s">
        <v>1044</v>
      </c>
      <c r="I1014" s="6"/>
      <c r="J1014" s="278"/>
      <c r="K1014" s="278"/>
      <c r="L1014" s="277"/>
      <c r="M1014" s="277"/>
      <c r="N1014" s="277"/>
      <c r="O1014" s="277"/>
      <c r="P1014" s="277"/>
      <c r="Q1014" s="277"/>
      <c r="R1014" s="277"/>
      <c r="S1014" s="277"/>
    </row>
    <row r="1015" spans="1:43" s="2" customFormat="1" ht="33">
      <c r="A1015" s="465">
        <v>5</v>
      </c>
      <c r="B1015" s="466" t="s">
        <v>396</v>
      </c>
      <c r="C1015" s="465" t="s">
        <v>14</v>
      </c>
      <c r="D1015" s="465" t="s">
        <v>7</v>
      </c>
      <c r="E1015" s="465" t="s">
        <v>8</v>
      </c>
      <c r="F1015" s="471">
        <v>180</v>
      </c>
      <c r="G1015" s="467">
        <v>180</v>
      </c>
      <c r="H1015" s="465" t="s">
        <v>1044</v>
      </c>
      <c r="I1015" s="6"/>
      <c r="J1015" s="278"/>
      <c r="K1015" s="278"/>
      <c r="L1015" s="277"/>
      <c r="M1015" s="277"/>
      <c r="N1015" s="277"/>
      <c r="O1015" s="277"/>
      <c r="P1015" s="277"/>
      <c r="Q1015" s="277"/>
      <c r="R1015" s="277"/>
      <c r="S1015" s="277"/>
    </row>
    <row r="1016" spans="1:43" s="2" customFormat="1" ht="33">
      <c r="A1016" s="465">
        <v>6</v>
      </c>
      <c r="B1016" s="466" t="s">
        <v>540</v>
      </c>
      <c r="C1016" s="465" t="s">
        <v>18</v>
      </c>
      <c r="D1016" s="465" t="s">
        <v>7</v>
      </c>
      <c r="E1016" s="472" t="s">
        <v>8</v>
      </c>
      <c r="F1016" s="467">
        <v>215</v>
      </c>
      <c r="G1016" s="467">
        <f t="shared" ref="G1016:G1018" si="23">F1016</f>
        <v>215</v>
      </c>
      <c r="H1016" s="465" t="s">
        <v>1044</v>
      </c>
      <c r="I1016" s="6"/>
      <c r="J1016" s="278"/>
      <c r="K1016" s="278"/>
      <c r="L1016" s="277"/>
      <c r="M1016" s="277"/>
      <c r="N1016" s="277"/>
      <c r="O1016" s="277"/>
      <c r="P1016" s="277"/>
      <c r="Q1016" s="277"/>
      <c r="R1016" s="277"/>
      <c r="S1016" s="277"/>
    </row>
    <row r="1017" spans="1:43" s="2" customFormat="1">
      <c r="A1017" s="465">
        <v>7</v>
      </c>
      <c r="B1017" s="466" t="s">
        <v>335</v>
      </c>
      <c r="C1017" s="465"/>
      <c r="D1017" s="465" t="s">
        <v>7</v>
      </c>
      <c r="E1017" s="472" t="s">
        <v>8</v>
      </c>
      <c r="F1017" s="467">
        <v>260</v>
      </c>
      <c r="G1017" s="467">
        <f t="shared" si="23"/>
        <v>260</v>
      </c>
      <c r="H1017" s="465" t="s">
        <v>1044</v>
      </c>
      <c r="I1017" s="6"/>
      <c r="J1017" s="278"/>
      <c r="K1017" s="278"/>
      <c r="L1017" s="277"/>
      <c r="M1017" s="277"/>
      <c r="N1017" s="277"/>
      <c r="O1017" s="277"/>
      <c r="P1017" s="277"/>
      <c r="Q1017" s="277"/>
      <c r="R1017" s="277"/>
      <c r="S1017" s="277"/>
    </row>
    <row r="1018" spans="1:43" s="6" customFormat="1" ht="33">
      <c r="A1018" s="465">
        <v>8</v>
      </c>
      <c r="B1018" s="466" t="s">
        <v>631</v>
      </c>
      <c r="C1018" s="465" t="s">
        <v>15</v>
      </c>
      <c r="D1018" s="465" t="s">
        <v>7</v>
      </c>
      <c r="E1018" s="465" t="s">
        <v>8</v>
      </c>
      <c r="F1018" s="467">
        <v>274</v>
      </c>
      <c r="G1018" s="467">
        <f t="shared" si="23"/>
        <v>274</v>
      </c>
      <c r="H1018" s="465" t="s">
        <v>1044</v>
      </c>
      <c r="J1018" s="278"/>
      <c r="K1018" s="278"/>
      <c r="L1018" s="278"/>
      <c r="M1018" s="278"/>
      <c r="N1018" s="278"/>
      <c r="O1018" s="278"/>
      <c r="P1018" s="278"/>
      <c r="Q1018" s="278"/>
      <c r="R1018" s="278"/>
      <c r="S1018" s="278"/>
    </row>
    <row r="1019" spans="1:43">
      <c r="A1019" s="465">
        <v>9</v>
      </c>
      <c r="B1019" s="466" t="s">
        <v>522</v>
      </c>
      <c r="C1019" s="465" t="s">
        <v>18</v>
      </c>
      <c r="D1019" s="465" t="s">
        <v>7</v>
      </c>
      <c r="E1019" s="465" t="s">
        <v>8</v>
      </c>
      <c r="F1019" s="467">
        <v>220</v>
      </c>
      <c r="G1019" s="467">
        <v>220</v>
      </c>
      <c r="H1019" s="465" t="s">
        <v>1044</v>
      </c>
      <c r="I1019" s="6"/>
      <c r="J1019" s="278"/>
      <c r="K1019" s="278"/>
    </row>
    <row r="1020" spans="1:43">
      <c r="A1020" s="465">
        <v>10</v>
      </c>
      <c r="B1020" s="466" t="s">
        <v>201</v>
      </c>
      <c r="C1020" s="465"/>
      <c r="D1020" s="465"/>
      <c r="E1020" s="468" t="s">
        <v>8</v>
      </c>
      <c r="F1020" s="467">
        <v>220</v>
      </c>
      <c r="G1020" s="473">
        <v>220</v>
      </c>
      <c r="H1020" s="465" t="s">
        <v>1044</v>
      </c>
      <c r="I1020" s="6"/>
      <c r="J1020" s="278"/>
      <c r="K1020" s="278"/>
    </row>
    <row r="1021" spans="1:43" s="6" customFormat="1">
      <c r="A1021" s="465">
        <v>11</v>
      </c>
      <c r="B1021" s="466" t="s">
        <v>979</v>
      </c>
      <c r="C1021" s="465"/>
      <c r="D1021" s="465"/>
      <c r="E1021" s="468" t="s">
        <v>8</v>
      </c>
      <c r="F1021" s="467">
        <v>220</v>
      </c>
      <c r="G1021" s="473">
        <v>220</v>
      </c>
      <c r="H1021" s="465" t="s">
        <v>1044</v>
      </c>
      <c r="J1021" s="278"/>
      <c r="K1021" s="278"/>
      <c r="L1021" s="278"/>
      <c r="M1021" s="278"/>
      <c r="N1021" s="278"/>
      <c r="O1021" s="278"/>
      <c r="P1021" s="278"/>
      <c r="Q1021" s="278"/>
      <c r="R1021" s="278"/>
      <c r="S1021" s="278"/>
    </row>
    <row r="1022" spans="1:43">
      <c r="A1022" s="465">
        <v>12</v>
      </c>
      <c r="B1022" s="466" t="s">
        <v>422</v>
      </c>
      <c r="C1022" s="465"/>
      <c r="D1022" s="465"/>
      <c r="E1022" s="472" t="s">
        <v>8</v>
      </c>
      <c r="F1022" s="467">
        <v>215</v>
      </c>
      <c r="G1022" s="467">
        <v>215</v>
      </c>
      <c r="H1022" s="465" t="s">
        <v>1044</v>
      </c>
      <c r="I1022" s="6"/>
      <c r="J1022" s="278"/>
      <c r="K1022" s="278"/>
    </row>
    <row r="1023" spans="1:43" s="5" customFormat="1">
      <c r="A1023" s="465">
        <v>13</v>
      </c>
      <c r="B1023" s="466" t="s">
        <v>1003</v>
      </c>
      <c r="C1023" s="465"/>
      <c r="D1023" s="465" t="s">
        <v>7</v>
      </c>
      <c r="E1023" s="472" t="s">
        <v>8</v>
      </c>
      <c r="F1023" s="467">
        <v>180</v>
      </c>
      <c r="G1023" s="467">
        <v>180</v>
      </c>
      <c r="H1023" s="465" t="s">
        <v>1044</v>
      </c>
      <c r="I1023" s="6"/>
      <c r="J1023" s="278"/>
      <c r="K1023" s="278"/>
      <c r="L1023" s="278"/>
      <c r="M1023" s="278"/>
      <c r="N1023" s="278"/>
      <c r="O1023" s="278"/>
      <c r="P1023" s="278"/>
      <c r="Q1023" s="278"/>
      <c r="R1023" s="278"/>
      <c r="S1023" s="278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</row>
    <row r="1024" spans="1:43">
      <c r="A1024" s="465">
        <v>14</v>
      </c>
      <c r="B1024" s="466" t="s">
        <v>613</v>
      </c>
      <c r="C1024" s="465"/>
      <c r="D1024" s="465"/>
      <c r="E1024" s="472" t="s">
        <v>8</v>
      </c>
      <c r="F1024" s="467">
        <v>180</v>
      </c>
      <c r="G1024" s="467">
        <v>180</v>
      </c>
      <c r="H1024" s="465" t="s">
        <v>1044</v>
      </c>
      <c r="I1024" s="6"/>
      <c r="J1024" s="278"/>
      <c r="K1024" s="278"/>
    </row>
    <row r="1025" spans="1:43" s="5" customFormat="1">
      <c r="A1025" s="465">
        <v>15</v>
      </c>
      <c r="B1025" s="466" t="s">
        <v>70</v>
      </c>
      <c r="C1025" s="465" t="s">
        <v>16</v>
      </c>
      <c r="D1025" s="465" t="s">
        <v>7</v>
      </c>
      <c r="E1025" s="465" t="s">
        <v>8</v>
      </c>
      <c r="F1025" s="467">
        <v>180</v>
      </c>
      <c r="G1025" s="467">
        <v>180</v>
      </c>
      <c r="H1025" s="465" t="s">
        <v>1044</v>
      </c>
      <c r="I1025" s="6"/>
      <c r="J1025" s="278"/>
      <c r="K1025" s="278"/>
      <c r="L1025" s="278"/>
      <c r="M1025" s="278"/>
      <c r="N1025" s="278"/>
      <c r="O1025" s="278"/>
      <c r="P1025" s="278"/>
      <c r="Q1025" s="278"/>
      <c r="R1025" s="278"/>
      <c r="S1025" s="278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</row>
    <row r="1026" spans="1:43" s="6" customFormat="1" ht="33">
      <c r="A1026" s="465">
        <v>16</v>
      </c>
      <c r="B1026" s="466" t="s">
        <v>175</v>
      </c>
      <c r="C1026" s="465" t="s">
        <v>6</v>
      </c>
      <c r="D1026" s="465" t="s">
        <v>7</v>
      </c>
      <c r="E1026" s="465" t="s">
        <v>8</v>
      </c>
      <c r="F1026" s="471">
        <v>220</v>
      </c>
      <c r="G1026" s="467">
        <f>F1026</f>
        <v>220</v>
      </c>
      <c r="H1026" s="465" t="s">
        <v>1044</v>
      </c>
      <c r="J1026" s="278"/>
      <c r="K1026" s="278"/>
      <c r="L1026" s="278"/>
      <c r="M1026" s="278"/>
      <c r="N1026" s="278"/>
      <c r="O1026" s="278"/>
      <c r="P1026" s="278"/>
      <c r="Q1026" s="278"/>
      <c r="R1026" s="278"/>
      <c r="S1026" s="278"/>
    </row>
    <row r="1027" spans="1:43" s="2" customFormat="1" ht="17.25" customHeight="1">
      <c r="A1027" s="465"/>
      <c r="B1027" s="466"/>
      <c r="C1027" s="465"/>
      <c r="D1027" s="474" t="s">
        <v>1045</v>
      </c>
      <c r="E1027" s="472"/>
      <c r="F1027" s="467"/>
      <c r="G1027" s="529">
        <f>SUM(G1011:G1026)</f>
        <v>3294</v>
      </c>
      <c r="H1027" s="467"/>
      <c r="I1027" s="6"/>
      <c r="J1027" s="278"/>
      <c r="K1027" s="278"/>
      <c r="L1027" s="277"/>
      <c r="M1027" s="277"/>
      <c r="N1027" s="277"/>
      <c r="O1027" s="277"/>
      <c r="P1027" s="277"/>
      <c r="Q1027" s="277"/>
      <c r="R1027" s="277"/>
      <c r="S1027" s="277"/>
    </row>
    <row r="1028" spans="1:43" s="2" customFormat="1" ht="17.25" customHeight="1">
      <c r="A1028" s="6"/>
      <c r="B1028" s="260"/>
      <c r="C1028" s="6"/>
      <c r="D1028" s="6"/>
      <c r="E1028" s="261"/>
      <c r="F1028" s="7"/>
      <c r="G1028" s="7"/>
      <c r="H1028" s="7"/>
      <c r="I1028" s="6"/>
      <c r="J1028" s="278"/>
      <c r="K1028" s="278"/>
      <c r="L1028" s="277"/>
      <c r="M1028" s="277"/>
      <c r="N1028" s="277"/>
      <c r="O1028" s="277"/>
      <c r="P1028" s="277"/>
      <c r="Q1028" s="277"/>
      <c r="R1028" s="277"/>
      <c r="S1028" s="277"/>
    </row>
    <row r="1029" spans="1:43" s="8" customFormat="1" ht="27" customHeight="1">
      <c r="A1029" s="256"/>
      <c r="B1029" s="257"/>
      <c r="C1029" s="385"/>
      <c r="D1029" s="386"/>
      <c r="E1029" s="387" t="s">
        <v>3685</v>
      </c>
      <c r="F1029" s="388"/>
      <c r="G1029" s="389">
        <f>SUM(G895,G985)</f>
        <v>198683.7</v>
      </c>
      <c r="H1029" s="390"/>
      <c r="J1029" s="228"/>
      <c r="K1029" s="228"/>
      <c r="L1029" s="228"/>
      <c r="M1029" s="228"/>
      <c r="N1029" s="228"/>
      <c r="O1029" s="228"/>
      <c r="P1029" s="228"/>
      <c r="Q1029" s="228"/>
      <c r="R1029" s="228"/>
      <c r="S1029" s="228"/>
    </row>
    <row r="1030" spans="1:43" s="8" customFormat="1">
      <c r="B1030" s="11"/>
      <c r="F1030" s="10"/>
      <c r="G1030" s="10"/>
      <c r="J1030" s="228"/>
      <c r="K1030" s="228"/>
      <c r="L1030" s="228"/>
      <c r="M1030" s="228"/>
      <c r="N1030" s="228"/>
      <c r="O1030" s="228"/>
      <c r="P1030" s="228"/>
      <c r="Q1030" s="228"/>
      <c r="R1030" s="228"/>
      <c r="S1030" s="228"/>
    </row>
    <row r="1031" spans="1:43" s="8" customFormat="1">
      <c r="B1031" s="11"/>
      <c r="F1031" s="10"/>
      <c r="G1031" s="10"/>
      <c r="J1031" s="228"/>
      <c r="K1031" s="228"/>
      <c r="L1031" s="228"/>
      <c r="M1031" s="228"/>
      <c r="N1031" s="228"/>
      <c r="O1031" s="228"/>
      <c r="P1031" s="228"/>
      <c r="Q1031" s="228"/>
      <c r="R1031" s="228"/>
      <c r="S1031" s="228"/>
    </row>
    <row r="1032" spans="1:43">
      <c r="A1032" s="2"/>
      <c r="B1032" s="3"/>
      <c r="C1032" s="2"/>
      <c r="D1032" s="2"/>
      <c r="E1032" s="2"/>
      <c r="F1032" s="4"/>
      <c r="G1032" s="4"/>
      <c r="H1032" s="2"/>
    </row>
    <row r="1033" spans="1:43">
      <c r="A1033" s="2"/>
      <c r="B1033" s="3"/>
      <c r="C1033" s="2"/>
      <c r="D1033" s="2"/>
      <c r="E1033" s="2"/>
      <c r="F1033" s="4"/>
      <c r="G1033" s="4"/>
      <c r="H1033" s="2"/>
    </row>
    <row r="1034" spans="1:43" ht="34.5" customHeight="1">
      <c r="A1034" s="2"/>
      <c r="B1034" s="48"/>
      <c r="C1034" s="17"/>
      <c r="D1034" s="17"/>
      <c r="E1034" s="17"/>
      <c r="F1034" s="18"/>
      <c r="G1034" s="47">
        <f>SUM(G992:G1029)</f>
        <v>205271.7</v>
      </c>
    </row>
    <row r="1035" spans="1:43" ht="29.25" customHeight="1">
      <c r="A1035" s="2"/>
      <c r="B1035" s="48"/>
      <c r="C1035" s="17"/>
      <c r="D1035" s="17"/>
      <c r="E1035" s="17"/>
      <c r="F1035" s="18"/>
      <c r="G1035" s="4"/>
    </row>
    <row r="1036" spans="1:43">
      <c r="A1036" s="2"/>
      <c r="B1036" s="3"/>
      <c r="C1036" s="2"/>
      <c r="D1036" s="2"/>
      <c r="E1036" s="2"/>
      <c r="F1036" s="4"/>
      <c r="G1036" s="4"/>
    </row>
    <row r="1037" spans="1:43">
      <c r="A1037" s="2"/>
      <c r="B1037" s="3"/>
      <c r="C1037" s="2"/>
      <c r="D1037" s="2"/>
      <c r="E1037" s="2"/>
      <c r="F1037" s="4"/>
      <c r="G1037" s="4"/>
    </row>
    <row r="1038" spans="1:43">
      <c r="A1038" s="2"/>
      <c r="B1038" s="3"/>
      <c r="C1038" s="2"/>
      <c r="D1038" s="2"/>
      <c r="E1038" s="2"/>
      <c r="F1038" s="4"/>
      <c r="G1038" s="4"/>
    </row>
    <row r="1039" spans="1:43">
      <c r="G1039" s="4"/>
    </row>
    <row r="1040" spans="1:43">
      <c r="G1040" s="4"/>
    </row>
    <row r="1041" spans="7:7">
      <c r="G1041" s="4"/>
    </row>
    <row r="1042" spans="7:7">
      <c r="G1042" s="4"/>
    </row>
    <row r="1043" spans="7:7">
      <c r="G1043" s="4"/>
    </row>
    <row r="1044" spans="7:7">
      <c r="G1044" s="4"/>
    </row>
    <row r="1045" spans="7:7">
      <c r="G1045" s="4"/>
    </row>
    <row r="1046" spans="7:7">
      <c r="G1046" s="4"/>
    </row>
    <row r="1047" spans="7:7">
      <c r="G1047" s="4"/>
    </row>
    <row r="1048" spans="7:7">
      <c r="G1048" s="4"/>
    </row>
    <row r="1049" spans="7:7">
      <c r="G1049" s="4"/>
    </row>
    <row r="1050" spans="7:7">
      <c r="G1050" s="4"/>
    </row>
    <row r="1051" spans="7:7">
      <c r="G1051" s="4"/>
    </row>
    <row r="1052" spans="7:7">
      <c r="G1052" s="4"/>
    </row>
    <row r="1053" spans="7:7">
      <c r="G1053" s="4"/>
    </row>
  </sheetData>
  <autoFilter ref="A20:G1034" xr:uid="{00000000-0009-0000-0000-000000000000}"/>
  <sortState xmlns:xlrd2="http://schemas.microsoft.com/office/spreadsheetml/2017/richdata2" ref="A854:AQ894">
    <sortCondition ref="G854:G894"/>
  </sortState>
  <mergeCells count="6">
    <mergeCell ref="A1010:H1010"/>
    <mergeCell ref="B1:G1"/>
    <mergeCell ref="B10:H10"/>
    <mergeCell ref="A19:H19"/>
    <mergeCell ref="A897:H897"/>
    <mergeCell ref="A991:H991"/>
  </mergeCells>
  <pageMargins left="0.75" right="0.75" top="1" bottom="1" header="0.5" footer="0.5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0DAD-C292-4EFE-86BC-1E8D504BEA42}">
  <sheetPr>
    <tabColor rgb="FFFF0000"/>
  </sheetPr>
  <dimension ref="A1:J323"/>
  <sheetViews>
    <sheetView showGridLines="0" topLeftCell="A293" workbookViewId="0">
      <selection activeCell="B119" sqref="B119"/>
    </sheetView>
  </sheetViews>
  <sheetFormatPr defaultRowHeight="15"/>
  <cols>
    <col min="1" max="1" width="7.7109375" customWidth="1"/>
    <col min="2" max="2" width="23.7109375" customWidth="1"/>
    <col min="3" max="3" width="15" customWidth="1"/>
    <col min="4" max="4" width="19" customWidth="1"/>
    <col min="5" max="5" width="15" customWidth="1"/>
    <col min="7" max="7" width="35.85546875" customWidth="1"/>
    <col min="8" max="8" width="10.5703125" bestFit="1" customWidth="1"/>
    <col min="9" max="9" width="11.5703125" customWidth="1"/>
  </cols>
  <sheetData>
    <row r="1" spans="1:10" ht="37.5" customHeight="1">
      <c r="A1" s="693" t="s">
        <v>4791</v>
      </c>
      <c r="B1" s="693"/>
      <c r="C1" s="693"/>
      <c r="D1" s="693"/>
      <c r="E1" s="693"/>
      <c r="F1" s="693"/>
      <c r="G1" s="693"/>
      <c r="H1" s="693"/>
      <c r="I1" s="693"/>
      <c r="J1" s="693"/>
    </row>
    <row r="3" spans="1:10" ht="45">
      <c r="A3" s="540" t="s">
        <v>4788</v>
      </c>
      <c r="B3" s="541" t="s">
        <v>4464</v>
      </c>
      <c r="C3" s="542" t="s">
        <v>4786</v>
      </c>
      <c r="D3" s="543" t="s">
        <v>4787</v>
      </c>
      <c r="E3" s="541" t="s">
        <v>4465</v>
      </c>
      <c r="G3" s="690" t="s">
        <v>4789</v>
      </c>
      <c r="H3" s="691"/>
      <c r="I3" s="691"/>
      <c r="J3" s="692"/>
    </row>
    <row r="4" spans="1:10" ht="18.75" customHeight="1">
      <c r="A4" s="491">
        <v>1</v>
      </c>
      <c r="B4" s="491" t="s">
        <v>4466</v>
      </c>
      <c r="C4" s="492">
        <v>132</v>
      </c>
      <c r="D4" s="492">
        <v>132</v>
      </c>
      <c r="E4" s="492">
        <f t="shared" ref="E4:E67" si="0">C4-D4</f>
        <v>0</v>
      </c>
      <c r="G4" s="309" t="s">
        <v>3704</v>
      </c>
      <c r="H4" s="310" t="s">
        <v>3730</v>
      </c>
      <c r="I4" s="310" t="s">
        <v>3730</v>
      </c>
      <c r="J4" s="310" t="s">
        <v>3730</v>
      </c>
    </row>
    <row r="5" spans="1:10" ht="27" customHeight="1">
      <c r="A5" s="491">
        <v>2</v>
      </c>
      <c r="B5" s="491" t="s">
        <v>4467</v>
      </c>
      <c r="C5" s="492">
        <v>190</v>
      </c>
      <c r="D5" s="492">
        <v>180</v>
      </c>
      <c r="E5" s="492">
        <f t="shared" si="0"/>
        <v>10</v>
      </c>
      <c r="G5" s="494" t="s">
        <v>4452</v>
      </c>
      <c r="H5" s="495">
        <f>C323</f>
        <v>68490</v>
      </c>
      <c r="I5" s="294"/>
      <c r="J5" s="54"/>
    </row>
    <row r="6" spans="1:10" ht="21" customHeight="1">
      <c r="A6" s="491">
        <v>3</v>
      </c>
      <c r="B6" s="491" t="s">
        <v>4468</v>
      </c>
      <c r="C6" s="492">
        <v>190</v>
      </c>
      <c r="D6" s="492">
        <v>180</v>
      </c>
      <c r="E6" s="492">
        <f t="shared" si="0"/>
        <v>10</v>
      </c>
      <c r="G6" s="494" t="s">
        <v>4797</v>
      </c>
      <c r="H6" s="496">
        <f>D323</f>
        <v>64764</v>
      </c>
      <c r="I6" s="54"/>
      <c r="J6" s="54"/>
    </row>
    <row r="7" spans="1:10" ht="22.5" customHeight="1">
      <c r="A7" s="491">
        <v>4</v>
      </c>
      <c r="B7" s="491" t="s">
        <v>4469</v>
      </c>
      <c r="C7" s="492">
        <v>190</v>
      </c>
      <c r="D7" s="492">
        <v>180</v>
      </c>
      <c r="E7" s="492">
        <f t="shared" si="0"/>
        <v>10</v>
      </c>
      <c r="G7" s="497" t="s">
        <v>4790</v>
      </c>
      <c r="H7" s="498"/>
      <c r="I7" s="499">
        <f>H5-H6</f>
        <v>3726</v>
      </c>
      <c r="J7" s="500"/>
    </row>
    <row r="8" spans="1:10" ht="32.25">
      <c r="A8" s="491">
        <v>5</v>
      </c>
      <c r="B8" s="491" t="s">
        <v>4470</v>
      </c>
      <c r="C8" s="492">
        <v>190</v>
      </c>
      <c r="D8" s="492">
        <v>180</v>
      </c>
      <c r="E8" s="492">
        <f t="shared" si="0"/>
        <v>10</v>
      </c>
      <c r="G8" s="494" t="s">
        <v>4415</v>
      </c>
      <c r="H8" s="501">
        <v>60000</v>
      </c>
      <c r="I8" s="54"/>
      <c r="J8" s="54"/>
    </row>
    <row r="9" spans="1:10" ht="20.25" customHeight="1">
      <c r="A9" s="491">
        <v>6</v>
      </c>
      <c r="B9" s="491" t="s">
        <v>4471</v>
      </c>
      <c r="C9" s="492">
        <v>190</v>
      </c>
      <c r="D9" s="492">
        <v>180</v>
      </c>
      <c r="E9" s="492">
        <f t="shared" si="0"/>
        <v>10</v>
      </c>
      <c r="G9" s="515" t="s">
        <v>4807</v>
      </c>
      <c r="H9" s="516"/>
      <c r="I9" s="517">
        <f>H6-H8</f>
        <v>4764</v>
      </c>
      <c r="J9" s="54"/>
    </row>
    <row r="10" spans="1:10" ht="17.25">
      <c r="A10" s="491">
        <v>7</v>
      </c>
      <c r="B10" s="491" t="s">
        <v>4472</v>
      </c>
      <c r="C10" s="492">
        <v>190</v>
      </c>
      <c r="D10" s="492">
        <v>180</v>
      </c>
      <c r="E10" s="492">
        <f t="shared" si="0"/>
        <v>10</v>
      </c>
      <c r="G10" s="513"/>
      <c r="H10" s="61"/>
      <c r="I10" s="281"/>
      <c r="J10" s="514"/>
    </row>
    <row r="11" spans="1:10">
      <c r="A11" s="491">
        <v>8</v>
      </c>
      <c r="B11" s="491" t="s">
        <v>4473</v>
      </c>
      <c r="C11" s="492">
        <v>190</v>
      </c>
      <c r="D11" s="492">
        <v>180</v>
      </c>
      <c r="E11" s="492">
        <f t="shared" si="0"/>
        <v>10</v>
      </c>
      <c r="G11" s="97"/>
      <c r="H11" s="49"/>
      <c r="I11" s="502"/>
      <c r="J11" s="49"/>
    </row>
    <row r="12" spans="1:10">
      <c r="A12" s="491">
        <v>9</v>
      </c>
      <c r="B12" s="491" t="s">
        <v>4474</v>
      </c>
      <c r="C12" s="492">
        <v>190</v>
      </c>
      <c r="D12" s="492">
        <v>180</v>
      </c>
      <c r="E12" s="492">
        <f t="shared" si="0"/>
        <v>10</v>
      </c>
      <c r="G12" s="503"/>
      <c r="H12" s="290"/>
      <c r="I12" s="502"/>
      <c r="J12" s="49"/>
    </row>
    <row r="13" spans="1:10" ht="17.25">
      <c r="A13" s="491">
        <v>10</v>
      </c>
      <c r="B13" s="491" t="s">
        <v>4475</v>
      </c>
      <c r="C13" s="492">
        <v>190</v>
      </c>
      <c r="D13" s="492">
        <v>180</v>
      </c>
      <c r="E13" s="492">
        <f t="shared" si="0"/>
        <v>10</v>
      </c>
      <c r="G13" s="503"/>
      <c r="H13" s="504"/>
      <c r="I13" s="502"/>
      <c r="J13" s="49"/>
    </row>
    <row r="14" spans="1:10" ht="17.25">
      <c r="A14" s="491">
        <v>11</v>
      </c>
      <c r="B14" s="491" t="s">
        <v>4476</v>
      </c>
      <c r="C14" s="492">
        <v>190</v>
      </c>
      <c r="D14" s="492">
        <v>180</v>
      </c>
      <c r="E14" s="492">
        <f t="shared" si="0"/>
        <v>10</v>
      </c>
      <c r="G14" s="505"/>
      <c r="H14" s="49"/>
      <c r="I14" s="506"/>
      <c r="J14" s="49"/>
    </row>
    <row r="15" spans="1:10" ht="19.5" customHeight="1">
      <c r="A15" s="491">
        <v>12</v>
      </c>
      <c r="B15" s="491" t="s">
        <v>4477</v>
      </c>
      <c r="C15" s="492">
        <v>190</v>
      </c>
      <c r="D15" s="492">
        <v>180</v>
      </c>
      <c r="E15" s="492">
        <f t="shared" si="0"/>
        <v>10</v>
      </c>
      <c r="G15" s="507"/>
      <c r="H15" s="49"/>
      <c r="I15" s="508"/>
      <c r="J15" s="49"/>
    </row>
    <row r="16" spans="1:10" ht="17.25">
      <c r="A16" s="491">
        <v>13</v>
      </c>
      <c r="B16" s="491" t="s">
        <v>4478</v>
      </c>
      <c r="C16" s="492">
        <v>190</v>
      </c>
      <c r="D16" s="492">
        <v>180</v>
      </c>
      <c r="E16" s="492">
        <f t="shared" si="0"/>
        <v>10</v>
      </c>
      <c r="G16" s="509"/>
      <c r="H16" s="510"/>
      <c r="I16" s="511"/>
      <c r="J16" s="512"/>
    </row>
    <row r="17" spans="1:5">
      <c r="A17" s="491">
        <v>14</v>
      </c>
      <c r="B17" s="491" t="s">
        <v>4479</v>
      </c>
      <c r="C17" s="492">
        <v>190</v>
      </c>
      <c r="D17" s="492">
        <v>180</v>
      </c>
      <c r="E17" s="492">
        <f t="shared" si="0"/>
        <v>10</v>
      </c>
    </row>
    <row r="18" spans="1:5">
      <c r="A18" s="491">
        <v>15</v>
      </c>
      <c r="B18" s="491" t="s">
        <v>4480</v>
      </c>
      <c r="C18" s="492">
        <v>190</v>
      </c>
      <c r="D18" s="492">
        <v>180</v>
      </c>
      <c r="E18" s="492">
        <f t="shared" si="0"/>
        <v>10</v>
      </c>
    </row>
    <row r="19" spans="1:5">
      <c r="A19" s="491">
        <v>16</v>
      </c>
      <c r="B19" s="491" t="s">
        <v>4481</v>
      </c>
      <c r="C19" s="492">
        <v>190</v>
      </c>
      <c r="D19" s="492">
        <v>180</v>
      </c>
      <c r="E19" s="492">
        <f t="shared" si="0"/>
        <v>10</v>
      </c>
    </row>
    <row r="20" spans="1:5">
      <c r="A20" s="491">
        <v>17</v>
      </c>
      <c r="B20" s="491" t="s">
        <v>4482</v>
      </c>
      <c r="C20" s="492">
        <v>190</v>
      </c>
      <c r="D20" s="492">
        <v>180</v>
      </c>
      <c r="E20" s="492">
        <f t="shared" si="0"/>
        <v>10</v>
      </c>
    </row>
    <row r="21" spans="1:5">
      <c r="A21" s="491">
        <v>18</v>
      </c>
      <c r="B21" s="491" t="s">
        <v>4483</v>
      </c>
      <c r="C21" s="492">
        <v>190</v>
      </c>
      <c r="D21" s="492">
        <v>180</v>
      </c>
      <c r="E21" s="492">
        <f t="shared" si="0"/>
        <v>10</v>
      </c>
    </row>
    <row r="22" spans="1:5">
      <c r="A22" s="491">
        <v>19</v>
      </c>
      <c r="B22" s="491" t="s">
        <v>4484</v>
      </c>
      <c r="C22" s="492">
        <v>190</v>
      </c>
      <c r="D22" s="492">
        <v>180</v>
      </c>
      <c r="E22" s="492">
        <f t="shared" si="0"/>
        <v>10</v>
      </c>
    </row>
    <row r="23" spans="1:5">
      <c r="A23" s="491">
        <v>20</v>
      </c>
      <c r="B23" s="491" t="s">
        <v>4485</v>
      </c>
      <c r="C23" s="492">
        <v>190</v>
      </c>
      <c r="D23" s="492">
        <v>180</v>
      </c>
      <c r="E23" s="492">
        <f t="shared" si="0"/>
        <v>10</v>
      </c>
    </row>
    <row r="24" spans="1:5">
      <c r="A24" s="491">
        <v>21</v>
      </c>
      <c r="B24" s="491" t="s">
        <v>4486</v>
      </c>
      <c r="C24" s="492">
        <v>190</v>
      </c>
      <c r="D24" s="492">
        <v>180</v>
      </c>
      <c r="E24" s="492">
        <f t="shared" si="0"/>
        <v>10</v>
      </c>
    </row>
    <row r="25" spans="1:5">
      <c r="A25" s="491">
        <v>22</v>
      </c>
      <c r="B25" s="491" t="s">
        <v>4487</v>
      </c>
      <c r="C25" s="492">
        <v>190</v>
      </c>
      <c r="D25" s="492">
        <v>180</v>
      </c>
      <c r="E25" s="492">
        <f t="shared" si="0"/>
        <v>10</v>
      </c>
    </row>
    <row r="26" spans="1:5">
      <c r="A26" s="491">
        <v>23</v>
      </c>
      <c r="B26" s="491" t="s">
        <v>4488</v>
      </c>
      <c r="C26" s="492">
        <v>190</v>
      </c>
      <c r="D26" s="492">
        <v>180</v>
      </c>
      <c r="E26" s="492">
        <f t="shared" si="0"/>
        <v>10</v>
      </c>
    </row>
    <row r="27" spans="1:5">
      <c r="A27" s="491">
        <v>24</v>
      </c>
      <c r="B27" s="491" t="s">
        <v>4489</v>
      </c>
      <c r="C27" s="492">
        <v>190</v>
      </c>
      <c r="D27" s="492">
        <v>180</v>
      </c>
      <c r="E27" s="492">
        <f t="shared" si="0"/>
        <v>10</v>
      </c>
    </row>
    <row r="28" spans="1:5">
      <c r="A28" s="491">
        <v>25</v>
      </c>
      <c r="B28" s="491" t="s">
        <v>4490</v>
      </c>
      <c r="C28" s="492">
        <v>190</v>
      </c>
      <c r="D28" s="492">
        <v>180</v>
      </c>
      <c r="E28" s="492">
        <f t="shared" si="0"/>
        <v>10</v>
      </c>
    </row>
    <row r="29" spans="1:5">
      <c r="A29" s="491">
        <v>26</v>
      </c>
      <c r="B29" s="491" t="s">
        <v>4491</v>
      </c>
      <c r="C29" s="492">
        <v>190</v>
      </c>
      <c r="D29" s="492">
        <v>180</v>
      </c>
      <c r="E29" s="492">
        <f t="shared" si="0"/>
        <v>10</v>
      </c>
    </row>
    <row r="30" spans="1:5">
      <c r="A30" s="491">
        <v>27</v>
      </c>
      <c r="B30" s="491" t="s">
        <v>4492</v>
      </c>
      <c r="C30" s="492">
        <v>190</v>
      </c>
      <c r="D30" s="492">
        <v>180</v>
      </c>
      <c r="E30" s="492">
        <f t="shared" si="0"/>
        <v>10</v>
      </c>
    </row>
    <row r="31" spans="1:5">
      <c r="A31" s="491">
        <v>28</v>
      </c>
      <c r="B31" s="491" t="s">
        <v>4493</v>
      </c>
      <c r="C31" s="492">
        <v>190</v>
      </c>
      <c r="D31" s="492">
        <v>180</v>
      </c>
      <c r="E31" s="492">
        <f t="shared" si="0"/>
        <v>10</v>
      </c>
    </row>
    <row r="32" spans="1:5">
      <c r="A32" s="491">
        <v>29</v>
      </c>
      <c r="B32" s="491" t="s">
        <v>4494</v>
      </c>
      <c r="C32" s="492">
        <v>190</v>
      </c>
      <c r="D32" s="492">
        <v>180</v>
      </c>
      <c r="E32" s="492">
        <f t="shared" si="0"/>
        <v>10</v>
      </c>
    </row>
    <row r="33" spans="1:5">
      <c r="A33" s="491">
        <v>30</v>
      </c>
      <c r="B33" s="491" t="s">
        <v>4495</v>
      </c>
      <c r="C33" s="492">
        <v>190</v>
      </c>
      <c r="D33" s="492">
        <v>180</v>
      </c>
      <c r="E33" s="492">
        <f t="shared" si="0"/>
        <v>10</v>
      </c>
    </row>
    <row r="34" spans="1:5">
      <c r="A34" s="491">
        <v>31</v>
      </c>
      <c r="B34" s="491" t="s">
        <v>4496</v>
      </c>
      <c r="C34" s="492">
        <v>190</v>
      </c>
      <c r="D34" s="492">
        <v>180</v>
      </c>
      <c r="E34" s="492">
        <f t="shared" si="0"/>
        <v>10</v>
      </c>
    </row>
    <row r="35" spans="1:5">
      <c r="A35" s="491">
        <v>32</v>
      </c>
      <c r="B35" s="491" t="s">
        <v>4497</v>
      </c>
      <c r="C35" s="492">
        <v>190</v>
      </c>
      <c r="D35" s="492">
        <v>180</v>
      </c>
      <c r="E35" s="492">
        <f t="shared" si="0"/>
        <v>10</v>
      </c>
    </row>
    <row r="36" spans="1:5">
      <c r="A36" s="491">
        <v>33</v>
      </c>
      <c r="B36" s="491" t="s">
        <v>4498</v>
      </c>
      <c r="C36" s="492">
        <v>190</v>
      </c>
      <c r="D36" s="492">
        <v>180</v>
      </c>
      <c r="E36" s="492">
        <f t="shared" si="0"/>
        <v>10</v>
      </c>
    </row>
    <row r="37" spans="1:5">
      <c r="A37" s="491">
        <v>34</v>
      </c>
      <c r="B37" s="491" t="s">
        <v>4499</v>
      </c>
      <c r="C37" s="492">
        <v>190</v>
      </c>
      <c r="D37" s="492">
        <v>180</v>
      </c>
      <c r="E37" s="492">
        <f t="shared" si="0"/>
        <v>10</v>
      </c>
    </row>
    <row r="38" spans="1:5">
      <c r="A38" s="491">
        <v>35</v>
      </c>
      <c r="B38" s="491" t="s">
        <v>4500</v>
      </c>
      <c r="C38" s="492">
        <v>190</v>
      </c>
      <c r="D38" s="492">
        <v>180</v>
      </c>
      <c r="E38" s="492">
        <f t="shared" si="0"/>
        <v>10</v>
      </c>
    </row>
    <row r="39" spans="1:5">
      <c r="A39" s="491">
        <v>36</v>
      </c>
      <c r="B39" s="491" t="s">
        <v>4501</v>
      </c>
      <c r="C39" s="492">
        <v>190</v>
      </c>
      <c r="D39" s="492">
        <v>180</v>
      </c>
      <c r="E39" s="492">
        <f t="shared" si="0"/>
        <v>10</v>
      </c>
    </row>
    <row r="40" spans="1:5">
      <c r="A40" s="491">
        <v>37</v>
      </c>
      <c r="B40" s="491" t="s">
        <v>4502</v>
      </c>
      <c r="C40" s="492">
        <v>190</v>
      </c>
      <c r="D40" s="492">
        <v>180</v>
      </c>
      <c r="E40" s="492">
        <f t="shared" si="0"/>
        <v>10</v>
      </c>
    </row>
    <row r="41" spans="1:5">
      <c r="A41" s="491">
        <v>38</v>
      </c>
      <c r="B41" s="491" t="s">
        <v>4503</v>
      </c>
      <c r="C41" s="492">
        <v>190</v>
      </c>
      <c r="D41" s="492">
        <v>180</v>
      </c>
      <c r="E41" s="492">
        <f t="shared" si="0"/>
        <v>10</v>
      </c>
    </row>
    <row r="42" spans="1:5">
      <c r="A42" s="491">
        <v>39</v>
      </c>
      <c r="B42" s="491" t="s">
        <v>4504</v>
      </c>
      <c r="C42" s="492">
        <v>190</v>
      </c>
      <c r="D42" s="492">
        <v>180</v>
      </c>
      <c r="E42" s="492">
        <f t="shared" si="0"/>
        <v>10</v>
      </c>
    </row>
    <row r="43" spans="1:5">
      <c r="A43" s="491">
        <v>40</v>
      </c>
      <c r="B43" s="491" t="s">
        <v>4505</v>
      </c>
      <c r="C43" s="492">
        <v>190</v>
      </c>
      <c r="D43" s="492">
        <v>180</v>
      </c>
      <c r="E43" s="492">
        <f t="shared" si="0"/>
        <v>10</v>
      </c>
    </row>
    <row r="44" spans="1:5">
      <c r="A44" s="491">
        <v>41</v>
      </c>
      <c r="B44" s="491" t="s">
        <v>4506</v>
      </c>
      <c r="C44" s="492">
        <v>190</v>
      </c>
      <c r="D44" s="492">
        <v>180</v>
      </c>
      <c r="E44" s="492">
        <f t="shared" si="0"/>
        <v>10</v>
      </c>
    </row>
    <row r="45" spans="1:5">
      <c r="A45" s="491">
        <v>42</v>
      </c>
      <c r="B45" s="491" t="s">
        <v>4507</v>
      </c>
      <c r="C45" s="492">
        <v>190</v>
      </c>
      <c r="D45" s="492">
        <v>180</v>
      </c>
      <c r="E45" s="492">
        <f t="shared" si="0"/>
        <v>10</v>
      </c>
    </row>
    <row r="46" spans="1:5">
      <c r="A46" s="491">
        <v>43</v>
      </c>
      <c r="B46" s="491" t="s">
        <v>4508</v>
      </c>
      <c r="C46" s="492">
        <v>190</v>
      </c>
      <c r="D46" s="492">
        <v>180</v>
      </c>
      <c r="E46" s="492">
        <f t="shared" si="0"/>
        <v>10</v>
      </c>
    </row>
    <row r="47" spans="1:5">
      <c r="A47" s="491">
        <v>44</v>
      </c>
      <c r="B47" s="491" t="s">
        <v>4509</v>
      </c>
      <c r="C47" s="492">
        <v>190</v>
      </c>
      <c r="D47" s="492">
        <v>180</v>
      </c>
      <c r="E47" s="492">
        <f t="shared" si="0"/>
        <v>10</v>
      </c>
    </row>
    <row r="48" spans="1:5">
      <c r="A48" s="491">
        <v>45</v>
      </c>
      <c r="B48" s="491" t="s">
        <v>4510</v>
      </c>
      <c r="C48" s="492">
        <v>190</v>
      </c>
      <c r="D48" s="492">
        <v>180</v>
      </c>
      <c r="E48" s="492">
        <f t="shared" si="0"/>
        <v>10</v>
      </c>
    </row>
    <row r="49" spans="1:5">
      <c r="A49" s="491">
        <v>46</v>
      </c>
      <c r="B49" s="491" t="s">
        <v>4511</v>
      </c>
      <c r="C49" s="492">
        <v>190</v>
      </c>
      <c r="D49" s="492">
        <v>180</v>
      </c>
      <c r="E49" s="492">
        <f t="shared" si="0"/>
        <v>10</v>
      </c>
    </row>
    <row r="50" spans="1:5">
      <c r="A50" s="491">
        <v>47</v>
      </c>
      <c r="B50" s="491" t="s">
        <v>4512</v>
      </c>
      <c r="C50" s="492">
        <v>190</v>
      </c>
      <c r="D50" s="492">
        <v>180</v>
      </c>
      <c r="E50" s="492">
        <f t="shared" si="0"/>
        <v>10</v>
      </c>
    </row>
    <row r="51" spans="1:5">
      <c r="A51" s="491">
        <v>48</v>
      </c>
      <c r="B51" s="491" t="s">
        <v>4513</v>
      </c>
      <c r="C51" s="492">
        <v>190</v>
      </c>
      <c r="D51" s="492">
        <v>180</v>
      </c>
      <c r="E51" s="492">
        <f t="shared" si="0"/>
        <v>10</v>
      </c>
    </row>
    <row r="52" spans="1:5">
      <c r="A52" s="491">
        <v>49</v>
      </c>
      <c r="B52" s="491" t="s">
        <v>4514</v>
      </c>
      <c r="C52" s="492">
        <v>190</v>
      </c>
      <c r="D52" s="492">
        <v>180</v>
      </c>
      <c r="E52" s="492">
        <f t="shared" si="0"/>
        <v>10</v>
      </c>
    </row>
    <row r="53" spans="1:5">
      <c r="A53" s="491">
        <v>50</v>
      </c>
      <c r="B53" s="491" t="s">
        <v>4515</v>
      </c>
      <c r="C53" s="492">
        <v>190</v>
      </c>
      <c r="D53" s="492">
        <v>180</v>
      </c>
      <c r="E53" s="492">
        <f t="shared" si="0"/>
        <v>10</v>
      </c>
    </row>
    <row r="54" spans="1:5">
      <c r="A54" s="491">
        <v>51</v>
      </c>
      <c r="B54" s="491" t="s">
        <v>4516</v>
      </c>
      <c r="C54" s="492">
        <v>190</v>
      </c>
      <c r="D54" s="492">
        <v>180</v>
      </c>
      <c r="E54" s="492">
        <f t="shared" si="0"/>
        <v>10</v>
      </c>
    </row>
    <row r="55" spans="1:5">
      <c r="A55" s="491">
        <v>52</v>
      </c>
      <c r="B55" s="491" t="s">
        <v>4517</v>
      </c>
      <c r="C55" s="492">
        <v>190</v>
      </c>
      <c r="D55" s="492">
        <v>180</v>
      </c>
      <c r="E55" s="492">
        <f t="shared" si="0"/>
        <v>10</v>
      </c>
    </row>
    <row r="56" spans="1:5">
      <c r="A56" s="491">
        <v>53</v>
      </c>
      <c r="B56" s="491" t="s">
        <v>4518</v>
      </c>
      <c r="C56" s="492">
        <v>190</v>
      </c>
      <c r="D56" s="492">
        <v>180</v>
      </c>
      <c r="E56" s="492">
        <f t="shared" si="0"/>
        <v>10</v>
      </c>
    </row>
    <row r="57" spans="1:5">
      <c r="A57" s="491">
        <v>54</v>
      </c>
      <c r="B57" s="491" t="s">
        <v>4519</v>
      </c>
      <c r="C57" s="492">
        <v>190</v>
      </c>
      <c r="D57" s="492">
        <v>180</v>
      </c>
      <c r="E57" s="492">
        <f t="shared" si="0"/>
        <v>10</v>
      </c>
    </row>
    <row r="58" spans="1:5">
      <c r="A58" s="491">
        <v>55</v>
      </c>
      <c r="B58" s="491" t="s">
        <v>4520</v>
      </c>
      <c r="C58" s="492">
        <v>190</v>
      </c>
      <c r="D58" s="492">
        <v>180</v>
      </c>
      <c r="E58" s="492">
        <f t="shared" si="0"/>
        <v>10</v>
      </c>
    </row>
    <row r="59" spans="1:5">
      <c r="A59" s="491">
        <v>56</v>
      </c>
      <c r="B59" s="491" t="s">
        <v>4521</v>
      </c>
      <c r="C59" s="492">
        <v>190</v>
      </c>
      <c r="D59" s="492">
        <v>180</v>
      </c>
      <c r="E59" s="492">
        <f t="shared" si="0"/>
        <v>10</v>
      </c>
    </row>
    <row r="60" spans="1:5">
      <c r="A60" s="491">
        <v>57</v>
      </c>
      <c r="B60" s="491" t="s">
        <v>4522</v>
      </c>
      <c r="C60" s="492">
        <v>190</v>
      </c>
      <c r="D60" s="492">
        <v>180</v>
      </c>
      <c r="E60" s="492">
        <f t="shared" si="0"/>
        <v>10</v>
      </c>
    </row>
    <row r="61" spans="1:5">
      <c r="A61" s="491">
        <v>58</v>
      </c>
      <c r="B61" s="491" t="s">
        <v>4523</v>
      </c>
      <c r="C61" s="492">
        <v>190</v>
      </c>
      <c r="D61" s="492">
        <v>180</v>
      </c>
      <c r="E61" s="492">
        <f t="shared" si="0"/>
        <v>10</v>
      </c>
    </row>
    <row r="62" spans="1:5">
      <c r="A62" s="491">
        <v>59</v>
      </c>
      <c r="B62" s="491" t="s">
        <v>4524</v>
      </c>
      <c r="C62" s="492">
        <v>190</v>
      </c>
      <c r="D62" s="492">
        <v>180</v>
      </c>
      <c r="E62" s="492">
        <f t="shared" si="0"/>
        <v>10</v>
      </c>
    </row>
    <row r="63" spans="1:5">
      <c r="A63" s="491">
        <v>60</v>
      </c>
      <c r="B63" s="491" t="s">
        <v>4525</v>
      </c>
      <c r="C63" s="492">
        <v>190</v>
      </c>
      <c r="D63" s="492">
        <v>180</v>
      </c>
      <c r="E63" s="492">
        <f t="shared" si="0"/>
        <v>10</v>
      </c>
    </row>
    <row r="64" spans="1:5">
      <c r="A64" s="491">
        <v>61</v>
      </c>
      <c r="B64" s="491" t="s">
        <v>4526</v>
      </c>
      <c r="C64" s="492">
        <v>190</v>
      </c>
      <c r="D64" s="492">
        <v>180</v>
      </c>
      <c r="E64" s="492">
        <f t="shared" si="0"/>
        <v>10</v>
      </c>
    </row>
    <row r="65" spans="1:5">
      <c r="A65" s="491">
        <v>62</v>
      </c>
      <c r="B65" s="491" t="s">
        <v>4527</v>
      </c>
      <c r="C65" s="492">
        <v>190</v>
      </c>
      <c r="D65" s="492">
        <v>180</v>
      </c>
      <c r="E65" s="492">
        <f t="shared" si="0"/>
        <v>10</v>
      </c>
    </row>
    <row r="66" spans="1:5">
      <c r="A66" s="491">
        <v>63</v>
      </c>
      <c r="B66" s="491" t="s">
        <v>4528</v>
      </c>
      <c r="C66" s="492">
        <v>190</v>
      </c>
      <c r="D66" s="492">
        <v>180</v>
      </c>
      <c r="E66" s="492">
        <f t="shared" si="0"/>
        <v>10</v>
      </c>
    </row>
    <row r="67" spans="1:5">
      <c r="A67" s="491">
        <v>64</v>
      </c>
      <c r="B67" s="491" t="s">
        <v>4529</v>
      </c>
      <c r="C67" s="492">
        <v>190</v>
      </c>
      <c r="D67" s="492">
        <v>180</v>
      </c>
      <c r="E67" s="492">
        <f t="shared" si="0"/>
        <v>10</v>
      </c>
    </row>
    <row r="68" spans="1:5">
      <c r="A68" s="491">
        <v>65</v>
      </c>
      <c r="B68" s="491" t="s">
        <v>4530</v>
      </c>
      <c r="C68" s="492">
        <v>190</v>
      </c>
      <c r="D68" s="492">
        <v>180</v>
      </c>
      <c r="E68" s="492">
        <f t="shared" ref="E68:E131" si="1">C68-D68</f>
        <v>10</v>
      </c>
    </row>
    <row r="69" spans="1:5">
      <c r="A69" s="491">
        <v>66</v>
      </c>
      <c r="B69" s="491" t="s">
        <v>4531</v>
      </c>
      <c r="C69" s="492">
        <v>190</v>
      </c>
      <c r="D69" s="492">
        <v>180</v>
      </c>
      <c r="E69" s="492">
        <f t="shared" si="1"/>
        <v>10</v>
      </c>
    </row>
    <row r="70" spans="1:5">
      <c r="A70" s="491">
        <v>67</v>
      </c>
      <c r="B70" s="491" t="s">
        <v>4532</v>
      </c>
      <c r="C70" s="492">
        <v>190</v>
      </c>
      <c r="D70" s="492">
        <v>180</v>
      </c>
      <c r="E70" s="492">
        <f t="shared" si="1"/>
        <v>10</v>
      </c>
    </row>
    <row r="71" spans="1:5">
      <c r="A71" s="491">
        <v>68</v>
      </c>
      <c r="B71" s="491" t="s">
        <v>4533</v>
      </c>
      <c r="C71" s="492">
        <v>190</v>
      </c>
      <c r="D71" s="492">
        <v>180</v>
      </c>
      <c r="E71" s="492">
        <f t="shared" si="1"/>
        <v>10</v>
      </c>
    </row>
    <row r="72" spans="1:5">
      <c r="A72" s="491">
        <v>69</v>
      </c>
      <c r="B72" s="491" t="s">
        <v>4534</v>
      </c>
      <c r="C72" s="492">
        <v>190</v>
      </c>
      <c r="D72" s="492">
        <v>180</v>
      </c>
      <c r="E72" s="492">
        <f t="shared" si="1"/>
        <v>10</v>
      </c>
    </row>
    <row r="73" spans="1:5">
      <c r="A73" s="491">
        <v>70</v>
      </c>
      <c r="B73" s="491" t="s">
        <v>4535</v>
      </c>
      <c r="C73" s="492">
        <v>190</v>
      </c>
      <c r="D73" s="492">
        <v>180</v>
      </c>
      <c r="E73" s="492">
        <f t="shared" si="1"/>
        <v>10</v>
      </c>
    </row>
    <row r="74" spans="1:5">
      <c r="A74" s="491">
        <v>71</v>
      </c>
      <c r="B74" s="491" t="s">
        <v>4536</v>
      </c>
      <c r="C74" s="492">
        <v>190</v>
      </c>
      <c r="D74" s="492">
        <v>180</v>
      </c>
      <c r="E74" s="492">
        <f t="shared" si="1"/>
        <v>10</v>
      </c>
    </row>
    <row r="75" spans="1:5">
      <c r="A75" s="491">
        <v>72</v>
      </c>
      <c r="B75" s="491" t="s">
        <v>4537</v>
      </c>
      <c r="C75" s="492">
        <v>190</v>
      </c>
      <c r="D75" s="492">
        <v>180</v>
      </c>
      <c r="E75" s="492">
        <f t="shared" si="1"/>
        <v>10</v>
      </c>
    </row>
    <row r="76" spans="1:5">
      <c r="A76" s="491">
        <v>73</v>
      </c>
      <c r="B76" s="491" t="s">
        <v>4538</v>
      </c>
      <c r="C76" s="492">
        <v>190</v>
      </c>
      <c r="D76" s="492">
        <v>180</v>
      </c>
      <c r="E76" s="492">
        <f t="shared" si="1"/>
        <v>10</v>
      </c>
    </row>
    <row r="77" spans="1:5">
      <c r="A77" s="491">
        <v>74</v>
      </c>
      <c r="B77" s="491" t="s">
        <v>4539</v>
      </c>
      <c r="C77" s="492">
        <v>190</v>
      </c>
      <c r="D77" s="492">
        <v>180</v>
      </c>
      <c r="E77" s="492">
        <f t="shared" si="1"/>
        <v>10</v>
      </c>
    </row>
    <row r="78" spans="1:5">
      <c r="A78" s="491">
        <v>75</v>
      </c>
      <c r="B78" s="491" t="s">
        <v>4540</v>
      </c>
      <c r="C78" s="492">
        <v>190</v>
      </c>
      <c r="D78" s="492">
        <v>180</v>
      </c>
      <c r="E78" s="492">
        <f t="shared" si="1"/>
        <v>10</v>
      </c>
    </row>
    <row r="79" spans="1:5">
      <c r="A79" s="491">
        <v>76</v>
      </c>
      <c r="B79" s="491" t="s">
        <v>4541</v>
      </c>
      <c r="C79" s="492">
        <v>190</v>
      </c>
      <c r="D79" s="492">
        <v>180</v>
      </c>
      <c r="E79" s="492">
        <f t="shared" si="1"/>
        <v>10</v>
      </c>
    </row>
    <row r="80" spans="1:5">
      <c r="A80" s="491">
        <v>77</v>
      </c>
      <c r="B80" s="491" t="s">
        <v>4542</v>
      </c>
      <c r="C80" s="492">
        <v>190</v>
      </c>
      <c r="D80" s="492">
        <v>180</v>
      </c>
      <c r="E80" s="492">
        <f t="shared" si="1"/>
        <v>10</v>
      </c>
    </row>
    <row r="81" spans="1:5">
      <c r="A81" s="491">
        <v>78</v>
      </c>
      <c r="B81" s="491" t="s">
        <v>4543</v>
      </c>
      <c r="C81" s="492">
        <v>190</v>
      </c>
      <c r="D81" s="492">
        <v>180</v>
      </c>
      <c r="E81" s="492">
        <f t="shared" si="1"/>
        <v>10</v>
      </c>
    </row>
    <row r="82" spans="1:5">
      <c r="A82" s="491">
        <v>79</v>
      </c>
      <c r="B82" s="491" t="s">
        <v>4544</v>
      </c>
      <c r="C82" s="492">
        <v>190</v>
      </c>
      <c r="D82" s="492">
        <v>180</v>
      </c>
      <c r="E82" s="492">
        <f t="shared" si="1"/>
        <v>10</v>
      </c>
    </row>
    <row r="83" spans="1:5">
      <c r="A83" s="491">
        <v>80</v>
      </c>
      <c r="B83" s="491" t="s">
        <v>4545</v>
      </c>
      <c r="C83" s="492">
        <v>190</v>
      </c>
      <c r="D83" s="492">
        <v>180</v>
      </c>
      <c r="E83" s="492">
        <f t="shared" si="1"/>
        <v>10</v>
      </c>
    </row>
    <row r="84" spans="1:5">
      <c r="A84" s="491">
        <v>81</v>
      </c>
      <c r="B84" s="491" t="s">
        <v>4546</v>
      </c>
      <c r="C84" s="492">
        <v>190</v>
      </c>
      <c r="D84" s="492">
        <v>180</v>
      </c>
      <c r="E84" s="492">
        <f t="shared" si="1"/>
        <v>10</v>
      </c>
    </row>
    <row r="85" spans="1:5">
      <c r="A85" s="491">
        <v>82</v>
      </c>
      <c r="B85" s="491" t="s">
        <v>4547</v>
      </c>
      <c r="C85" s="492">
        <v>190</v>
      </c>
      <c r="D85" s="492">
        <v>180</v>
      </c>
      <c r="E85" s="492">
        <f t="shared" si="1"/>
        <v>10</v>
      </c>
    </row>
    <row r="86" spans="1:5">
      <c r="A86" s="491">
        <v>83</v>
      </c>
      <c r="B86" s="491" t="s">
        <v>4548</v>
      </c>
      <c r="C86" s="492">
        <v>190</v>
      </c>
      <c r="D86" s="492">
        <v>180</v>
      </c>
      <c r="E86" s="492">
        <f t="shared" si="1"/>
        <v>10</v>
      </c>
    </row>
    <row r="87" spans="1:5">
      <c r="A87" s="491">
        <v>84</v>
      </c>
      <c r="B87" s="491" t="s">
        <v>4549</v>
      </c>
      <c r="C87" s="492">
        <v>190</v>
      </c>
      <c r="D87" s="492">
        <v>180</v>
      </c>
      <c r="E87" s="492">
        <f t="shared" si="1"/>
        <v>10</v>
      </c>
    </row>
    <row r="88" spans="1:5">
      <c r="A88" s="491">
        <v>85</v>
      </c>
      <c r="B88" s="491" t="s">
        <v>4550</v>
      </c>
      <c r="C88" s="492">
        <v>190</v>
      </c>
      <c r="D88" s="492">
        <v>180</v>
      </c>
      <c r="E88" s="492">
        <f t="shared" si="1"/>
        <v>10</v>
      </c>
    </row>
    <row r="89" spans="1:5">
      <c r="A89" s="491">
        <v>86</v>
      </c>
      <c r="B89" s="491" t="s">
        <v>4551</v>
      </c>
      <c r="C89" s="492">
        <v>190</v>
      </c>
      <c r="D89" s="492">
        <v>180</v>
      </c>
      <c r="E89" s="492">
        <f t="shared" si="1"/>
        <v>10</v>
      </c>
    </row>
    <row r="90" spans="1:5">
      <c r="A90" s="491">
        <v>87</v>
      </c>
      <c r="B90" s="491" t="s">
        <v>4552</v>
      </c>
      <c r="C90" s="492">
        <v>190</v>
      </c>
      <c r="D90" s="492">
        <v>180</v>
      </c>
      <c r="E90" s="492">
        <f t="shared" si="1"/>
        <v>10</v>
      </c>
    </row>
    <row r="91" spans="1:5">
      <c r="A91" s="491">
        <v>88</v>
      </c>
      <c r="B91" s="491" t="s">
        <v>4553</v>
      </c>
      <c r="C91" s="492">
        <v>190</v>
      </c>
      <c r="D91" s="492">
        <v>180</v>
      </c>
      <c r="E91" s="492">
        <f t="shared" si="1"/>
        <v>10</v>
      </c>
    </row>
    <row r="92" spans="1:5">
      <c r="A92" s="491">
        <v>89</v>
      </c>
      <c r="B92" s="491" t="s">
        <v>4554</v>
      </c>
      <c r="C92" s="492">
        <v>190</v>
      </c>
      <c r="D92" s="492">
        <v>180</v>
      </c>
      <c r="E92" s="492">
        <f t="shared" si="1"/>
        <v>10</v>
      </c>
    </row>
    <row r="93" spans="1:5">
      <c r="A93" s="491">
        <v>90</v>
      </c>
      <c r="B93" s="491" t="s">
        <v>4555</v>
      </c>
      <c r="C93" s="492">
        <v>190</v>
      </c>
      <c r="D93" s="492">
        <v>180</v>
      </c>
      <c r="E93" s="492">
        <f t="shared" si="1"/>
        <v>10</v>
      </c>
    </row>
    <row r="94" spans="1:5">
      <c r="A94" s="491">
        <v>91</v>
      </c>
      <c r="B94" s="491" t="s">
        <v>4556</v>
      </c>
      <c r="C94" s="492">
        <v>190</v>
      </c>
      <c r="D94" s="492">
        <v>180</v>
      </c>
      <c r="E94" s="492">
        <f t="shared" si="1"/>
        <v>10</v>
      </c>
    </row>
    <row r="95" spans="1:5">
      <c r="A95" s="491">
        <v>92</v>
      </c>
      <c r="B95" s="491" t="s">
        <v>4557</v>
      </c>
      <c r="C95" s="492">
        <v>190</v>
      </c>
      <c r="D95" s="492">
        <v>180</v>
      </c>
      <c r="E95" s="492">
        <f t="shared" si="1"/>
        <v>10</v>
      </c>
    </row>
    <row r="96" spans="1:5">
      <c r="A96" s="491">
        <v>93</v>
      </c>
      <c r="B96" s="491" t="s">
        <v>4558</v>
      </c>
      <c r="C96" s="492">
        <v>190</v>
      </c>
      <c r="D96" s="492">
        <v>180</v>
      </c>
      <c r="E96" s="492">
        <f t="shared" si="1"/>
        <v>10</v>
      </c>
    </row>
    <row r="97" spans="1:5">
      <c r="A97" s="491">
        <v>94</v>
      </c>
      <c r="B97" s="491" t="s">
        <v>4559</v>
      </c>
      <c r="C97" s="492">
        <v>190</v>
      </c>
      <c r="D97" s="492">
        <v>180</v>
      </c>
      <c r="E97" s="492">
        <f t="shared" si="1"/>
        <v>10</v>
      </c>
    </row>
    <row r="98" spans="1:5">
      <c r="A98" s="491">
        <v>95</v>
      </c>
      <c r="B98" s="491" t="s">
        <v>4560</v>
      </c>
      <c r="C98" s="492">
        <v>190</v>
      </c>
      <c r="D98" s="492">
        <v>180</v>
      </c>
      <c r="E98" s="492">
        <f t="shared" si="1"/>
        <v>10</v>
      </c>
    </row>
    <row r="99" spans="1:5">
      <c r="A99" s="491">
        <v>96</v>
      </c>
      <c r="B99" s="491" t="s">
        <v>4561</v>
      </c>
      <c r="C99" s="492">
        <v>190</v>
      </c>
      <c r="D99" s="492">
        <v>180</v>
      </c>
      <c r="E99" s="492">
        <f t="shared" si="1"/>
        <v>10</v>
      </c>
    </row>
    <row r="100" spans="1:5">
      <c r="A100" s="491">
        <v>97</v>
      </c>
      <c r="B100" s="491" t="s">
        <v>4562</v>
      </c>
      <c r="C100" s="492">
        <v>190</v>
      </c>
      <c r="D100" s="492">
        <v>180</v>
      </c>
      <c r="E100" s="492">
        <f t="shared" si="1"/>
        <v>10</v>
      </c>
    </row>
    <row r="101" spans="1:5">
      <c r="A101" s="491">
        <v>98</v>
      </c>
      <c r="B101" s="491" t="s">
        <v>4563</v>
      </c>
      <c r="C101" s="492">
        <v>190</v>
      </c>
      <c r="D101" s="492">
        <v>180</v>
      </c>
      <c r="E101" s="492">
        <f t="shared" si="1"/>
        <v>10</v>
      </c>
    </row>
    <row r="102" spans="1:5">
      <c r="A102" s="491">
        <v>99</v>
      </c>
      <c r="B102" s="491" t="s">
        <v>4564</v>
      </c>
      <c r="C102" s="492">
        <v>190</v>
      </c>
      <c r="D102" s="492">
        <v>180</v>
      </c>
      <c r="E102" s="492">
        <f t="shared" si="1"/>
        <v>10</v>
      </c>
    </row>
    <row r="103" spans="1:5">
      <c r="A103" s="491">
        <v>100</v>
      </c>
      <c r="B103" s="491" t="s">
        <v>4565</v>
      </c>
      <c r="C103" s="492">
        <v>190</v>
      </c>
      <c r="D103" s="492">
        <v>180</v>
      </c>
      <c r="E103" s="492">
        <f t="shared" si="1"/>
        <v>10</v>
      </c>
    </row>
    <row r="104" spans="1:5">
      <c r="A104" s="491">
        <v>101</v>
      </c>
      <c r="B104" s="491" t="s">
        <v>4566</v>
      </c>
      <c r="C104" s="492">
        <v>190</v>
      </c>
      <c r="D104" s="492">
        <v>180</v>
      </c>
      <c r="E104" s="492">
        <f t="shared" si="1"/>
        <v>10</v>
      </c>
    </row>
    <row r="105" spans="1:5">
      <c r="A105" s="491">
        <v>102</v>
      </c>
      <c r="B105" s="491" t="s">
        <v>4567</v>
      </c>
      <c r="C105" s="492">
        <v>190</v>
      </c>
      <c r="D105" s="492">
        <v>180</v>
      </c>
      <c r="E105" s="492">
        <f t="shared" si="1"/>
        <v>10</v>
      </c>
    </row>
    <row r="106" spans="1:5">
      <c r="A106" s="491">
        <v>103</v>
      </c>
      <c r="B106" s="491" t="s">
        <v>4568</v>
      </c>
      <c r="C106" s="492">
        <v>190</v>
      </c>
      <c r="D106" s="492">
        <v>180</v>
      </c>
      <c r="E106" s="492">
        <f t="shared" si="1"/>
        <v>10</v>
      </c>
    </row>
    <row r="107" spans="1:5">
      <c r="A107" s="491">
        <v>104</v>
      </c>
      <c r="B107" s="491" t="s">
        <v>4569</v>
      </c>
      <c r="C107" s="492">
        <v>190</v>
      </c>
      <c r="D107" s="492">
        <v>180</v>
      </c>
      <c r="E107" s="492">
        <f t="shared" si="1"/>
        <v>10</v>
      </c>
    </row>
    <row r="108" spans="1:5">
      <c r="A108" s="491">
        <v>105</v>
      </c>
      <c r="B108" s="491" t="s">
        <v>4570</v>
      </c>
      <c r="C108" s="492">
        <v>190</v>
      </c>
      <c r="D108" s="492">
        <v>180</v>
      </c>
      <c r="E108" s="492">
        <f t="shared" si="1"/>
        <v>10</v>
      </c>
    </row>
    <row r="109" spans="1:5">
      <c r="A109" s="491">
        <v>106</v>
      </c>
      <c r="B109" s="491" t="s">
        <v>4571</v>
      </c>
      <c r="C109" s="492">
        <v>190</v>
      </c>
      <c r="D109" s="492">
        <v>180</v>
      </c>
      <c r="E109" s="492">
        <f t="shared" si="1"/>
        <v>10</v>
      </c>
    </row>
    <row r="110" spans="1:5">
      <c r="A110" s="491">
        <v>107</v>
      </c>
      <c r="B110" s="491" t="s">
        <v>4572</v>
      </c>
      <c r="C110" s="492">
        <v>190</v>
      </c>
      <c r="D110" s="492">
        <v>180</v>
      </c>
      <c r="E110" s="492">
        <f t="shared" si="1"/>
        <v>10</v>
      </c>
    </row>
    <row r="111" spans="1:5">
      <c r="A111" s="491">
        <v>108</v>
      </c>
      <c r="B111" s="491" t="s">
        <v>4573</v>
      </c>
      <c r="C111" s="492">
        <v>190</v>
      </c>
      <c r="D111" s="492">
        <v>180</v>
      </c>
      <c r="E111" s="492">
        <f t="shared" si="1"/>
        <v>10</v>
      </c>
    </row>
    <row r="112" spans="1:5">
      <c r="A112" s="491">
        <v>109</v>
      </c>
      <c r="B112" s="491" t="s">
        <v>4574</v>
      </c>
      <c r="C112" s="492">
        <v>190</v>
      </c>
      <c r="D112" s="492">
        <v>180</v>
      </c>
      <c r="E112" s="492">
        <f t="shared" si="1"/>
        <v>10</v>
      </c>
    </row>
    <row r="113" spans="1:5">
      <c r="A113" s="491">
        <v>110</v>
      </c>
      <c r="B113" s="491" t="s">
        <v>4575</v>
      </c>
      <c r="C113" s="492">
        <v>190</v>
      </c>
      <c r="D113" s="492">
        <v>180</v>
      </c>
      <c r="E113" s="492">
        <f t="shared" si="1"/>
        <v>10</v>
      </c>
    </row>
    <row r="114" spans="1:5">
      <c r="A114" s="491">
        <v>111</v>
      </c>
      <c r="B114" s="491" t="s">
        <v>4576</v>
      </c>
      <c r="C114" s="492">
        <v>190</v>
      </c>
      <c r="D114" s="492">
        <v>180</v>
      </c>
      <c r="E114" s="492">
        <f t="shared" si="1"/>
        <v>10</v>
      </c>
    </row>
    <row r="115" spans="1:5">
      <c r="A115" s="491">
        <v>112</v>
      </c>
      <c r="B115" s="491" t="s">
        <v>4577</v>
      </c>
      <c r="C115" s="492">
        <v>190</v>
      </c>
      <c r="D115" s="492">
        <v>180</v>
      </c>
      <c r="E115" s="492">
        <f t="shared" si="1"/>
        <v>10</v>
      </c>
    </row>
    <row r="116" spans="1:5">
      <c r="A116" s="491">
        <v>113</v>
      </c>
      <c r="B116" s="491" t="s">
        <v>4578</v>
      </c>
      <c r="C116" s="492">
        <v>190</v>
      </c>
      <c r="D116" s="492">
        <v>180</v>
      </c>
      <c r="E116" s="492">
        <f t="shared" si="1"/>
        <v>10</v>
      </c>
    </row>
    <row r="117" spans="1:5">
      <c r="A117" s="491">
        <v>114</v>
      </c>
      <c r="B117" s="491" t="s">
        <v>4579</v>
      </c>
      <c r="C117" s="492">
        <v>190</v>
      </c>
      <c r="D117" s="492">
        <v>180</v>
      </c>
      <c r="E117" s="492">
        <f t="shared" si="1"/>
        <v>10</v>
      </c>
    </row>
    <row r="118" spans="1:5">
      <c r="A118" s="491">
        <v>115</v>
      </c>
      <c r="B118" s="491" t="s">
        <v>4580</v>
      </c>
      <c r="C118" s="492">
        <v>190</v>
      </c>
      <c r="D118" s="492">
        <v>180</v>
      </c>
      <c r="E118" s="492">
        <f t="shared" si="1"/>
        <v>10</v>
      </c>
    </row>
    <row r="119" spans="1:5">
      <c r="A119" s="491">
        <v>116</v>
      </c>
      <c r="B119" s="491" t="s">
        <v>4581</v>
      </c>
      <c r="C119" s="492">
        <v>190</v>
      </c>
      <c r="D119" s="492">
        <v>180</v>
      </c>
      <c r="E119" s="492">
        <f t="shared" si="1"/>
        <v>10</v>
      </c>
    </row>
    <row r="120" spans="1:5">
      <c r="A120" s="491">
        <v>117</v>
      </c>
      <c r="B120" s="491" t="s">
        <v>4582</v>
      </c>
      <c r="C120" s="492">
        <v>190</v>
      </c>
      <c r="D120" s="492">
        <v>180</v>
      </c>
      <c r="E120" s="492">
        <f t="shared" si="1"/>
        <v>10</v>
      </c>
    </row>
    <row r="121" spans="1:5">
      <c r="A121" s="491">
        <v>118</v>
      </c>
      <c r="B121" s="491" t="s">
        <v>4583</v>
      </c>
      <c r="C121" s="492">
        <v>190</v>
      </c>
      <c r="D121" s="492">
        <v>180</v>
      </c>
      <c r="E121" s="492">
        <f t="shared" si="1"/>
        <v>10</v>
      </c>
    </row>
    <row r="122" spans="1:5">
      <c r="A122" s="491">
        <v>119</v>
      </c>
      <c r="B122" s="491" t="s">
        <v>4584</v>
      </c>
      <c r="C122" s="492">
        <v>190</v>
      </c>
      <c r="D122" s="492">
        <v>180</v>
      </c>
      <c r="E122" s="492">
        <f t="shared" si="1"/>
        <v>10</v>
      </c>
    </row>
    <row r="123" spans="1:5">
      <c r="A123" s="491">
        <v>120</v>
      </c>
      <c r="B123" s="491" t="s">
        <v>4585</v>
      </c>
      <c r="C123" s="492">
        <v>190</v>
      </c>
      <c r="D123" s="492">
        <v>180</v>
      </c>
      <c r="E123" s="492">
        <f t="shared" si="1"/>
        <v>10</v>
      </c>
    </row>
    <row r="124" spans="1:5">
      <c r="A124" s="491">
        <v>121</v>
      </c>
      <c r="B124" s="491" t="s">
        <v>4586</v>
      </c>
      <c r="C124" s="492">
        <v>190</v>
      </c>
      <c r="D124" s="492">
        <v>180</v>
      </c>
      <c r="E124" s="492">
        <f t="shared" si="1"/>
        <v>10</v>
      </c>
    </row>
    <row r="125" spans="1:5">
      <c r="A125" s="491">
        <v>122</v>
      </c>
      <c r="B125" s="491" t="s">
        <v>4587</v>
      </c>
      <c r="C125" s="492">
        <v>190</v>
      </c>
      <c r="D125" s="492">
        <v>180</v>
      </c>
      <c r="E125" s="492">
        <f t="shared" si="1"/>
        <v>10</v>
      </c>
    </row>
    <row r="126" spans="1:5">
      <c r="A126" s="491">
        <v>123</v>
      </c>
      <c r="B126" s="491" t="s">
        <v>4588</v>
      </c>
      <c r="C126" s="492">
        <v>190</v>
      </c>
      <c r="D126" s="492">
        <v>180</v>
      </c>
      <c r="E126" s="492">
        <f t="shared" si="1"/>
        <v>10</v>
      </c>
    </row>
    <row r="127" spans="1:5">
      <c r="A127" s="491">
        <v>124</v>
      </c>
      <c r="B127" s="491" t="s">
        <v>4589</v>
      </c>
      <c r="C127" s="492">
        <v>190</v>
      </c>
      <c r="D127" s="492">
        <v>180</v>
      </c>
      <c r="E127" s="492">
        <f t="shared" si="1"/>
        <v>10</v>
      </c>
    </row>
    <row r="128" spans="1:5">
      <c r="A128" s="491">
        <v>125</v>
      </c>
      <c r="B128" s="491" t="s">
        <v>4590</v>
      </c>
      <c r="C128" s="492">
        <v>190</v>
      </c>
      <c r="D128" s="492">
        <v>180</v>
      </c>
      <c r="E128" s="492">
        <f t="shared" si="1"/>
        <v>10</v>
      </c>
    </row>
    <row r="129" spans="1:5">
      <c r="A129" s="491">
        <v>126</v>
      </c>
      <c r="B129" s="491" t="s">
        <v>4591</v>
      </c>
      <c r="C129" s="492">
        <v>190</v>
      </c>
      <c r="D129" s="492">
        <v>180</v>
      </c>
      <c r="E129" s="492">
        <f t="shared" si="1"/>
        <v>10</v>
      </c>
    </row>
    <row r="130" spans="1:5">
      <c r="A130" s="491">
        <v>127</v>
      </c>
      <c r="B130" s="491" t="s">
        <v>4592</v>
      </c>
      <c r="C130" s="492">
        <v>190</v>
      </c>
      <c r="D130" s="492">
        <v>180</v>
      </c>
      <c r="E130" s="492">
        <f t="shared" si="1"/>
        <v>10</v>
      </c>
    </row>
    <row r="131" spans="1:5">
      <c r="A131" s="491">
        <v>128</v>
      </c>
      <c r="B131" s="491" t="s">
        <v>4593</v>
      </c>
      <c r="C131" s="492">
        <v>190</v>
      </c>
      <c r="D131" s="492">
        <v>180</v>
      </c>
      <c r="E131" s="492">
        <f t="shared" si="1"/>
        <v>10</v>
      </c>
    </row>
    <row r="132" spans="1:5">
      <c r="A132" s="491">
        <v>129</v>
      </c>
      <c r="B132" s="491" t="s">
        <v>4594</v>
      </c>
      <c r="C132" s="492">
        <v>190</v>
      </c>
      <c r="D132" s="492">
        <v>180</v>
      </c>
      <c r="E132" s="492">
        <f t="shared" ref="E132:E195" si="2">C132-D132</f>
        <v>10</v>
      </c>
    </row>
    <row r="133" spans="1:5">
      <c r="A133" s="491">
        <v>130</v>
      </c>
      <c r="B133" s="491" t="s">
        <v>4595</v>
      </c>
      <c r="C133" s="492">
        <v>190</v>
      </c>
      <c r="D133" s="492">
        <v>180</v>
      </c>
      <c r="E133" s="492">
        <f t="shared" si="2"/>
        <v>10</v>
      </c>
    </row>
    <row r="134" spans="1:5">
      <c r="A134" s="491">
        <v>131</v>
      </c>
      <c r="B134" s="491" t="s">
        <v>4596</v>
      </c>
      <c r="C134" s="492">
        <v>190</v>
      </c>
      <c r="D134" s="492">
        <v>180</v>
      </c>
      <c r="E134" s="492">
        <f t="shared" si="2"/>
        <v>10</v>
      </c>
    </row>
    <row r="135" spans="1:5">
      <c r="A135" s="491">
        <v>132</v>
      </c>
      <c r="B135" s="491" t="s">
        <v>4597</v>
      </c>
      <c r="C135" s="492">
        <v>190</v>
      </c>
      <c r="D135" s="492">
        <v>180</v>
      </c>
      <c r="E135" s="492">
        <f t="shared" si="2"/>
        <v>10</v>
      </c>
    </row>
    <row r="136" spans="1:5">
      <c r="A136" s="491">
        <v>133</v>
      </c>
      <c r="B136" s="491" t="s">
        <v>4598</v>
      </c>
      <c r="C136" s="492">
        <v>190</v>
      </c>
      <c r="D136" s="492">
        <v>180</v>
      </c>
      <c r="E136" s="492">
        <f t="shared" si="2"/>
        <v>10</v>
      </c>
    </row>
    <row r="137" spans="1:5">
      <c r="A137" s="491">
        <v>134</v>
      </c>
      <c r="B137" s="491" t="s">
        <v>4599</v>
      </c>
      <c r="C137" s="492">
        <v>190</v>
      </c>
      <c r="D137" s="492">
        <v>180</v>
      </c>
      <c r="E137" s="492">
        <f t="shared" si="2"/>
        <v>10</v>
      </c>
    </row>
    <row r="138" spans="1:5">
      <c r="A138" s="491">
        <v>135</v>
      </c>
      <c r="B138" s="491" t="s">
        <v>4600</v>
      </c>
      <c r="C138" s="492">
        <v>190</v>
      </c>
      <c r="D138" s="492">
        <v>180</v>
      </c>
      <c r="E138" s="492">
        <f t="shared" si="2"/>
        <v>10</v>
      </c>
    </row>
    <row r="139" spans="1:5">
      <c r="A139" s="491">
        <v>136</v>
      </c>
      <c r="B139" s="491" t="s">
        <v>4601</v>
      </c>
      <c r="C139" s="492">
        <v>190</v>
      </c>
      <c r="D139" s="492">
        <v>180</v>
      </c>
      <c r="E139" s="492">
        <f t="shared" si="2"/>
        <v>10</v>
      </c>
    </row>
    <row r="140" spans="1:5">
      <c r="A140" s="491">
        <v>137</v>
      </c>
      <c r="B140" s="491" t="s">
        <v>4602</v>
      </c>
      <c r="C140" s="492">
        <v>190</v>
      </c>
      <c r="D140" s="492">
        <v>180</v>
      </c>
      <c r="E140" s="492">
        <f t="shared" si="2"/>
        <v>10</v>
      </c>
    </row>
    <row r="141" spans="1:5">
      <c r="A141" s="491">
        <v>138</v>
      </c>
      <c r="B141" s="491" t="s">
        <v>4603</v>
      </c>
      <c r="C141" s="492">
        <v>190</v>
      </c>
      <c r="D141" s="492">
        <v>180</v>
      </c>
      <c r="E141" s="492">
        <f t="shared" si="2"/>
        <v>10</v>
      </c>
    </row>
    <row r="142" spans="1:5">
      <c r="A142" s="491">
        <v>139</v>
      </c>
      <c r="B142" s="491" t="s">
        <v>4604</v>
      </c>
      <c r="C142" s="492">
        <v>190</v>
      </c>
      <c r="D142" s="492">
        <v>180</v>
      </c>
      <c r="E142" s="492">
        <f t="shared" si="2"/>
        <v>10</v>
      </c>
    </row>
    <row r="143" spans="1:5">
      <c r="A143" s="491">
        <v>140</v>
      </c>
      <c r="B143" s="491" t="s">
        <v>4605</v>
      </c>
      <c r="C143" s="492">
        <v>190</v>
      </c>
      <c r="D143" s="492">
        <v>180</v>
      </c>
      <c r="E143" s="492">
        <f t="shared" si="2"/>
        <v>10</v>
      </c>
    </row>
    <row r="144" spans="1:5">
      <c r="A144" s="491">
        <v>141</v>
      </c>
      <c r="B144" s="491" t="s">
        <v>4606</v>
      </c>
      <c r="C144" s="492">
        <v>190</v>
      </c>
      <c r="D144" s="492">
        <v>180</v>
      </c>
      <c r="E144" s="492">
        <f t="shared" si="2"/>
        <v>10</v>
      </c>
    </row>
    <row r="145" spans="1:5">
      <c r="A145" s="491">
        <v>142</v>
      </c>
      <c r="B145" s="491" t="s">
        <v>4607</v>
      </c>
      <c r="C145" s="492">
        <v>190</v>
      </c>
      <c r="D145" s="492">
        <v>180</v>
      </c>
      <c r="E145" s="492">
        <f t="shared" si="2"/>
        <v>10</v>
      </c>
    </row>
    <row r="146" spans="1:5">
      <c r="A146" s="491">
        <v>143</v>
      </c>
      <c r="B146" s="491" t="s">
        <v>4608</v>
      </c>
      <c r="C146" s="492">
        <v>190</v>
      </c>
      <c r="D146" s="492">
        <v>180</v>
      </c>
      <c r="E146" s="492">
        <f t="shared" si="2"/>
        <v>10</v>
      </c>
    </row>
    <row r="147" spans="1:5">
      <c r="A147" s="491">
        <v>144</v>
      </c>
      <c r="B147" s="491" t="s">
        <v>4609</v>
      </c>
      <c r="C147" s="492">
        <v>190</v>
      </c>
      <c r="D147" s="492">
        <v>180</v>
      </c>
      <c r="E147" s="492">
        <f t="shared" si="2"/>
        <v>10</v>
      </c>
    </row>
    <row r="148" spans="1:5">
      <c r="A148" s="491">
        <v>145</v>
      </c>
      <c r="B148" s="491" t="s">
        <v>4610</v>
      </c>
      <c r="C148" s="492">
        <v>190</v>
      </c>
      <c r="D148" s="492">
        <v>180</v>
      </c>
      <c r="E148" s="492">
        <f t="shared" si="2"/>
        <v>10</v>
      </c>
    </row>
    <row r="149" spans="1:5">
      <c r="A149" s="491">
        <v>146</v>
      </c>
      <c r="B149" s="491" t="s">
        <v>4611</v>
      </c>
      <c r="C149" s="492">
        <v>190</v>
      </c>
      <c r="D149" s="492">
        <v>180</v>
      </c>
      <c r="E149" s="492">
        <f t="shared" si="2"/>
        <v>10</v>
      </c>
    </row>
    <row r="150" spans="1:5">
      <c r="A150" s="491">
        <v>147</v>
      </c>
      <c r="B150" s="491" t="s">
        <v>4612</v>
      </c>
      <c r="C150" s="492">
        <v>190</v>
      </c>
      <c r="D150" s="492">
        <v>180</v>
      </c>
      <c r="E150" s="492">
        <f t="shared" si="2"/>
        <v>10</v>
      </c>
    </row>
    <row r="151" spans="1:5">
      <c r="A151" s="491">
        <v>148</v>
      </c>
      <c r="B151" s="491" t="s">
        <v>4613</v>
      </c>
      <c r="C151" s="492">
        <v>190</v>
      </c>
      <c r="D151" s="492">
        <v>180</v>
      </c>
      <c r="E151" s="492">
        <f t="shared" si="2"/>
        <v>10</v>
      </c>
    </row>
    <row r="152" spans="1:5">
      <c r="A152" s="491">
        <v>149</v>
      </c>
      <c r="B152" s="491" t="s">
        <v>4614</v>
      </c>
      <c r="C152" s="492">
        <v>190</v>
      </c>
      <c r="D152" s="492">
        <v>180</v>
      </c>
      <c r="E152" s="492">
        <f t="shared" si="2"/>
        <v>10</v>
      </c>
    </row>
    <row r="153" spans="1:5">
      <c r="A153" s="491">
        <v>150</v>
      </c>
      <c r="B153" s="491" t="s">
        <v>4615</v>
      </c>
      <c r="C153" s="492">
        <v>190</v>
      </c>
      <c r="D153" s="492">
        <v>180</v>
      </c>
      <c r="E153" s="492">
        <f t="shared" si="2"/>
        <v>10</v>
      </c>
    </row>
    <row r="154" spans="1:5">
      <c r="A154" s="491">
        <v>151</v>
      </c>
      <c r="B154" s="491" t="s">
        <v>4616</v>
      </c>
      <c r="C154" s="492">
        <v>190</v>
      </c>
      <c r="D154" s="492">
        <v>180</v>
      </c>
      <c r="E154" s="492">
        <f t="shared" si="2"/>
        <v>10</v>
      </c>
    </row>
    <row r="155" spans="1:5">
      <c r="A155" s="491">
        <v>152</v>
      </c>
      <c r="B155" s="491" t="s">
        <v>4617</v>
      </c>
      <c r="C155" s="492">
        <v>190</v>
      </c>
      <c r="D155" s="492">
        <v>180</v>
      </c>
      <c r="E155" s="492">
        <f t="shared" si="2"/>
        <v>10</v>
      </c>
    </row>
    <row r="156" spans="1:5">
      <c r="A156" s="491">
        <v>153</v>
      </c>
      <c r="B156" s="491" t="s">
        <v>4618</v>
      </c>
      <c r="C156" s="492">
        <v>190</v>
      </c>
      <c r="D156" s="492">
        <v>180</v>
      </c>
      <c r="E156" s="492">
        <f t="shared" si="2"/>
        <v>10</v>
      </c>
    </row>
    <row r="157" spans="1:5">
      <c r="A157" s="491">
        <v>154</v>
      </c>
      <c r="B157" s="491" t="s">
        <v>4619</v>
      </c>
      <c r="C157" s="492">
        <v>190</v>
      </c>
      <c r="D157" s="492">
        <v>180</v>
      </c>
      <c r="E157" s="492">
        <f t="shared" si="2"/>
        <v>10</v>
      </c>
    </row>
    <row r="158" spans="1:5">
      <c r="A158" s="491">
        <v>155</v>
      </c>
      <c r="B158" s="491" t="s">
        <v>4620</v>
      </c>
      <c r="C158" s="492">
        <v>190</v>
      </c>
      <c r="D158" s="492">
        <v>180</v>
      </c>
      <c r="E158" s="492">
        <f t="shared" si="2"/>
        <v>10</v>
      </c>
    </row>
    <row r="159" spans="1:5">
      <c r="A159" s="491">
        <v>156</v>
      </c>
      <c r="B159" s="491" t="s">
        <v>4621</v>
      </c>
      <c r="C159" s="492">
        <v>190</v>
      </c>
      <c r="D159" s="492">
        <v>180</v>
      </c>
      <c r="E159" s="492">
        <f t="shared" si="2"/>
        <v>10</v>
      </c>
    </row>
    <row r="160" spans="1:5">
      <c r="A160" s="491">
        <v>157</v>
      </c>
      <c r="B160" s="491" t="s">
        <v>4622</v>
      </c>
      <c r="C160" s="492">
        <v>190</v>
      </c>
      <c r="D160" s="492">
        <v>180</v>
      </c>
      <c r="E160" s="492">
        <f t="shared" si="2"/>
        <v>10</v>
      </c>
    </row>
    <row r="161" spans="1:5">
      <c r="A161" s="491">
        <v>158</v>
      </c>
      <c r="B161" s="491" t="s">
        <v>4623</v>
      </c>
      <c r="C161" s="492">
        <v>190</v>
      </c>
      <c r="D161" s="492">
        <v>180</v>
      </c>
      <c r="E161" s="492">
        <f t="shared" si="2"/>
        <v>10</v>
      </c>
    </row>
    <row r="162" spans="1:5">
      <c r="A162" s="491">
        <v>159</v>
      </c>
      <c r="B162" s="491" t="s">
        <v>4624</v>
      </c>
      <c r="C162" s="492">
        <v>190</v>
      </c>
      <c r="D162" s="492">
        <v>180</v>
      </c>
      <c r="E162" s="492">
        <f t="shared" si="2"/>
        <v>10</v>
      </c>
    </row>
    <row r="163" spans="1:5">
      <c r="A163" s="491">
        <v>160</v>
      </c>
      <c r="B163" s="491" t="s">
        <v>4625</v>
      </c>
      <c r="C163" s="492">
        <v>190</v>
      </c>
      <c r="D163" s="492">
        <v>180</v>
      </c>
      <c r="E163" s="492">
        <f t="shared" si="2"/>
        <v>10</v>
      </c>
    </row>
    <row r="164" spans="1:5">
      <c r="A164" s="491">
        <v>161</v>
      </c>
      <c r="B164" s="491" t="s">
        <v>4626</v>
      </c>
      <c r="C164" s="492">
        <v>190</v>
      </c>
      <c r="D164" s="492">
        <v>180</v>
      </c>
      <c r="E164" s="492">
        <f t="shared" si="2"/>
        <v>10</v>
      </c>
    </row>
    <row r="165" spans="1:5">
      <c r="A165" s="491">
        <v>162</v>
      </c>
      <c r="B165" s="491" t="s">
        <v>4627</v>
      </c>
      <c r="C165" s="492">
        <v>190</v>
      </c>
      <c r="D165" s="492">
        <v>180</v>
      </c>
      <c r="E165" s="492">
        <f t="shared" si="2"/>
        <v>10</v>
      </c>
    </row>
    <row r="166" spans="1:5">
      <c r="A166" s="491">
        <v>163</v>
      </c>
      <c r="B166" s="491" t="s">
        <v>4628</v>
      </c>
      <c r="C166" s="492">
        <v>190</v>
      </c>
      <c r="D166" s="492">
        <v>180</v>
      </c>
      <c r="E166" s="492">
        <f t="shared" si="2"/>
        <v>10</v>
      </c>
    </row>
    <row r="167" spans="1:5">
      <c r="A167" s="491">
        <v>164</v>
      </c>
      <c r="B167" s="491" t="s">
        <v>4629</v>
      </c>
      <c r="C167" s="492">
        <v>190</v>
      </c>
      <c r="D167" s="492">
        <v>180</v>
      </c>
      <c r="E167" s="492">
        <f t="shared" si="2"/>
        <v>10</v>
      </c>
    </row>
    <row r="168" spans="1:5">
      <c r="A168" s="491">
        <v>165</v>
      </c>
      <c r="B168" s="491" t="s">
        <v>4630</v>
      </c>
      <c r="C168" s="492">
        <v>190</v>
      </c>
      <c r="D168" s="492">
        <v>180</v>
      </c>
      <c r="E168" s="492">
        <f t="shared" si="2"/>
        <v>10</v>
      </c>
    </row>
    <row r="169" spans="1:5">
      <c r="A169" s="491">
        <v>166</v>
      </c>
      <c r="B169" s="491" t="s">
        <v>4631</v>
      </c>
      <c r="C169" s="492">
        <v>190</v>
      </c>
      <c r="D169" s="492">
        <v>180</v>
      </c>
      <c r="E169" s="492">
        <f t="shared" si="2"/>
        <v>10</v>
      </c>
    </row>
    <row r="170" spans="1:5">
      <c r="A170" s="491">
        <v>167</v>
      </c>
      <c r="B170" s="491" t="s">
        <v>4632</v>
      </c>
      <c r="C170" s="492">
        <v>190</v>
      </c>
      <c r="D170" s="492">
        <v>180</v>
      </c>
      <c r="E170" s="492">
        <f t="shared" si="2"/>
        <v>10</v>
      </c>
    </row>
    <row r="171" spans="1:5">
      <c r="A171" s="491">
        <v>168</v>
      </c>
      <c r="B171" s="491" t="s">
        <v>4633</v>
      </c>
      <c r="C171" s="492">
        <v>190</v>
      </c>
      <c r="D171" s="492">
        <v>180</v>
      </c>
      <c r="E171" s="492">
        <f t="shared" si="2"/>
        <v>10</v>
      </c>
    </row>
    <row r="172" spans="1:5">
      <c r="A172" s="491">
        <v>169</v>
      </c>
      <c r="B172" s="491" t="s">
        <v>4634</v>
      </c>
      <c r="C172" s="492">
        <v>190</v>
      </c>
      <c r="D172" s="492">
        <v>180</v>
      </c>
      <c r="E172" s="492">
        <f t="shared" si="2"/>
        <v>10</v>
      </c>
    </row>
    <row r="173" spans="1:5">
      <c r="A173" s="491">
        <v>170</v>
      </c>
      <c r="B173" s="491" t="s">
        <v>4635</v>
      </c>
      <c r="C173" s="492">
        <v>190</v>
      </c>
      <c r="D173" s="492">
        <v>180</v>
      </c>
      <c r="E173" s="492">
        <f t="shared" si="2"/>
        <v>10</v>
      </c>
    </row>
    <row r="174" spans="1:5">
      <c r="A174" s="491">
        <v>171</v>
      </c>
      <c r="B174" s="491" t="s">
        <v>4636</v>
      </c>
      <c r="C174" s="492">
        <v>190</v>
      </c>
      <c r="D174" s="492">
        <v>180</v>
      </c>
      <c r="E174" s="492">
        <f t="shared" si="2"/>
        <v>10</v>
      </c>
    </row>
    <row r="175" spans="1:5">
      <c r="A175" s="491">
        <v>172</v>
      </c>
      <c r="B175" s="491" t="s">
        <v>4637</v>
      </c>
      <c r="C175" s="492">
        <v>190</v>
      </c>
      <c r="D175" s="492">
        <v>180</v>
      </c>
      <c r="E175" s="492">
        <f t="shared" si="2"/>
        <v>10</v>
      </c>
    </row>
    <row r="176" spans="1:5">
      <c r="A176" s="491">
        <v>173</v>
      </c>
      <c r="B176" s="491" t="s">
        <v>4638</v>
      </c>
      <c r="C176" s="492">
        <v>190</v>
      </c>
      <c r="D176" s="492">
        <v>180</v>
      </c>
      <c r="E176" s="492">
        <f t="shared" si="2"/>
        <v>10</v>
      </c>
    </row>
    <row r="177" spans="1:5">
      <c r="A177" s="491">
        <v>174</v>
      </c>
      <c r="B177" s="491" t="s">
        <v>4639</v>
      </c>
      <c r="C177" s="492">
        <v>227</v>
      </c>
      <c r="D177" s="492">
        <v>160</v>
      </c>
      <c r="E177" s="492">
        <f t="shared" si="2"/>
        <v>67</v>
      </c>
    </row>
    <row r="178" spans="1:5">
      <c r="A178" s="491">
        <v>175</v>
      </c>
      <c r="B178" s="491" t="s">
        <v>4640</v>
      </c>
      <c r="C178" s="492">
        <v>227</v>
      </c>
      <c r="D178" s="492">
        <v>215</v>
      </c>
      <c r="E178" s="492">
        <f t="shared" si="2"/>
        <v>12</v>
      </c>
    </row>
    <row r="179" spans="1:5">
      <c r="A179" s="491">
        <v>176</v>
      </c>
      <c r="B179" s="491" t="s">
        <v>4641</v>
      </c>
      <c r="C179" s="492">
        <v>227</v>
      </c>
      <c r="D179" s="492">
        <v>215</v>
      </c>
      <c r="E179" s="492">
        <f t="shared" si="2"/>
        <v>12</v>
      </c>
    </row>
    <row r="180" spans="1:5">
      <c r="A180" s="491">
        <v>177</v>
      </c>
      <c r="B180" s="491" t="s">
        <v>4642</v>
      </c>
      <c r="C180" s="492">
        <v>227</v>
      </c>
      <c r="D180" s="492">
        <v>215</v>
      </c>
      <c r="E180" s="492">
        <f t="shared" si="2"/>
        <v>12</v>
      </c>
    </row>
    <row r="181" spans="1:5">
      <c r="A181" s="491">
        <v>178</v>
      </c>
      <c r="B181" s="491" t="s">
        <v>4643</v>
      </c>
      <c r="C181" s="492">
        <v>227</v>
      </c>
      <c r="D181" s="492">
        <v>215</v>
      </c>
      <c r="E181" s="492">
        <f t="shared" si="2"/>
        <v>12</v>
      </c>
    </row>
    <row r="182" spans="1:5">
      <c r="A182" s="491">
        <v>179</v>
      </c>
      <c r="B182" s="491" t="s">
        <v>4644</v>
      </c>
      <c r="C182" s="492">
        <v>227</v>
      </c>
      <c r="D182" s="492">
        <v>215</v>
      </c>
      <c r="E182" s="492">
        <f t="shared" si="2"/>
        <v>12</v>
      </c>
    </row>
    <row r="183" spans="1:5">
      <c r="A183" s="491">
        <v>180</v>
      </c>
      <c r="B183" s="491" t="s">
        <v>4645</v>
      </c>
      <c r="C183" s="492">
        <v>232</v>
      </c>
      <c r="D183" s="492">
        <v>180</v>
      </c>
      <c r="E183" s="492">
        <f t="shared" si="2"/>
        <v>52</v>
      </c>
    </row>
    <row r="184" spans="1:5">
      <c r="A184" s="491">
        <v>181</v>
      </c>
      <c r="B184" s="491" t="s">
        <v>4646</v>
      </c>
      <c r="C184" s="492">
        <v>232</v>
      </c>
      <c r="D184" s="492">
        <v>180</v>
      </c>
      <c r="E184" s="492">
        <f t="shared" si="2"/>
        <v>52</v>
      </c>
    </row>
    <row r="185" spans="1:5">
      <c r="A185" s="491">
        <v>182</v>
      </c>
      <c r="B185" s="491" t="s">
        <v>4647</v>
      </c>
      <c r="C185" s="492">
        <v>232</v>
      </c>
      <c r="D185" s="492">
        <v>180</v>
      </c>
      <c r="E185" s="492">
        <f t="shared" si="2"/>
        <v>52</v>
      </c>
    </row>
    <row r="186" spans="1:5">
      <c r="A186" s="491">
        <v>183</v>
      </c>
      <c r="B186" s="491" t="s">
        <v>4648</v>
      </c>
      <c r="C186" s="492">
        <v>232</v>
      </c>
      <c r="D186" s="492">
        <v>220</v>
      </c>
      <c r="E186" s="492">
        <f t="shared" si="2"/>
        <v>12</v>
      </c>
    </row>
    <row r="187" spans="1:5">
      <c r="A187" s="491">
        <v>184</v>
      </c>
      <c r="B187" s="491" t="s">
        <v>4649</v>
      </c>
      <c r="C187" s="492">
        <v>232</v>
      </c>
      <c r="D187" s="492">
        <v>220</v>
      </c>
      <c r="E187" s="492">
        <f t="shared" si="2"/>
        <v>12</v>
      </c>
    </row>
    <row r="188" spans="1:5">
      <c r="A188" s="491">
        <v>185</v>
      </c>
      <c r="B188" s="491" t="s">
        <v>4650</v>
      </c>
      <c r="C188" s="492">
        <v>232</v>
      </c>
      <c r="D188" s="492">
        <v>220</v>
      </c>
      <c r="E188" s="492">
        <f t="shared" si="2"/>
        <v>12</v>
      </c>
    </row>
    <row r="189" spans="1:5">
      <c r="A189" s="491">
        <v>186</v>
      </c>
      <c r="B189" s="491" t="s">
        <v>4651</v>
      </c>
      <c r="C189" s="492">
        <v>232</v>
      </c>
      <c r="D189" s="492">
        <v>220</v>
      </c>
      <c r="E189" s="492">
        <f t="shared" si="2"/>
        <v>12</v>
      </c>
    </row>
    <row r="190" spans="1:5">
      <c r="A190" s="491">
        <v>187</v>
      </c>
      <c r="B190" s="491" t="s">
        <v>4652</v>
      </c>
      <c r="C190" s="492">
        <v>232</v>
      </c>
      <c r="D190" s="492">
        <v>220</v>
      </c>
      <c r="E190" s="492">
        <f t="shared" si="2"/>
        <v>12</v>
      </c>
    </row>
    <row r="191" spans="1:5">
      <c r="A191" s="491">
        <v>188</v>
      </c>
      <c r="B191" s="491" t="s">
        <v>4653</v>
      </c>
      <c r="C191" s="492">
        <v>232</v>
      </c>
      <c r="D191" s="492">
        <v>220</v>
      </c>
      <c r="E191" s="492">
        <f t="shared" si="2"/>
        <v>12</v>
      </c>
    </row>
    <row r="192" spans="1:5">
      <c r="A192" s="491">
        <v>189</v>
      </c>
      <c r="B192" s="491" t="s">
        <v>4654</v>
      </c>
      <c r="C192" s="492">
        <v>232</v>
      </c>
      <c r="D192" s="492">
        <v>220</v>
      </c>
      <c r="E192" s="492">
        <f t="shared" si="2"/>
        <v>12</v>
      </c>
    </row>
    <row r="193" spans="1:5">
      <c r="A193" s="491">
        <v>190</v>
      </c>
      <c r="B193" s="491" t="s">
        <v>4655</v>
      </c>
      <c r="C193" s="492">
        <v>232</v>
      </c>
      <c r="D193" s="492">
        <v>220</v>
      </c>
      <c r="E193" s="492">
        <f t="shared" si="2"/>
        <v>12</v>
      </c>
    </row>
    <row r="194" spans="1:5">
      <c r="A194" s="491">
        <v>191</v>
      </c>
      <c r="B194" s="491" t="s">
        <v>4656</v>
      </c>
      <c r="C194" s="492">
        <v>232</v>
      </c>
      <c r="D194" s="492">
        <v>220</v>
      </c>
      <c r="E194" s="492">
        <f t="shared" si="2"/>
        <v>12</v>
      </c>
    </row>
    <row r="195" spans="1:5">
      <c r="A195" s="491">
        <v>192</v>
      </c>
      <c r="B195" s="491" t="s">
        <v>4657</v>
      </c>
      <c r="C195" s="492">
        <v>232</v>
      </c>
      <c r="D195" s="492">
        <v>220</v>
      </c>
      <c r="E195" s="492">
        <f t="shared" si="2"/>
        <v>12</v>
      </c>
    </row>
    <row r="196" spans="1:5">
      <c r="A196" s="491">
        <v>193</v>
      </c>
      <c r="B196" s="491" t="s">
        <v>4658</v>
      </c>
      <c r="C196" s="492">
        <v>232</v>
      </c>
      <c r="D196" s="492">
        <v>220</v>
      </c>
      <c r="E196" s="492">
        <f t="shared" ref="E196:E259" si="3">C196-D196</f>
        <v>12</v>
      </c>
    </row>
    <row r="197" spans="1:5">
      <c r="A197" s="491">
        <v>194</v>
      </c>
      <c r="B197" s="491" t="s">
        <v>4659</v>
      </c>
      <c r="C197" s="492">
        <v>232</v>
      </c>
      <c r="D197" s="492">
        <v>220</v>
      </c>
      <c r="E197" s="492">
        <f t="shared" si="3"/>
        <v>12</v>
      </c>
    </row>
    <row r="198" spans="1:5">
      <c r="A198" s="491">
        <v>195</v>
      </c>
      <c r="B198" s="491" t="s">
        <v>4660</v>
      </c>
      <c r="C198" s="492">
        <v>232</v>
      </c>
      <c r="D198" s="492">
        <v>220</v>
      </c>
      <c r="E198" s="492">
        <f t="shared" si="3"/>
        <v>12</v>
      </c>
    </row>
    <row r="199" spans="1:5">
      <c r="A199" s="491">
        <v>196</v>
      </c>
      <c r="B199" s="491" t="s">
        <v>4661</v>
      </c>
      <c r="C199" s="492">
        <v>232</v>
      </c>
      <c r="D199" s="492">
        <v>220</v>
      </c>
      <c r="E199" s="492">
        <f t="shared" si="3"/>
        <v>12</v>
      </c>
    </row>
    <row r="200" spans="1:5">
      <c r="A200" s="491">
        <v>197</v>
      </c>
      <c r="B200" s="491" t="s">
        <v>4662</v>
      </c>
      <c r="C200" s="492">
        <v>232</v>
      </c>
      <c r="D200" s="492">
        <v>220</v>
      </c>
      <c r="E200" s="492">
        <f t="shared" si="3"/>
        <v>12</v>
      </c>
    </row>
    <row r="201" spans="1:5">
      <c r="A201" s="491">
        <v>198</v>
      </c>
      <c r="B201" s="491" t="s">
        <v>4663</v>
      </c>
      <c r="C201" s="492">
        <v>232</v>
      </c>
      <c r="D201" s="492">
        <v>220</v>
      </c>
      <c r="E201" s="492">
        <f t="shared" si="3"/>
        <v>12</v>
      </c>
    </row>
    <row r="202" spans="1:5">
      <c r="A202" s="491">
        <v>199</v>
      </c>
      <c r="B202" s="491" t="s">
        <v>4664</v>
      </c>
      <c r="C202" s="492">
        <v>232</v>
      </c>
      <c r="D202" s="492">
        <v>220</v>
      </c>
      <c r="E202" s="492">
        <f t="shared" si="3"/>
        <v>12</v>
      </c>
    </row>
    <row r="203" spans="1:5">
      <c r="A203" s="491">
        <v>200</v>
      </c>
      <c r="B203" s="491" t="s">
        <v>4665</v>
      </c>
      <c r="C203" s="492">
        <v>232</v>
      </c>
      <c r="D203" s="492">
        <v>220</v>
      </c>
      <c r="E203" s="492">
        <f t="shared" si="3"/>
        <v>12</v>
      </c>
    </row>
    <row r="204" spans="1:5">
      <c r="A204" s="491">
        <v>201</v>
      </c>
      <c r="B204" s="491" t="s">
        <v>4666</v>
      </c>
      <c r="C204" s="492">
        <v>232</v>
      </c>
      <c r="D204" s="492">
        <v>220</v>
      </c>
      <c r="E204" s="492">
        <f t="shared" si="3"/>
        <v>12</v>
      </c>
    </row>
    <row r="205" spans="1:5">
      <c r="A205" s="491">
        <v>202</v>
      </c>
      <c r="B205" s="491" t="s">
        <v>4667</v>
      </c>
      <c r="C205" s="492">
        <v>232</v>
      </c>
      <c r="D205" s="492">
        <v>220</v>
      </c>
      <c r="E205" s="492">
        <f t="shared" si="3"/>
        <v>12</v>
      </c>
    </row>
    <row r="206" spans="1:5">
      <c r="A206" s="491">
        <v>203</v>
      </c>
      <c r="B206" s="491" t="s">
        <v>4668</v>
      </c>
      <c r="C206" s="492">
        <v>232</v>
      </c>
      <c r="D206" s="492">
        <v>220</v>
      </c>
      <c r="E206" s="492">
        <f t="shared" si="3"/>
        <v>12</v>
      </c>
    </row>
    <row r="207" spans="1:5">
      <c r="A207" s="491">
        <v>204</v>
      </c>
      <c r="B207" s="491" t="s">
        <v>4669</v>
      </c>
      <c r="C207" s="492">
        <v>232</v>
      </c>
      <c r="D207" s="492">
        <v>220</v>
      </c>
      <c r="E207" s="492">
        <f t="shared" si="3"/>
        <v>12</v>
      </c>
    </row>
    <row r="208" spans="1:5">
      <c r="A208" s="491">
        <v>205</v>
      </c>
      <c r="B208" s="491" t="s">
        <v>4670</v>
      </c>
      <c r="C208" s="492">
        <v>232</v>
      </c>
      <c r="D208" s="492">
        <v>220</v>
      </c>
      <c r="E208" s="492">
        <f t="shared" si="3"/>
        <v>12</v>
      </c>
    </row>
    <row r="209" spans="1:5">
      <c r="A209" s="491">
        <v>206</v>
      </c>
      <c r="B209" s="491" t="s">
        <v>4671</v>
      </c>
      <c r="C209" s="492">
        <v>232</v>
      </c>
      <c r="D209" s="492">
        <v>220</v>
      </c>
      <c r="E209" s="492">
        <f t="shared" si="3"/>
        <v>12</v>
      </c>
    </row>
    <row r="210" spans="1:5">
      <c r="A210" s="491">
        <v>207</v>
      </c>
      <c r="B210" s="491" t="s">
        <v>4672</v>
      </c>
      <c r="C210" s="492">
        <v>232</v>
      </c>
      <c r="D210" s="492">
        <v>220</v>
      </c>
      <c r="E210" s="492">
        <f t="shared" si="3"/>
        <v>12</v>
      </c>
    </row>
    <row r="211" spans="1:5">
      <c r="A211" s="491">
        <v>208</v>
      </c>
      <c r="B211" s="491" t="s">
        <v>4673</v>
      </c>
      <c r="C211" s="492">
        <v>232</v>
      </c>
      <c r="D211" s="492">
        <v>220</v>
      </c>
      <c r="E211" s="492">
        <f t="shared" si="3"/>
        <v>12</v>
      </c>
    </row>
    <row r="212" spans="1:5">
      <c r="A212" s="491">
        <v>209</v>
      </c>
      <c r="B212" s="491" t="s">
        <v>4674</v>
      </c>
      <c r="C212" s="492">
        <v>232</v>
      </c>
      <c r="D212" s="492">
        <v>220</v>
      </c>
      <c r="E212" s="492">
        <f t="shared" si="3"/>
        <v>12</v>
      </c>
    </row>
    <row r="213" spans="1:5">
      <c r="A213" s="491">
        <v>210</v>
      </c>
      <c r="B213" s="491" t="s">
        <v>4675</v>
      </c>
      <c r="C213" s="492">
        <v>232</v>
      </c>
      <c r="D213" s="492">
        <v>220</v>
      </c>
      <c r="E213" s="492">
        <f t="shared" si="3"/>
        <v>12</v>
      </c>
    </row>
    <row r="214" spans="1:5">
      <c r="A214" s="491">
        <v>211</v>
      </c>
      <c r="B214" s="491" t="s">
        <v>4676</v>
      </c>
      <c r="C214" s="492">
        <v>232</v>
      </c>
      <c r="D214" s="492">
        <v>220</v>
      </c>
      <c r="E214" s="492">
        <f t="shared" si="3"/>
        <v>12</v>
      </c>
    </row>
    <row r="215" spans="1:5">
      <c r="A215" s="491">
        <v>212</v>
      </c>
      <c r="B215" s="491" t="s">
        <v>4677</v>
      </c>
      <c r="C215" s="492">
        <v>232</v>
      </c>
      <c r="D215" s="492">
        <v>220</v>
      </c>
      <c r="E215" s="492">
        <f t="shared" si="3"/>
        <v>12</v>
      </c>
    </row>
    <row r="216" spans="1:5">
      <c r="A216" s="491">
        <v>213</v>
      </c>
      <c r="B216" s="491" t="s">
        <v>4678</v>
      </c>
      <c r="C216" s="492">
        <v>232</v>
      </c>
      <c r="D216" s="492">
        <v>220</v>
      </c>
      <c r="E216" s="492">
        <f t="shared" si="3"/>
        <v>12</v>
      </c>
    </row>
    <row r="217" spans="1:5">
      <c r="A217" s="491">
        <v>214</v>
      </c>
      <c r="B217" s="491" t="s">
        <v>4679</v>
      </c>
      <c r="C217" s="492">
        <v>232</v>
      </c>
      <c r="D217" s="492">
        <v>220</v>
      </c>
      <c r="E217" s="492">
        <f t="shared" si="3"/>
        <v>12</v>
      </c>
    </row>
    <row r="218" spans="1:5">
      <c r="A218" s="491">
        <v>215</v>
      </c>
      <c r="B218" s="491" t="s">
        <v>4680</v>
      </c>
      <c r="C218" s="492">
        <v>232</v>
      </c>
      <c r="D218" s="492">
        <v>220</v>
      </c>
      <c r="E218" s="492">
        <f t="shared" si="3"/>
        <v>12</v>
      </c>
    </row>
    <row r="219" spans="1:5">
      <c r="A219" s="491">
        <v>216</v>
      </c>
      <c r="B219" s="491" t="s">
        <v>4681</v>
      </c>
      <c r="C219" s="492">
        <v>232</v>
      </c>
      <c r="D219" s="492">
        <v>220</v>
      </c>
      <c r="E219" s="492">
        <f t="shared" si="3"/>
        <v>12</v>
      </c>
    </row>
    <row r="220" spans="1:5">
      <c r="A220" s="491">
        <v>217</v>
      </c>
      <c r="B220" s="491" t="s">
        <v>4682</v>
      </c>
      <c r="C220" s="492">
        <v>232</v>
      </c>
      <c r="D220" s="492">
        <v>220</v>
      </c>
      <c r="E220" s="492">
        <f t="shared" si="3"/>
        <v>12</v>
      </c>
    </row>
    <row r="221" spans="1:5">
      <c r="A221" s="491">
        <v>218</v>
      </c>
      <c r="B221" s="491" t="s">
        <v>4683</v>
      </c>
      <c r="C221" s="492">
        <v>232</v>
      </c>
      <c r="D221" s="492">
        <v>220</v>
      </c>
      <c r="E221" s="492">
        <f t="shared" si="3"/>
        <v>12</v>
      </c>
    </row>
    <row r="222" spans="1:5">
      <c r="A222" s="491">
        <v>219</v>
      </c>
      <c r="B222" s="491" t="s">
        <v>4684</v>
      </c>
      <c r="C222" s="492">
        <v>232</v>
      </c>
      <c r="D222" s="492">
        <v>220</v>
      </c>
      <c r="E222" s="492">
        <f t="shared" si="3"/>
        <v>12</v>
      </c>
    </row>
    <row r="223" spans="1:5">
      <c r="A223" s="491">
        <v>220</v>
      </c>
      <c r="B223" s="491" t="s">
        <v>4685</v>
      </c>
      <c r="C223" s="492">
        <v>232</v>
      </c>
      <c r="D223" s="492">
        <v>220</v>
      </c>
      <c r="E223" s="492">
        <f t="shared" si="3"/>
        <v>12</v>
      </c>
    </row>
    <row r="224" spans="1:5">
      <c r="A224" s="491">
        <v>221</v>
      </c>
      <c r="B224" s="491" t="s">
        <v>4686</v>
      </c>
      <c r="C224" s="492">
        <v>232</v>
      </c>
      <c r="D224" s="492">
        <v>220</v>
      </c>
      <c r="E224" s="492">
        <f t="shared" si="3"/>
        <v>12</v>
      </c>
    </row>
    <row r="225" spans="1:5">
      <c r="A225" s="491">
        <v>222</v>
      </c>
      <c r="B225" s="491" t="s">
        <v>4687</v>
      </c>
      <c r="C225" s="492">
        <v>232</v>
      </c>
      <c r="D225" s="492">
        <v>220</v>
      </c>
      <c r="E225" s="492">
        <f t="shared" si="3"/>
        <v>12</v>
      </c>
    </row>
    <row r="226" spans="1:5">
      <c r="A226" s="491">
        <v>223</v>
      </c>
      <c r="B226" s="491" t="s">
        <v>4688</v>
      </c>
      <c r="C226" s="492">
        <v>232</v>
      </c>
      <c r="D226" s="492">
        <v>220</v>
      </c>
      <c r="E226" s="492">
        <f t="shared" si="3"/>
        <v>12</v>
      </c>
    </row>
    <row r="227" spans="1:5">
      <c r="A227" s="491">
        <v>224</v>
      </c>
      <c r="B227" s="491" t="s">
        <v>4689</v>
      </c>
      <c r="C227" s="492">
        <v>232</v>
      </c>
      <c r="D227" s="492">
        <v>220</v>
      </c>
      <c r="E227" s="492">
        <f t="shared" si="3"/>
        <v>12</v>
      </c>
    </row>
    <row r="228" spans="1:5">
      <c r="A228" s="491">
        <v>225</v>
      </c>
      <c r="B228" s="491" t="s">
        <v>4690</v>
      </c>
      <c r="C228" s="492">
        <v>232</v>
      </c>
      <c r="D228" s="492">
        <v>220</v>
      </c>
      <c r="E228" s="492">
        <f t="shared" si="3"/>
        <v>12</v>
      </c>
    </row>
    <row r="229" spans="1:5">
      <c r="A229" s="491">
        <v>226</v>
      </c>
      <c r="B229" s="491" t="s">
        <v>4691</v>
      </c>
      <c r="C229" s="492">
        <v>232</v>
      </c>
      <c r="D229" s="492">
        <v>220</v>
      </c>
      <c r="E229" s="492">
        <f t="shared" si="3"/>
        <v>12</v>
      </c>
    </row>
    <row r="230" spans="1:5">
      <c r="A230" s="491">
        <v>227</v>
      </c>
      <c r="B230" s="491" t="s">
        <v>4692</v>
      </c>
      <c r="C230" s="492">
        <v>232</v>
      </c>
      <c r="D230" s="492">
        <v>220</v>
      </c>
      <c r="E230" s="492">
        <f t="shared" si="3"/>
        <v>12</v>
      </c>
    </row>
    <row r="231" spans="1:5">
      <c r="A231" s="491">
        <v>228</v>
      </c>
      <c r="B231" s="491" t="s">
        <v>4693</v>
      </c>
      <c r="C231" s="492">
        <v>232</v>
      </c>
      <c r="D231" s="492">
        <v>220</v>
      </c>
      <c r="E231" s="492">
        <f t="shared" si="3"/>
        <v>12</v>
      </c>
    </row>
    <row r="232" spans="1:5">
      <c r="A232" s="491">
        <v>229</v>
      </c>
      <c r="B232" s="491" t="s">
        <v>4694</v>
      </c>
      <c r="C232" s="492">
        <v>232</v>
      </c>
      <c r="D232" s="492">
        <v>220</v>
      </c>
      <c r="E232" s="492">
        <f t="shared" si="3"/>
        <v>12</v>
      </c>
    </row>
    <row r="233" spans="1:5">
      <c r="A233" s="491">
        <v>230</v>
      </c>
      <c r="B233" s="491" t="s">
        <v>4695</v>
      </c>
      <c r="C233" s="492">
        <v>232</v>
      </c>
      <c r="D233" s="492">
        <v>220</v>
      </c>
      <c r="E233" s="492">
        <f t="shared" si="3"/>
        <v>12</v>
      </c>
    </row>
    <row r="234" spans="1:5">
      <c r="A234" s="491">
        <v>231</v>
      </c>
      <c r="B234" s="491" t="s">
        <v>4696</v>
      </c>
      <c r="C234" s="492">
        <v>232</v>
      </c>
      <c r="D234" s="492">
        <v>220</v>
      </c>
      <c r="E234" s="492">
        <f t="shared" si="3"/>
        <v>12</v>
      </c>
    </row>
    <row r="235" spans="1:5">
      <c r="A235" s="491">
        <v>232</v>
      </c>
      <c r="B235" s="491" t="s">
        <v>4697</v>
      </c>
      <c r="C235" s="492">
        <v>232</v>
      </c>
      <c r="D235" s="492">
        <v>220</v>
      </c>
      <c r="E235" s="492">
        <f t="shared" si="3"/>
        <v>12</v>
      </c>
    </row>
    <row r="236" spans="1:5">
      <c r="A236" s="491">
        <v>233</v>
      </c>
      <c r="B236" s="491" t="s">
        <v>4698</v>
      </c>
      <c r="C236" s="492">
        <v>232</v>
      </c>
      <c r="D236" s="492">
        <v>220</v>
      </c>
      <c r="E236" s="492">
        <f t="shared" si="3"/>
        <v>12</v>
      </c>
    </row>
    <row r="237" spans="1:5">
      <c r="A237" s="491">
        <v>234</v>
      </c>
      <c r="B237" s="491" t="s">
        <v>4699</v>
      </c>
      <c r="C237" s="492">
        <v>232</v>
      </c>
      <c r="D237" s="492">
        <v>220</v>
      </c>
      <c r="E237" s="492">
        <f t="shared" si="3"/>
        <v>12</v>
      </c>
    </row>
    <row r="238" spans="1:5">
      <c r="A238" s="491">
        <v>235</v>
      </c>
      <c r="B238" s="491" t="s">
        <v>4700</v>
      </c>
      <c r="C238" s="492">
        <v>232</v>
      </c>
      <c r="D238" s="492">
        <v>220</v>
      </c>
      <c r="E238" s="492">
        <f t="shared" si="3"/>
        <v>12</v>
      </c>
    </row>
    <row r="239" spans="1:5">
      <c r="A239" s="491">
        <v>236</v>
      </c>
      <c r="B239" s="491" t="s">
        <v>4701</v>
      </c>
      <c r="C239" s="492">
        <v>232</v>
      </c>
      <c r="D239" s="492">
        <v>220</v>
      </c>
      <c r="E239" s="492">
        <f t="shared" si="3"/>
        <v>12</v>
      </c>
    </row>
    <row r="240" spans="1:5">
      <c r="A240" s="491">
        <v>237</v>
      </c>
      <c r="B240" s="491" t="s">
        <v>4702</v>
      </c>
      <c r="C240" s="492">
        <v>232</v>
      </c>
      <c r="D240" s="492">
        <v>220</v>
      </c>
      <c r="E240" s="492">
        <f t="shared" si="3"/>
        <v>12</v>
      </c>
    </row>
    <row r="241" spans="1:5">
      <c r="A241" s="491">
        <v>238</v>
      </c>
      <c r="B241" s="491" t="s">
        <v>4703</v>
      </c>
      <c r="C241" s="492">
        <v>232</v>
      </c>
      <c r="D241" s="492">
        <v>220</v>
      </c>
      <c r="E241" s="492">
        <f t="shared" si="3"/>
        <v>12</v>
      </c>
    </row>
    <row r="242" spans="1:5">
      <c r="A242" s="491">
        <v>239</v>
      </c>
      <c r="B242" s="491" t="s">
        <v>4704</v>
      </c>
      <c r="C242" s="492">
        <v>232</v>
      </c>
      <c r="D242" s="492">
        <v>220</v>
      </c>
      <c r="E242" s="492">
        <f t="shared" si="3"/>
        <v>12</v>
      </c>
    </row>
    <row r="243" spans="1:5">
      <c r="A243" s="491">
        <v>240</v>
      </c>
      <c r="B243" s="491" t="s">
        <v>4705</v>
      </c>
      <c r="C243" s="492">
        <v>232</v>
      </c>
      <c r="D243" s="492">
        <v>220</v>
      </c>
      <c r="E243" s="492">
        <f t="shared" si="3"/>
        <v>12</v>
      </c>
    </row>
    <row r="244" spans="1:5">
      <c r="A244" s="491">
        <v>241</v>
      </c>
      <c r="B244" s="491" t="s">
        <v>4706</v>
      </c>
      <c r="C244" s="492">
        <v>232</v>
      </c>
      <c r="D244" s="492">
        <v>220</v>
      </c>
      <c r="E244" s="492">
        <f t="shared" si="3"/>
        <v>12</v>
      </c>
    </row>
    <row r="245" spans="1:5">
      <c r="A245" s="491">
        <v>242</v>
      </c>
      <c r="B245" s="491" t="s">
        <v>4707</v>
      </c>
      <c r="C245" s="492">
        <v>232</v>
      </c>
      <c r="D245" s="492">
        <v>220</v>
      </c>
      <c r="E245" s="492">
        <f t="shared" si="3"/>
        <v>12</v>
      </c>
    </row>
    <row r="246" spans="1:5">
      <c r="A246" s="491">
        <v>243</v>
      </c>
      <c r="B246" s="491" t="s">
        <v>4708</v>
      </c>
      <c r="C246" s="492">
        <v>232</v>
      </c>
      <c r="D246" s="492">
        <v>220</v>
      </c>
      <c r="E246" s="492">
        <f t="shared" si="3"/>
        <v>12</v>
      </c>
    </row>
    <row r="247" spans="1:5">
      <c r="A247" s="491">
        <v>244</v>
      </c>
      <c r="B247" s="491" t="s">
        <v>4709</v>
      </c>
      <c r="C247" s="492">
        <v>232</v>
      </c>
      <c r="D247" s="492">
        <v>220</v>
      </c>
      <c r="E247" s="492">
        <f t="shared" si="3"/>
        <v>12</v>
      </c>
    </row>
    <row r="248" spans="1:5">
      <c r="A248" s="491">
        <v>245</v>
      </c>
      <c r="B248" s="491" t="s">
        <v>4710</v>
      </c>
      <c r="C248" s="492">
        <v>232</v>
      </c>
      <c r="D248" s="492">
        <v>220</v>
      </c>
      <c r="E248" s="492">
        <f t="shared" si="3"/>
        <v>12</v>
      </c>
    </row>
    <row r="249" spans="1:5">
      <c r="A249" s="491">
        <v>246</v>
      </c>
      <c r="B249" s="491" t="s">
        <v>4711</v>
      </c>
      <c r="C249" s="492">
        <v>232</v>
      </c>
      <c r="D249" s="492">
        <v>220</v>
      </c>
      <c r="E249" s="492">
        <f t="shared" si="3"/>
        <v>12</v>
      </c>
    </row>
    <row r="250" spans="1:5">
      <c r="A250" s="491">
        <v>247</v>
      </c>
      <c r="B250" s="491" t="s">
        <v>4712</v>
      </c>
      <c r="C250" s="492">
        <v>232</v>
      </c>
      <c r="D250" s="492">
        <v>220</v>
      </c>
      <c r="E250" s="492">
        <f t="shared" si="3"/>
        <v>12</v>
      </c>
    </row>
    <row r="251" spans="1:5">
      <c r="A251" s="491">
        <v>248</v>
      </c>
      <c r="B251" s="491" t="s">
        <v>4713</v>
      </c>
      <c r="C251" s="492">
        <v>232</v>
      </c>
      <c r="D251" s="492">
        <v>220</v>
      </c>
      <c r="E251" s="492">
        <f t="shared" si="3"/>
        <v>12</v>
      </c>
    </row>
    <row r="252" spans="1:5">
      <c r="A252" s="491">
        <v>249</v>
      </c>
      <c r="B252" s="491" t="s">
        <v>4714</v>
      </c>
      <c r="C252" s="492">
        <v>232</v>
      </c>
      <c r="D252" s="492">
        <v>220</v>
      </c>
      <c r="E252" s="492">
        <f t="shared" si="3"/>
        <v>12</v>
      </c>
    </row>
    <row r="253" spans="1:5">
      <c r="A253" s="491">
        <v>250</v>
      </c>
      <c r="B253" s="491" t="s">
        <v>4715</v>
      </c>
      <c r="C253" s="492">
        <v>232</v>
      </c>
      <c r="D253" s="492">
        <v>220</v>
      </c>
      <c r="E253" s="492">
        <f t="shared" si="3"/>
        <v>12</v>
      </c>
    </row>
    <row r="254" spans="1:5">
      <c r="A254" s="491">
        <v>251</v>
      </c>
      <c r="B254" s="491" t="s">
        <v>4716</v>
      </c>
      <c r="C254" s="492">
        <v>232</v>
      </c>
      <c r="D254" s="492">
        <v>220</v>
      </c>
      <c r="E254" s="492">
        <f t="shared" si="3"/>
        <v>12</v>
      </c>
    </row>
    <row r="255" spans="1:5">
      <c r="A255" s="491">
        <v>252</v>
      </c>
      <c r="B255" s="491" t="s">
        <v>4717</v>
      </c>
      <c r="C255" s="492">
        <v>232</v>
      </c>
      <c r="D255" s="492">
        <v>220</v>
      </c>
      <c r="E255" s="492">
        <f t="shared" si="3"/>
        <v>12</v>
      </c>
    </row>
    <row r="256" spans="1:5">
      <c r="A256" s="491">
        <v>253</v>
      </c>
      <c r="B256" s="491" t="s">
        <v>4718</v>
      </c>
      <c r="C256" s="492">
        <v>232</v>
      </c>
      <c r="D256" s="492">
        <v>220</v>
      </c>
      <c r="E256" s="492">
        <f t="shared" si="3"/>
        <v>12</v>
      </c>
    </row>
    <row r="257" spans="1:5">
      <c r="A257" s="491">
        <v>254</v>
      </c>
      <c r="B257" s="491" t="s">
        <v>4719</v>
      </c>
      <c r="C257" s="492">
        <v>232</v>
      </c>
      <c r="D257" s="492">
        <v>220</v>
      </c>
      <c r="E257" s="492">
        <f t="shared" si="3"/>
        <v>12</v>
      </c>
    </row>
    <row r="258" spans="1:5">
      <c r="A258" s="491">
        <v>255</v>
      </c>
      <c r="B258" s="491" t="s">
        <v>4720</v>
      </c>
      <c r="C258" s="492">
        <v>232</v>
      </c>
      <c r="D258" s="492">
        <v>220</v>
      </c>
      <c r="E258" s="492">
        <f t="shared" si="3"/>
        <v>12</v>
      </c>
    </row>
    <row r="259" spans="1:5">
      <c r="A259" s="491">
        <v>256</v>
      </c>
      <c r="B259" s="491" t="s">
        <v>4721</v>
      </c>
      <c r="C259" s="492">
        <v>232</v>
      </c>
      <c r="D259" s="492">
        <v>220</v>
      </c>
      <c r="E259" s="492">
        <f t="shared" si="3"/>
        <v>12</v>
      </c>
    </row>
    <row r="260" spans="1:5">
      <c r="A260" s="491">
        <v>257</v>
      </c>
      <c r="B260" s="491" t="s">
        <v>4722</v>
      </c>
      <c r="C260" s="492">
        <v>232</v>
      </c>
      <c r="D260" s="492">
        <v>220</v>
      </c>
      <c r="E260" s="492">
        <f t="shared" ref="E260:E322" si="4">C260-D260</f>
        <v>12</v>
      </c>
    </row>
    <row r="261" spans="1:5">
      <c r="A261" s="491">
        <v>258</v>
      </c>
      <c r="B261" s="491" t="s">
        <v>4723</v>
      </c>
      <c r="C261" s="492">
        <v>232</v>
      </c>
      <c r="D261" s="492">
        <v>220</v>
      </c>
      <c r="E261" s="492">
        <f t="shared" si="4"/>
        <v>12</v>
      </c>
    </row>
    <row r="262" spans="1:5">
      <c r="A262" s="491">
        <v>259</v>
      </c>
      <c r="B262" s="491" t="s">
        <v>4724</v>
      </c>
      <c r="C262" s="492">
        <v>232</v>
      </c>
      <c r="D262" s="492">
        <v>220</v>
      </c>
      <c r="E262" s="492">
        <f t="shared" si="4"/>
        <v>12</v>
      </c>
    </row>
    <row r="263" spans="1:5">
      <c r="A263" s="491">
        <v>260</v>
      </c>
      <c r="B263" s="491" t="s">
        <v>4725</v>
      </c>
      <c r="C263" s="492">
        <v>232</v>
      </c>
      <c r="D263" s="492">
        <v>220</v>
      </c>
      <c r="E263" s="492">
        <f t="shared" si="4"/>
        <v>12</v>
      </c>
    </row>
    <row r="264" spans="1:5">
      <c r="A264" s="491">
        <v>261</v>
      </c>
      <c r="B264" s="491" t="s">
        <v>4726</v>
      </c>
      <c r="C264" s="492">
        <v>232</v>
      </c>
      <c r="D264" s="492">
        <v>220</v>
      </c>
      <c r="E264" s="492">
        <f t="shared" si="4"/>
        <v>12</v>
      </c>
    </row>
    <row r="265" spans="1:5">
      <c r="A265" s="491">
        <v>262</v>
      </c>
      <c r="B265" s="491" t="s">
        <v>4727</v>
      </c>
      <c r="C265" s="492">
        <v>232</v>
      </c>
      <c r="D265" s="492">
        <v>220</v>
      </c>
      <c r="E265" s="492">
        <f t="shared" si="4"/>
        <v>12</v>
      </c>
    </row>
    <row r="266" spans="1:5">
      <c r="A266" s="491">
        <v>263</v>
      </c>
      <c r="B266" s="491" t="s">
        <v>4728</v>
      </c>
      <c r="C266" s="492">
        <v>232</v>
      </c>
      <c r="D266" s="492">
        <v>220</v>
      </c>
      <c r="E266" s="492">
        <f t="shared" si="4"/>
        <v>12</v>
      </c>
    </row>
    <row r="267" spans="1:5">
      <c r="A267" s="491">
        <v>264</v>
      </c>
      <c r="B267" s="491" t="s">
        <v>4729</v>
      </c>
      <c r="C267" s="492">
        <v>232</v>
      </c>
      <c r="D267" s="492">
        <v>220</v>
      </c>
      <c r="E267" s="492">
        <f t="shared" si="4"/>
        <v>12</v>
      </c>
    </row>
    <row r="268" spans="1:5">
      <c r="A268" s="491">
        <v>265</v>
      </c>
      <c r="B268" s="491" t="s">
        <v>4730</v>
      </c>
      <c r="C268" s="492">
        <v>232</v>
      </c>
      <c r="D268" s="492">
        <v>220</v>
      </c>
      <c r="E268" s="492">
        <f t="shared" si="4"/>
        <v>12</v>
      </c>
    </row>
    <row r="269" spans="1:5">
      <c r="A269" s="491">
        <v>266</v>
      </c>
      <c r="B269" s="491" t="s">
        <v>4731</v>
      </c>
      <c r="C269" s="492">
        <v>232</v>
      </c>
      <c r="D269" s="492">
        <v>220</v>
      </c>
      <c r="E269" s="492">
        <f t="shared" si="4"/>
        <v>12</v>
      </c>
    </row>
    <row r="270" spans="1:5">
      <c r="A270" s="491">
        <v>267</v>
      </c>
      <c r="B270" s="491" t="s">
        <v>4732</v>
      </c>
      <c r="C270" s="492">
        <v>232</v>
      </c>
      <c r="D270" s="492">
        <v>220</v>
      </c>
      <c r="E270" s="492">
        <f t="shared" si="4"/>
        <v>12</v>
      </c>
    </row>
    <row r="271" spans="1:5">
      <c r="A271" s="491">
        <v>268</v>
      </c>
      <c r="B271" s="491" t="s">
        <v>4733</v>
      </c>
      <c r="C271" s="492">
        <v>232</v>
      </c>
      <c r="D271" s="492">
        <v>220</v>
      </c>
      <c r="E271" s="492">
        <f t="shared" si="4"/>
        <v>12</v>
      </c>
    </row>
    <row r="272" spans="1:5">
      <c r="A272" s="491">
        <v>269</v>
      </c>
      <c r="B272" s="491" t="s">
        <v>4734</v>
      </c>
      <c r="C272" s="492">
        <v>232</v>
      </c>
      <c r="D272" s="492">
        <v>220</v>
      </c>
      <c r="E272" s="492">
        <f t="shared" si="4"/>
        <v>12</v>
      </c>
    </row>
    <row r="273" spans="1:5">
      <c r="A273" s="491">
        <v>270</v>
      </c>
      <c r="B273" s="491" t="s">
        <v>4735</v>
      </c>
      <c r="C273" s="492">
        <v>232</v>
      </c>
      <c r="D273" s="492">
        <v>220</v>
      </c>
      <c r="E273" s="492">
        <f t="shared" si="4"/>
        <v>12</v>
      </c>
    </row>
    <row r="274" spans="1:5">
      <c r="A274" s="491">
        <v>271</v>
      </c>
      <c r="B274" s="491" t="s">
        <v>4736</v>
      </c>
      <c r="C274" s="492">
        <v>232</v>
      </c>
      <c r="D274" s="492">
        <v>220</v>
      </c>
      <c r="E274" s="492">
        <f t="shared" si="4"/>
        <v>12</v>
      </c>
    </row>
    <row r="275" spans="1:5">
      <c r="A275" s="491">
        <v>272</v>
      </c>
      <c r="B275" s="491" t="s">
        <v>4737</v>
      </c>
      <c r="C275" s="492">
        <v>232</v>
      </c>
      <c r="D275" s="492">
        <v>220</v>
      </c>
      <c r="E275" s="492">
        <f t="shared" si="4"/>
        <v>12</v>
      </c>
    </row>
    <row r="276" spans="1:5">
      <c r="A276" s="491">
        <v>273</v>
      </c>
      <c r="B276" s="491" t="s">
        <v>4738</v>
      </c>
      <c r="C276" s="492">
        <v>232</v>
      </c>
      <c r="D276" s="492">
        <v>220</v>
      </c>
      <c r="E276" s="492">
        <f t="shared" si="4"/>
        <v>12</v>
      </c>
    </row>
    <row r="277" spans="1:5">
      <c r="A277" s="491">
        <v>274</v>
      </c>
      <c r="B277" s="491" t="s">
        <v>4739</v>
      </c>
      <c r="C277" s="492">
        <v>232</v>
      </c>
      <c r="D277" s="492">
        <v>220</v>
      </c>
      <c r="E277" s="492">
        <f t="shared" si="4"/>
        <v>12</v>
      </c>
    </row>
    <row r="278" spans="1:5">
      <c r="A278" s="491">
        <v>275</v>
      </c>
      <c r="B278" s="491" t="s">
        <v>4740</v>
      </c>
      <c r="C278" s="492">
        <v>232</v>
      </c>
      <c r="D278" s="492">
        <v>220</v>
      </c>
      <c r="E278" s="492">
        <f t="shared" si="4"/>
        <v>12</v>
      </c>
    </row>
    <row r="279" spans="1:5">
      <c r="A279" s="491">
        <v>276</v>
      </c>
      <c r="B279" s="491" t="s">
        <v>4741</v>
      </c>
      <c r="C279" s="492">
        <v>232</v>
      </c>
      <c r="D279" s="492">
        <v>220</v>
      </c>
      <c r="E279" s="492">
        <f t="shared" si="4"/>
        <v>12</v>
      </c>
    </row>
    <row r="280" spans="1:5">
      <c r="A280" s="491">
        <v>277</v>
      </c>
      <c r="B280" s="491" t="s">
        <v>4742</v>
      </c>
      <c r="C280" s="492">
        <v>232</v>
      </c>
      <c r="D280" s="492">
        <v>220</v>
      </c>
      <c r="E280" s="492">
        <f t="shared" si="4"/>
        <v>12</v>
      </c>
    </row>
    <row r="281" spans="1:5">
      <c r="A281" s="491">
        <v>278</v>
      </c>
      <c r="B281" s="491" t="s">
        <v>4743</v>
      </c>
      <c r="C281" s="492">
        <v>232</v>
      </c>
      <c r="D281" s="492">
        <v>220</v>
      </c>
      <c r="E281" s="492">
        <f t="shared" si="4"/>
        <v>12</v>
      </c>
    </row>
    <row r="282" spans="1:5">
      <c r="A282" s="491">
        <v>279</v>
      </c>
      <c r="B282" s="491" t="s">
        <v>4744</v>
      </c>
      <c r="C282" s="492">
        <v>232</v>
      </c>
      <c r="D282" s="492">
        <v>220</v>
      </c>
      <c r="E282" s="492">
        <f t="shared" si="4"/>
        <v>12</v>
      </c>
    </row>
    <row r="283" spans="1:5">
      <c r="A283" s="491">
        <v>280</v>
      </c>
      <c r="B283" s="491" t="s">
        <v>4745</v>
      </c>
      <c r="C283" s="492">
        <v>232</v>
      </c>
      <c r="D283" s="492">
        <v>220</v>
      </c>
      <c r="E283" s="492">
        <f t="shared" si="4"/>
        <v>12</v>
      </c>
    </row>
    <row r="284" spans="1:5">
      <c r="A284" s="491">
        <v>281</v>
      </c>
      <c r="B284" s="491" t="s">
        <v>4746</v>
      </c>
      <c r="C284" s="492">
        <v>232</v>
      </c>
      <c r="D284" s="492">
        <v>220</v>
      </c>
      <c r="E284" s="492">
        <f t="shared" si="4"/>
        <v>12</v>
      </c>
    </row>
    <row r="285" spans="1:5">
      <c r="A285" s="491">
        <v>282</v>
      </c>
      <c r="B285" s="491" t="s">
        <v>4747</v>
      </c>
      <c r="C285" s="492">
        <v>232</v>
      </c>
      <c r="D285" s="492">
        <v>220</v>
      </c>
      <c r="E285" s="492">
        <f t="shared" si="4"/>
        <v>12</v>
      </c>
    </row>
    <row r="286" spans="1:5">
      <c r="A286" s="491">
        <v>283</v>
      </c>
      <c r="B286" s="491" t="s">
        <v>4748</v>
      </c>
      <c r="C286" s="492">
        <v>232</v>
      </c>
      <c r="D286" s="492">
        <v>220</v>
      </c>
      <c r="E286" s="492">
        <f t="shared" si="4"/>
        <v>12</v>
      </c>
    </row>
    <row r="287" spans="1:5">
      <c r="A287" s="491">
        <v>284</v>
      </c>
      <c r="B287" s="491" t="s">
        <v>4749</v>
      </c>
      <c r="C287" s="492">
        <v>232</v>
      </c>
      <c r="D287" s="492">
        <v>220</v>
      </c>
      <c r="E287" s="492">
        <f t="shared" si="4"/>
        <v>12</v>
      </c>
    </row>
    <row r="288" spans="1:5">
      <c r="A288" s="491">
        <v>285</v>
      </c>
      <c r="B288" s="491" t="s">
        <v>4750</v>
      </c>
      <c r="C288" s="492">
        <v>232</v>
      </c>
      <c r="D288" s="492">
        <v>220</v>
      </c>
      <c r="E288" s="492">
        <f t="shared" si="4"/>
        <v>12</v>
      </c>
    </row>
    <row r="289" spans="1:5">
      <c r="A289" s="491">
        <v>286</v>
      </c>
      <c r="B289" s="491" t="s">
        <v>4751</v>
      </c>
      <c r="C289" s="492">
        <v>232</v>
      </c>
      <c r="D289" s="492">
        <v>220</v>
      </c>
      <c r="E289" s="492">
        <f t="shared" si="4"/>
        <v>12</v>
      </c>
    </row>
    <row r="290" spans="1:5">
      <c r="A290" s="491">
        <v>287</v>
      </c>
      <c r="B290" s="491" t="s">
        <v>4752</v>
      </c>
      <c r="C290" s="492">
        <v>232</v>
      </c>
      <c r="D290" s="492">
        <v>220</v>
      </c>
      <c r="E290" s="492">
        <f t="shared" si="4"/>
        <v>12</v>
      </c>
    </row>
    <row r="291" spans="1:5">
      <c r="A291" s="491">
        <v>288</v>
      </c>
      <c r="B291" s="491" t="s">
        <v>4753</v>
      </c>
      <c r="C291" s="492">
        <v>232</v>
      </c>
      <c r="D291" s="492">
        <v>220</v>
      </c>
      <c r="E291" s="492">
        <f t="shared" si="4"/>
        <v>12</v>
      </c>
    </row>
    <row r="292" spans="1:5">
      <c r="A292" s="491">
        <v>289</v>
      </c>
      <c r="B292" s="491" t="s">
        <v>4754</v>
      </c>
      <c r="C292" s="492">
        <v>232</v>
      </c>
      <c r="D292" s="492">
        <v>220</v>
      </c>
      <c r="E292" s="492">
        <f t="shared" si="4"/>
        <v>12</v>
      </c>
    </row>
    <row r="293" spans="1:5">
      <c r="A293" s="491">
        <v>290</v>
      </c>
      <c r="B293" s="491" t="s">
        <v>4755</v>
      </c>
      <c r="C293" s="492">
        <v>232</v>
      </c>
      <c r="D293" s="492">
        <v>220</v>
      </c>
      <c r="E293" s="492">
        <f t="shared" si="4"/>
        <v>12</v>
      </c>
    </row>
    <row r="294" spans="1:5">
      <c r="A294" s="491">
        <v>291</v>
      </c>
      <c r="B294" s="491" t="s">
        <v>4756</v>
      </c>
      <c r="C294" s="492">
        <v>232</v>
      </c>
      <c r="D294" s="492">
        <v>220</v>
      </c>
      <c r="E294" s="492">
        <f t="shared" si="4"/>
        <v>12</v>
      </c>
    </row>
    <row r="295" spans="1:5">
      <c r="A295" s="491">
        <v>292</v>
      </c>
      <c r="B295" s="491" t="s">
        <v>4757</v>
      </c>
      <c r="C295" s="492">
        <v>232</v>
      </c>
      <c r="D295" s="492">
        <v>220</v>
      </c>
      <c r="E295" s="492">
        <f t="shared" si="4"/>
        <v>12</v>
      </c>
    </row>
    <row r="296" spans="1:5">
      <c r="A296" s="491">
        <v>293</v>
      </c>
      <c r="B296" s="491" t="s">
        <v>4758</v>
      </c>
      <c r="C296" s="492">
        <v>232</v>
      </c>
      <c r="D296" s="492">
        <v>220</v>
      </c>
      <c r="E296" s="492">
        <f t="shared" si="4"/>
        <v>12</v>
      </c>
    </row>
    <row r="297" spans="1:5">
      <c r="A297" s="491">
        <v>294</v>
      </c>
      <c r="B297" s="491" t="s">
        <v>4759</v>
      </c>
      <c r="C297" s="492">
        <v>232</v>
      </c>
      <c r="D297" s="492">
        <v>220</v>
      </c>
      <c r="E297" s="492">
        <f t="shared" si="4"/>
        <v>12</v>
      </c>
    </row>
    <row r="298" spans="1:5">
      <c r="A298" s="491">
        <v>295</v>
      </c>
      <c r="B298" s="491" t="s">
        <v>4760</v>
      </c>
      <c r="C298" s="492">
        <v>274</v>
      </c>
      <c r="D298" s="492">
        <v>260</v>
      </c>
      <c r="E298" s="492">
        <f t="shared" si="4"/>
        <v>14</v>
      </c>
    </row>
    <row r="299" spans="1:5">
      <c r="A299" s="491">
        <v>296</v>
      </c>
      <c r="B299" s="491" t="s">
        <v>4761</v>
      </c>
      <c r="C299" s="492">
        <v>274</v>
      </c>
      <c r="D299" s="492">
        <v>260</v>
      </c>
      <c r="E299" s="492">
        <f t="shared" si="4"/>
        <v>14</v>
      </c>
    </row>
    <row r="300" spans="1:5">
      <c r="A300" s="491">
        <v>297</v>
      </c>
      <c r="B300" s="491" t="s">
        <v>4762</v>
      </c>
      <c r="C300" s="492">
        <v>274</v>
      </c>
      <c r="D300" s="492">
        <v>260</v>
      </c>
      <c r="E300" s="492">
        <f t="shared" si="4"/>
        <v>14</v>
      </c>
    </row>
    <row r="301" spans="1:5">
      <c r="A301" s="491">
        <v>298</v>
      </c>
      <c r="B301" s="491" t="s">
        <v>4763</v>
      </c>
      <c r="C301" s="492">
        <v>274</v>
      </c>
      <c r="D301" s="492">
        <v>260</v>
      </c>
      <c r="E301" s="492">
        <f t="shared" si="4"/>
        <v>14</v>
      </c>
    </row>
    <row r="302" spans="1:5">
      <c r="A302" s="491">
        <v>299</v>
      </c>
      <c r="B302" s="491" t="s">
        <v>4764</v>
      </c>
      <c r="C302" s="492">
        <v>274</v>
      </c>
      <c r="D302" s="492">
        <v>260</v>
      </c>
      <c r="E302" s="492">
        <f t="shared" si="4"/>
        <v>14</v>
      </c>
    </row>
    <row r="303" spans="1:5">
      <c r="A303" s="491">
        <v>300</v>
      </c>
      <c r="B303" s="491" t="s">
        <v>4765</v>
      </c>
      <c r="C303" s="492">
        <v>274</v>
      </c>
      <c r="D303" s="492">
        <v>260</v>
      </c>
      <c r="E303" s="492">
        <f t="shared" si="4"/>
        <v>14</v>
      </c>
    </row>
    <row r="304" spans="1:5">
      <c r="A304" s="491">
        <v>301</v>
      </c>
      <c r="B304" s="491" t="s">
        <v>4766</v>
      </c>
      <c r="C304" s="492">
        <v>274</v>
      </c>
      <c r="D304" s="492">
        <v>260</v>
      </c>
      <c r="E304" s="492">
        <f t="shared" si="4"/>
        <v>14</v>
      </c>
    </row>
    <row r="305" spans="1:5">
      <c r="A305" s="491">
        <v>302</v>
      </c>
      <c r="B305" s="491" t="s">
        <v>4767</v>
      </c>
      <c r="C305" s="492">
        <v>274</v>
      </c>
      <c r="D305" s="492">
        <v>260</v>
      </c>
      <c r="E305" s="492">
        <f t="shared" si="4"/>
        <v>14</v>
      </c>
    </row>
    <row r="306" spans="1:5">
      <c r="A306" s="491">
        <v>303</v>
      </c>
      <c r="B306" s="491" t="s">
        <v>4768</v>
      </c>
      <c r="C306" s="492">
        <v>274</v>
      </c>
      <c r="D306" s="492">
        <v>260</v>
      </c>
      <c r="E306" s="492">
        <f t="shared" si="4"/>
        <v>14</v>
      </c>
    </row>
    <row r="307" spans="1:5">
      <c r="A307" s="491">
        <v>304</v>
      </c>
      <c r="B307" s="491" t="s">
        <v>4769</v>
      </c>
      <c r="C307" s="492">
        <v>274</v>
      </c>
      <c r="D307" s="492">
        <v>260</v>
      </c>
      <c r="E307" s="492">
        <f t="shared" si="4"/>
        <v>14</v>
      </c>
    </row>
    <row r="308" spans="1:5">
      <c r="A308" s="491">
        <v>305</v>
      </c>
      <c r="B308" s="491" t="s">
        <v>4770</v>
      </c>
      <c r="C308" s="492">
        <v>274</v>
      </c>
      <c r="D308" s="492">
        <v>260</v>
      </c>
      <c r="E308" s="492">
        <f t="shared" si="4"/>
        <v>14</v>
      </c>
    </row>
    <row r="309" spans="1:5">
      <c r="A309" s="491">
        <v>306</v>
      </c>
      <c r="B309" s="491" t="s">
        <v>4771</v>
      </c>
      <c r="C309" s="493">
        <v>322</v>
      </c>
      <c r="D309" s="493">
        <v>305</v>
      </c>
      <c r="E309" s="492">
        <f t="shared" si="4"/>
        <v>17</v>
      </c>
    </row>
    <row r="310" spans="1:5">
      <c r="A310" s="491">
        <v>307</v>
      </c>
      <c r="B310" s="491" t="s">
        <v>4772</v>
      </c>
      <c r="C310" s="492">
        <v>322</v>
      </c>
      <c r="D310" s="492">
        <v>305</v>
      </c>
      <c r="E310" s="492">
        <f t="shared" si="4"/>
        <v>17</v>
      </c>
    </row>
    <row r="311" spans="1:5">
      <c r="A311" s="491">
        <v>308</v>
      </c>
      <c r="B311" s="491" t="s">
        <v>4773</v>
      </c>
      <c r="C311" s="492">
        <v>322</v>
      </c>
      <c r="D311" s="492">
        <v>305</v>
      </c>
      <c r="E311" s="492">
        <f t="shared" si="4"/>
        <v>17</v>
      </c>
    </row>
    <row r="312" spans="1:5">
      <c r="A312" s="491">
        <v>309</v>
      </c>
      <c r="B312" s="491" t="s">
        <v>4774</v>
      </c>
      <c r="C312" s="492">
        <v>322</v>
      </c>
      <c r="D312" s="492">
        <v>305</v>
      </c>
      <c r="E312" s="492">
        <f t="shared" si="4"/>
        <v>17</v>
      </c>
    </row>
    <row r="313" spans="1:5">
      <c r="A313" s="491">
        <v>310</v>
      </c>
      <c r="B313" s="491" t="s">
        <v>4775</v>
      </c>
      <c r="C313" s="492">
        <v>322</v>
      </c>
      <c r="D313" s="492">
        <v>322</v>
      </c>
      <c r="E313" s="492">
        <f t="shared" si="4"/>
        <v>0</v>
      </c>
    </row>
    <row r="314" spans="1:5">
      <c r="A314" s="491">
        <v>311</v>
      </c>
      <c r="B314" s="491" t="s">
        <v>4776</v>
      </c>
      <c r="C314" s="492">
        <v>232</v>
      </c>
      <c r="D314" s="492">
        <v>220</v>
      </c>
      <c r="E314" s="492">
        <f t="shared" si="4"/>
        <v>12</v>
      </c>
    </row>
    <row r="315" spans="1:5">
      <c r="A315" s="491">
        <v>312</v>
      </c>
      <c r="B315" s="491" t="s">
        <v>4777</v>
      </c>
      <c r="C315" s="492">
        <v>232</v>
      </c>
      <c r="D315" s="492">
        <v>220</v>
      </c>
      <c r="E315" s="492">
        <f t="shared" si="4"/>
        <v>12</v>
      </c>
    </row>
    <row r="316" spans="1:5">
      <c r="A316" s="491">
        <v>313</v>
      </c>
      <c r="B316" s="491" t="s">
        <v>4778</v>
      </c>
      <c r="C316" s="492">
        <v>232</v>
      </c>
      <c r="D316" s="492">
        <v>220</v>
      </c>
      <c r="E316" s="492">
        <f t="shared" si="4"/>
        <v>12</v>
      </c>
    </row>
    <row r="317" spans="1:5">
      <c r="A317" s="491">
        <v>314</v>
      </c>
      <c r="B317" s="491" t="s">
        <v>4779</v>
      </c>
      <c r="C317" s="492">
        <v>364</v>
      </c>
      <c r="D317" s="492">
        <v>345</v>
      </c>
      <c r="E317" s="492">
        <f t="shared" si="4"/>
        <v>19</v>
      </c>
    </row>
    <row r="318" spans="1:5">
      <c r="A318" s="491">
        <v>315</v>
      </c>
      <c r="B318" s="491" t="s">
        <v>4780</v>
      </c>
      <c r="C318" s="493">
        <v>364</v>
      </c>
      <c r="D318" s="493">
        <v>345</v>
      </c>
      <c r="E318" s="492">
        <f t="shared" si="4"/>
        <v>19</v>
      </c>
    </row>
    <row r="319" spans="1:5">
      <c r="A319" s="491">
        <v>316</v>
      </c>
      <c r="B319" s="491" t="s">
        <v>4781</v>
      </c>
      <c r="C319" s="492">
        <v>364</v>
      </c>
      <c r="D319" s="492">
        <v>345</v>
      </c>
      <c r="E319" s="492">
        <f t="shared" si="4"/>
        <v>19</v>
      </c>
    </row>
    <row r="320" spans="1:5">
      <c r="A320" s="491">
        <v>317</v>
      </c>
      <c r="B320" s="491" t="s">
        <v>4782</v>
      </c>
      <c r="C320" s="492">
        <v>364</v>
      </c>
      <c r="D320" s="492">
        <v>345</v>
      </c>
      <c r="E320" s="492">
        <f t="shared" si="4"/>
        <v>19</v>
      </c>
    </row>
    <row r="321" spans="1:5">
      <c r="A321" s="491">
        <v>318</v>
      </c>
      <c r="B321" s="491" t="s">
        <v>4783</v>
      </c>
      <c r="C321" s="492">
        <v>364</v>
      </c>
      <c r="D321" s="492">
        <v>345</v>
      </c>
      <c r="E321" s="492">
        <f t="shared" si="4"/>
        <v>19</v>
      </c>
    </row>
    <row r="322" spans="1:5">
      <c r="A322" s="491">
        <v>319</v>
      </c>
      <c r="B322" s="491" t="s">
        <v>4784</v>
      </c>
      <c r="C322" s="492">
        <v>496</v>
      </c>
      <c r="D322" s="492">
        <v>470</v>
      </c>
      <c r="E322" s="492">
        <f t="shared" si="4"/>
        <v>26</v>
      </c>
    </row>
    <row r="323" spans="1:5">
      <c r="B323" t="s">
        <v>4785</v>
      </c>
      <c r="C323" s="490">
        <f>SUM(C4:C322)</f>
        <v>68490</v>
      </c>
      <c r="D323" s="490">
        <f>SUM(D4:D322)</f>
        <v>64764</v>
      </c>
      <c r="E323" s="490">
        <f t="shared" ref="E323" si="5">C323-D323</f>
        <v>3726</v>
      </c>
    </row>
  </sheetData>
  <mergeCells count="2">
    <mergeCell ref="G3:J3"/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68FB-16DE-4563-B087-15426407A543}">
  <dimension ref="A1:U942"/>
  <sheetViews>
    <sheetView showGridLines="0" topLeftCell="B1" zoomScale="91" zoomScaleNormal="91" workbookViewId="0">
      <pane ySplit="1" topLeftCell="A13" activePane="bottomLeft" state="frozen"/>
      <selection pane="bottomLeft" activeCell="M20" sqref="M20"/>
    </sheetView>
  </sheetViews>
  <sheetFormatPr defaultRowHeight="15"/>
  <cols>
    <col min="1" max="1" width="5.42578125" style="49" customWidth="1"/>
    <col min="2" max="2" width="50.42578125" style="49" customWidth="1"/>
    <col min="3" max="3" width="14.5703125" style="229" customWidth="1"/>
    <col min="4" max="4" width="19" style="49" customWidth="1"/>
    <col min="5" max="5" width="14.5703125" style="49" customWidth="1"/>
    <col min="6" max="6" width="19.5703125" style="49" customWidth="1"/>
    <col min="7" max="7" width="9.140625" style="49"/>
    <col min="8" max="8" width="26.140625" style="49" customWidth="1"/>
    <col min="9" max="9" width="12.42578125" style="49" bestFit="1" customWidth="1"/>
    <col min="10" max="10" width="13.5703125" style="49" customWidth="1"/>
    <col min="11" max="11" width="12.7109375" style="49" customWidth="1"/>
    <col min="12" max="12" width="12.140625" style="49" bestFit="1" customWidth="1"/>
    <col min="13" max="13" width="14.28515625" style="49" customWidth="1"/>
    <col min="14" max="14" width="12.140625" style="49" bestFit="1" customWidth="1"/>
    <col min="15" max="15" width="9.140625" style="49"/>
    <col min="16" max="16" width="13.28515625" style="262" customWidth="1"/>
    <col min="17" max="18" width="9.140625" style="49"/>
    <col min="19" max="20" width="13" style="49" customWidth="1"/>
    <col min="21" max="16384" width="9.140625" style="49"/>
  </cols>
  <sheetData>
    <row r="1" spans="1:21" ht="41.25" customHeight="1">
      <c r="A1" s="694" t="s">
        <v>4417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</row>
    <row r="2" spans="1:21" ht="26.25" customHeight="1">
      <c r="B2" s="242"/>
    </row>
    <row r="3" spans="1:21" ht="41.25" customHeight="1">
      <c r="A3" s="695" t="s">
        <v>1047</v>
      </c>
      <c r="B3" s="696"/>
      <c r="C3" s="696"/>
      <c r="D3" s="696"/>
      <c r="E3" s="696"/>
      <c r="F3" s="697"/>
      <c r="H3" s="690" t="s">
        <v>3732</v>
      </c>
      <c r="I3" s="691"/>
      <c r="J3" s="691"/>
      <c r="K3" s="692"/>
    </row>
    <row r="4" spans="1:21" ht="30" customHeight="1">
      <c r="A4" s="698" t="s">
        <v>3687</v>
      </c>
      <c r="B4" s="699"/>
      <c r="C4" s="699"/>
      <c r="D4" s="699"/>
      <c r="E4" s="699"/>
      <c r="F4" s="700"/>
      <c r="H4" s="309" t="s">
        <v>3704</v>
      </c>
      <c r="I4" s="310" t="s">
        <v>3730</v>
      </c>
      <c r="J4" s="310" t="s">
        <v>3730</v>
      </c>
      <c r="K4" s="310" t="s">
        <v>3730</v>
      </c>
    </row>
    <row r="5" spans="1:21" ht="29.25" customHeight="1">
      <c r="A5" s="293" t="s">
        <v>1048</v>
      </c>
      <c r="B5" s="293" t="s">
        <v>1813</v>
      </c>
      <c r="C5" s="293" t="s">
        <v>3731</v>
      </c>
      <c r="D5" s="293" t="s">
        <v>1049</v>
      </c>
      <c r="E5" s="293" t="s">
        <v>1049</v>
      </c>
      <c r="F5" s="293" t="s">
        <v>1050</v>
      </c>
      <c r="H5" s="289" t="s">
        <v>3687</v>
      </c>
      <c r="I5" s="54"/>
      <c r="J5" s="294">
        <f>C27</f>
        <v>5677</v>
      </c>
      <c r="K5" s="54"/>
      <c r="M5" s="263"/>
      <c r="N5" s="290"/>
      <c r="S5" s="262"/>
      <c r="T5" s="262"/>
    </row>
    <row r="6" spans="1:21" ht="37.5" customHeight="1">
      <c r="A6" s="241"/>
      <c r="B6" s="241"/>
      <c r="C6" s="241"/>
      <c r="D6" s="241">
        <v>5700050831</v>
      </c>
      <c r="E6" s="241">
        <v>5700050824</v>
      </c>
      <c r="F6" s="241"/>
      <c r="H6" s="375" t="s">
        <v>3711</v>
      </c>
      <c r="I6" s="54"/>
      <c r="J6" s="54"/>
      <c r="K6" s="54"/>
      <c r="M6" s="263"/>
      <c r="N6" s="290"/>
      <c r="S6" s="268"/>
      <c r="T6" s="268"/>
    </row>
    <row r="7" spans="1:21" ht="29.25" customHeight="1">
      <c r="A7" s="50">
        <v>1</v>
      </c>
      <c r="B7" s="51" t="s">
        <v>1053</v>
      </c>
      <c r="C7" s="230">
        <v>10</v>
      </c>
      <c r="D7" s="53" t="s">
        <v>1052</v>
      </c>
      <c r="E7" s="55"/>
      <c r="F7" s="54"/>
      <c r="H7" s="288" t="s">
        <v>3697</v>
      </c>
      <c r="I7" s="98">
        <f>C558</f>
        <v>108260</v>
      </c>
      <c r="J7" s="54"/>
      <c r="K7" s="54"/>
      <c r="L7" s="290"/>
      <c r="M7" s="518"/>
      <c r="N7" s="290"/>
      <c r="S7" s="269"/>
      <c r="T7" s="269"/>
    </row>
    <row r="8" spans="1:21" ht="27" customHeight="1">
      <c r="A8" s="50">
        <v>2</v>
      </c>
      <c r="B8" s="51" t="s">
        <v>1054</v>
      </c>
      <c r="C8" s="230">
        <v>10</v>
      </c>
      <c r="D8" s="53" t="s">
        <v>1052</v>
      </c>
      <c r="E8" s="55"/>
      <c r="F8" s="54"/>
      <c r="H8" s="288" t="s">
        <v>3696</v>
      </c>
      <c r="I8" s="295">
        <f>C594</f>
        <v>6672</v>
      </c>
      <c r="J8" s="54"/>
      <c r="K8" s="54"/>
      <c r="L8" s="262"/>
      <c r="M8" s="262"/>
      <c r="N8" s="284"/>
      <c r="S8" s="262"/>
      <c r="T8" s="262"/>
    </row>
    <row r="9" spans="1:21" ht="27" customHeight="1">
      <c r="A9" s="50">
        <v>3</v>
      </c>
      <c r="B9" s="51" t="s">
        <v>1055</v>
      </c>
      <c r="C9" s="230">
        <v>10</v>
      </c>
      <c r="D9" s="53" t="s">
        <v>1052</v>
      </c>
      <c r="E9" s="55"/>
      <c r="F9" s="54"/>
      <c r="H9" s="296" t="s">
        <v>3702</v>
      </c>
      <c r="I9" s="54"/>
      <c r="J9" s="300">
        <f>SUM(I7:I8)</f>
        <v>114932</v>
      </c>
      <c r="K9" s="54"/>
      <c r="L9" s="290"/>
      <c r="M9" s="290"/>
      <c r="O9" s="263"/>
      <c r="S9" s="264"/>
      <c r="T9" s="264"/>
    </row>
    <row r="10" spans="1:21" ht="27" customHeight="1">
      <c r="A10" s="50">
        <v>4</v>
      </c>
      <c r="B10" s="51" t="s">
        <v>1056</v>
      </c>
      <c r="C10" s="230">
        <v>10</v>
      </c>
      <c r="D10" s="53" t="s">
        <v>1052</v>
      </c>
      <c r="E10" s="55"/>
      <c r="F10" s="54"/>
      <c r="H10" s="301" t="s">
        <v>3701</v>
      </c>
      <c r="I10" s="302"/>
      <c r="J10" s="303"/>
      <c r="K10" s="304">
        <f>J5+J9</f>
        <v>120609</v>
      </c>
      <c r="N10" s="290"/>
      <c r="T10" s="270"/>
      <c r="U10" s="271"/>
    </row>
    <row r="11" spans="1:21" ht="30" customHeight="1">
      <c r="A11" s="50">
        <v>5</v>
      </c>
      <c r="B11" s="51" t="s">
        <v>1057</v>
      </c>
      <c r="C11" s="230">
        <v>10</v>
      </c>
      <c r="D11" s="53" t="s">
        <v>1052</v>
      </c>
      <c r="E11" s="55"/>
      <c r="F11" s="54"/>
      <c r="H11" s="299" t="s">
        <v>3698</v>
      </c>
      <c r="I11" s="54"/>
      <c r="J11" s="297"/>
      <c r="K11" s="54"/>
      <c r="N11" s="290"/>
      <c r="O11" s="263"/>
      <c r="T11" s="264"/>
    </row>
    <row r="12" spans="1:21" ht="30" customHeight="1">
      <c r="A12" s="50">
        <v>6</v>
      </c>
      <c r="B12" s="51" t="s">
        <v>1058</v>
      </c>
      <c r="C12" s="247">
        <v>10</v>
      </c>
      <c r="D12" s="53" t="s">
        <v>1052</v>
      </c>
      <c r="E12" s="52"/>
      <c r="F12" s="54"/>
      <c r="H12" s="299" t="s">
        <v>4800</v>
      </c>
      <c r="I12" s="54"/>
      <c r="J12" s="421">
        <v>68490</v>
      </c>
      <c r="K12" s="54"/>
      <c r="N12" s="290"/>
    </row>
    <row r="13" spans="1:21" ht="30" customHeight="1">
      <c r="A13" s="50">
        <v>7</v>
      </c>
      <c r="B13" s="51" t="s">
        <v>1059</v>
      </c>
      <c r="C13" s="247">
        <v>10</v>
      </c>
      <c r="D13" s="53" t="s">
        <v>1052</v>
      </c>
      <c r="E13" s="52"/>
      <c r="F13" s="54"/>
      <c r="H13" s="288" t="s">
        <v>3697</v>
      </c>
      <c r="I13" s="98">
        <f>C903</f>
        <v>61654</v>
      </c>
      <c r="J13" s="297"/>
      <c r="K13" s="54"/>
      <c r="L13" s="290"/>
    </row>
    <row r="14" spans="1:21" ht="36.75" customHeight="1">
      <c r="A14" s="50">
        <v>8</v>
      </c>
      <c r="B14" s="51" t="s">
        <v>1060</v>
      </c>
      <c r="C14" s="230">
        <v>12</v>
      </c>
      <c r="D14" s="53" t="s">
        <v>1052</v>
      </c>
      <c r="E14" s="55"/>
      <c r="F14" s="54"/>
      <c r="H14" s="288" t="s">
        <v>3696</v>
      </c>
      <c r="I14" s="295">
        <f>C922</f>
        <v>3110</v>
      </c>
      <c r="J14" s="297"/>
      <c r="K14" s="54"/>
      <c r="L14" s="290"/>
    </row>
    <row r="15" spans="1:21" ht="30" customHeight="1">
      <c r="A15" s="50">
        <v>9</v>
      </c>
      <c r="B15" s="51" t="s">
        <v>1061</v>
      </c>
      <c r="C15" s="230">
        <v>12</v>
      </c>
      <c r="D15" s="53" t="s">
        <v>1052</v>
      </c>
      <c r="E15" s="55"/>
      <c r="F15" s="54"/>
      <c r="H15" s="293" t="s">
        <v>3703</v>
      </c>
      <c r="I15" s="54"/>
      <c r="J15" s="300">
        <f>SUM(I13:I14)</f>
        <v>64764</v>
      </c>
      <c r="K15" s="54"/>
      <c r="L15" s="290"/>
    </row>
    <row r="16" spans="1:21" ht="30" customHeight="1">
      <c r="A16" s="50">
        <v>10</v>
      </c>
      <c r="B16" s="51" t="s">
        <v>1062</v>
      </c>
      <c r="C16" s="230">
        <v>12</v>
      </c>
      <c r="D16" s="53" t="s">
        <v>1052</v>
      </c>
      <c r="E16" s="55"/>
      <c r="F16" s="54"/>
      <c r="H16" s="536" t="s">
        <v>4790</v>
      </c>
      <c r="I16" s="537"/>
      <c r="J16" s="538"/>
      <c r="K16" s="539">
        <f>J12-J15</f>
        <v>3726</v>
      </c>
    </row>
    <row r="17" spans="1:17" ht="30" customHeight="1">
      <c r="A17" s="50">
        <v>11</v>
      </c>
      <c r="B17" s="51" t="s">
        <v>1063</v>
      </c>
      <c r="C17" s="230">
        <v>12</v>
      </c>
      <c r="D17" s="53" t="s">
        <v>1052</v>
      </c>
      <c r="E17" s="55"/>
      <c r="F17" s="54"/>
      <c r="H17" s="298" t="s">
        <v>3699</v>
      </c>
      <c r="I17" s="54"/>
      <c r="J17" s="367">
        <v>220</v>
      </c>
      <c r="K17" s="54"/>
    </row>
    <row r="18" spans="1:17" ht="30" customHeight="1">
      <c r="A18" s="50">
        <v>12</v>
      </c>
      <c r="B18" s="51" t="s">
        <v>1064</v>
      </c>
      <c r="C18" s="230">
        <v>12</v>
      </c>
      <c r="D18" s="53" t="s">
        <v>1052</v>
      </c>
      <c r="E18" s="55"/>
      <c r="F18" s="54"/>
      <c r="H18" s="305" t="s">
        <v>4801</v>
      </c>
      <c r="I18" s="306"/>
      <c r="J18" s="307"/>
      <c r="K18" s="308">
        <f>SUM(J9,J15,J17)</f>
        <v>179916</v>
      </c>
      <c r="Q18" s="271"/>
    </row>
    <row r="19" spans="1:17" ht="30" customHeight="1">
      <c r="A19" s="50">
        <v>13</v>
      </c>
      <c r="B19" s="51" t="s">
        <v>1065</v>
      </c>
      <c r="C19" s="231">
        <v>12</v>
      </c>
      <c r="D19" s="53" t="s">
        <v>1052</v>
      </c>
      <c r="E19" s="56"/>
      <c r="F19" s="54"/>
      <c r="H19" s="291"/>
      <c r="I19" s="263"/>
    </row>
    <row r="20" spans="1:17" ht="30" customHeight="1">
      <c r="A20" s="50">
        <v>14</v>
      </c>
      <c r="B20" s="51" t="s">
        <v>1069</v>
      </c>
      <c r="C20" s="243">
        <v>35</v>
      </c>
      <c r="D20" s="59" t="s">
        <v>1052</v>
      </c>
      <c r="E20" s="64"/>
      <c r="F20" s="60"/>
      <c r="H20" s="264"/>
      <c r="I20" s="265"/>
      <c r="K20" s="290"/>
    </row>
    <row r="21" spans="1:17" ht="30" customHeight="1">
      <c r="A21" s="50">
        <v>15</v>
      </c>
      <c r="B21" s="63" t="s">
        <v>1071</v>
      </c>
      <c r="C21" s="232">
        <v>80</v>
      </c>
      <c r="D21" s="59" t="s">
        <v>1052</v>
      </c>
      <c r="E21" s="59"/>
      <c r="F21" s="60" t="s">
        <v>1072</v>
      </c>
      <c r="G21" s="61"/>
      <c r="H21" s="264"/>
    </row>
    <row r="22" spans="1:17" s="61" customFormat="1" ht="30" customHeight="1">
      <c r="A22" s="50">
        <v>16</v>
      </c>
      <c r="B22" s="63" t="s">
        <v>1073</v>
      </c>
      <c r="C22" s="124">
        <v>80</v>
      </c>
      <c r="D22" s="59" t="s">
        <v>1052</v>
      </c>
      <c r="E22" s="79"/>
      <c r="F22" s="60" t="s">
        <v>1072</v>
      </c>
      <c r="H22" s="262"/>
      <c r="I22" s="49"/>
      <c r="J22" s="49"/>
      <c r="K22" s="49"/>
      <c r="L22" s="49"/>
      <c r="P22" s="272"/>
    </row>
    <row r="23" spans="1:17" s="61" customFormat="1" ht="30" customHeight="1">
      <c r="A23" s="50">
        <v>17</v>
      </c>
      <c r="B23" s="63" t="s">
        <v>1073</v>
      </c>
      <c r="C23" s="124">
        <v>200</v>
      </c>
      <c r="D23" s="59" t="s">
        <v>1052</v>
      </c>
      <c r="E23" s="79"/>
      <c r="F23" s="60" t="s">
        <v>1074</v>
      </c>
      <c r="H23" s="49"/>
      <c r="I23" s="49"/>
      <c r="J23" s="49"/>
      <c r="K23" s="49"/>
      <c r="P23" s="272"/>
    </row>
    <row r="24" spans="1:17" s="61" customFormat="1" ht="30" customHeight="1">
      <c r="A24" s="50">
        <v>18</v>
      </c>
      <c r="B24" s="63" t="s">
        <v>1075</v>
      </c>
      <c r="C24" s="232">
        <v>270</v>
      </c>
      <c r="D24" s="59" t="s">
        <v>1052</v>
      </c>
      <c r="E24" s="59"/>
      <c r="F24" s="60" t="s">
        <v>1076</v>
      </c>
      <c r="K24" s="49"/>
      <c r="P24" s="272"/>
    </row>
    <row r="25" spans="1:17" s="61" customFormat="1" ht="30" customHeight="1">
      <c r="A25" s="50">
        <v>19</v>
      </c>
      <c r="B25" s="63" t="s">
        <v>1073</v>
      </c>
      <c r="C25" s="124">
        <v>270</v>
      </c>
      <c r="D25" s="59" t="s">
        <v>1052</v>
      </c>
      <c r="E25" s="79"/>
      <c r="F25" s="60" t="s">
        <v>1076</v>
      </c>
      <c r="P25" s="272"/>
    </row>
    <row r="26" spans="1:17" s="61" customFormat="1" ht="30" customHeight="1">
      <c r="A26" s="50">
        <v>20</v>
      </c>
      <c r="B26" s="63" t="s">
        <v>3694</v>
      </c>
      <c r="C26" s="232">
        <v>4600</v>
      </c>
      <c r="D26" s="59" t="s">
        <v>1052</v>
      </c>
      <c r="E26" s="112" t="s">
        <v>1626</v>
      </c>
      <c r="F26" s="60"/>
      <c r="P26" s="272"/>
    </row>
    <row r="27" spans="1:17" s="61" customFormat="1" ht="30" customHeight="1">
      <c r="A27" s="68"/>
      <c r="B27" s="252" t="s">
        <v>1045</v>
      </c>
      <c r="C27" s="239">
        <f>SUM(C7:C26)</f>
        <v>5677</v>
      </c>
      <c r="D27" s="69"/>
      <c r="E27" s="70"/>
      <c r="F27" s="71"/>
      <c r="P27" s="272"/>
    </row>
    <row r="28" spans="1:17" s="61" customFormat="1" ht="30" customHeight="1">
      <c r="A28" s="72"/>
      <c r="B28" s="117"/>
      <c r="C28" s="233"/>
      <c r="D28" s="74"/>
      <c r="E28" s="75"/>
      <c r="H28" s="96"/>
      <c r="P28" s="272"/>
    </row>
    <row r="29" spans="1:17" s="61" customFormat="1" ht="30" customHeight="1">
      <c r="A29" s="68"/>
      <c r="B29" s="285" t="s">
        <v>3690</v>
      </c>
      <c r="C29" s="244"/>
      <c r="D29" s="69"/>
      <c r="E29" s="70"/>
      <c r="F29" s="71"/>
      <c r="P29" s="272"/>
    </row>
    <row r="30" spans="1:17" s="61" customFormat="1" ht="30" customHeight="1">
      <c r="A30" s="57">
        <v>1</v>
      </c>
      <c r="B30" s="63" t="s">
        <v>1077</v>
      </c>
      <c r="C30" s="125">
        <v>125</v>
      </c>
      <c r="D30" s="59" t="s">
        <v>1052</v>
      </c>
      <c r="E30" s="76"/>
      <c r="F30" s="60"/>
      <c r="P30" s="272"/>
    </row>
    <row r="31" spans="1:17" s="61" customFormat="1" ht="30" customHeight="1">
      <c r="A31" s="57">
        <v>2</v>
      </c>
      <c r="B31" s="63" t="s">
        <v>1078</v>
      </c>
      <c r="C31" s="125">
        <v>135</v>
      </c>
      <c r="D31" s="59" t="s">
        <v>1052</v>
      </c>
      <c r="E31" s="76"/>
      <c r="F31" s="60"/>
      <c r="P31" s="272"/>
    </row>
    <row r="32" spans="1:17" s="61" customFormat="1" ht="30" customHeight="1">
      <c r="A32" s="57">
        <v>3</v>
      </c>
      <c r="B32" s="63" t="s">
        <v>1079</v>
      </c>
      <c r="C32" s="243">
        <v>160</v>
      </c>
      <c r="D32" s="59" t="s">
        <v>1052</v>
      </c>
      <c r="E32" s="65"/>
      <c r="F32" s="60"/>
      <c r="P32" s="272"/>
    </row>
    <row r="33" spans="1:16" s="61" customFormat="1" ht="30" customHeight="1">
      <c r="A33" s="57">
        <v>4</v>
      </c>
      <c r="B33" s="63" t="s">
        <v>1080</v>
      </c>
      <c r="C33" s="243">
        <f>160+20</f>
        <v>180</v>
      </c>
      <c r="D33" s="59" t="s">
        <v>1052</v>
      </c>
      <c r="E33" s="249"/>
      <c r="F33" s="60"/>
      <c r="P33" s="272"/>
    </row>
    <row r="34" spans="1:16" s="61" customFormat="1" ht="30" customHeight="1">
      <c r="A34" s="57">
        <v>5</v>
      </c>
      <c r="B34" s="63" t="s">
        <v>1081</v>
      </c>
      <c r="C34" s="232">
        <v>180</v>
      </c>
      <c r="D34" s="59" t="s">
        <v>1052</v>
      </c>
      <c r="E34" s="76"/>
      <c r="F34" s="60"/>
      <c r="P34" s="272"/>
    </row>
    <row r="35" spans="1:16" s="61" customFormat="1" ht="30" customHeight="1">
      <c r="A35" s="57">
        <v>6</v>
      </c>
      <c r="B35" s="63" t="s">
        <v>1082</v>
      </c>
      <c r="C35" s="232">
        <v>180</v>
      </c>
      <c r="D35" s="59" t="s">
        <v>1052</v>
      </c>
      <c r="E35" s="59"/>
      <c r="F35" s="60"/>
      <c r="P35" s="272"/>
    </row>
    <row r="36" spans="1:16" s="61" customFormat="1" ht="30" customHeight="1">
      <c r="A36" s="57">
        <v>7</v>
      </c>
      <c r="B36" s="63" t="s">
        <v>1083</v>
      </c>
      <c r="C36" s="243">
        <v>180</v>
      </c>
      <c r="D36" s="59" t="s">
        <v>1052</v>
      </c>
      <c r="E36" s="64"/>
      <c r="F36" s="60"/>
      <c r="P36" s="272"/>
    </row>
    <row r="37" spans="1:16" s="61" customFormat="1" ht="30" customHeight="1">
      <c r="A37" s="57">
        <v>8</v>
      </c>
      <c r="B37" s="63" t="s">
        <v>1084</v>
      </c>
      <c r="C37" s="232">
        <v>180</v>
      </c>
      <c r="D37" s="59" t="s">
        <v>1052</v>
      </c>
      <c r="E37" s="59"/>
      <c r="F37" s="60"/>
      <c r="P37" s="272"/>
    </row>
    <row r="38" spans="1:16" s="61" customFormat="1" ht="30" customHeight="1">
      <c r="A38" s="57">
        <v>9</v>
      </c>
      <c r="B38" s="63" t="s">
        <v>1085</v>
      </c>
      <c r="C38" s="232">
        <v>180</v>
      </c>
      <c r="D38" s="59" t="s">
        <v>1052</v>
      </c>
      <c r="E38" s="59"/>
      <c r="F38" s="60"/>
      <c r="P38" s="272"/>
    </row>
    <row r="39" spans="1:16" s="61" customFormat="1" ht="30" customHeight="1">
      <c r="A39" s="57">
        <v>10</v>
      </c>
      <c r="B39" s="63" t="s">
        <v>1086</v>
      </c>
      <c r="C39" s="232">
        <v>180</v>
      </c>
      <c r="D39" s="59" t="s">
        <v>1052</v>
      </c>
      <c r="E39" s="59"/>
      <c r="F39" s="60"/>
      <c r="P39" s="272"/>
    </row>
    <row r="40" spans="1:16" s="61" customFormat="1" ht="30" customHeight="1">
      <c r="A40" s="57">
        <v>11</v>
      </c>
      <c r="B40" s="63" t="s">
        <v>1087</v>
      </c>
      <c r="C40" s="125">
        <v>180</v>
      </c>
      <c r="D40" s="59" t="s">
        <v>1052</v>
      </c>
      <c r="E40" s="76"/>
      <c r="F40" s="60"/>
      <c r="P40" s="272"/>
    </row>
    <row r="41" spans="1:16" s="61" customFormat="1" ht="30" customHeight="1">
      <c r="A41" s="57">
        <v>12</v>
      </c>
      <c r="B41" s="63" t="s">
        <v>1088</v>
      </c>
      <c r="C41" s="125">
        <v>180</v>
      </c>
      <c r="D41" s="59" t="s">
        <v>1052</v>
      </c>
      <c r="E41" s="76"/>
      <c r="F41" s="60"/>
      <c r="P41" s="272"/>
    </row>
    <row r="42" spans="1:16" s="61" customFormat="1" ht="30" customHeight="1">
      <c r="A42" s="57">
        <v>13</v>
      </c>
      <c r="B42" s="63" t="s">
        <v>1089</v>
      </c>
      <c r="C42" s="125">
        <v>180</v>
      </c>
      <c r="D42" s="59" t="s">
        <v>1052</v>
      </c>
      <c r="E42" s="76"/>
      <c r="F42" s="60"/>
      <c r="P42" s="272"/>
    </row>
    <row r="43" spans="1:16" s="61" customFormat="1" ht="30" customHeight="1">
      <c r="A43" s="57">
        <v>14</v>
      </c>
      <c r="B43" s="63" t="s">
        <v>1090</v>
      </c>
      <c r="C43" s="125">
        <v>180</v>
      </c>
      <c r="D43" s="59" t="s">
        <v>1052</v>
      </c>
      <c r="E43" s="76"/>
      <c r="F43" s="60"/>
      <c r="P43" s="272"/>
    </row>
    <row r="44" spans="1:16" s="61" customFormat="1" ht="30" customHeight="1">
      <c r="A44" s="57">
        <v>15</v>
      </c>
      <c r="B44" s="63" t="s">
        <v>1091</v>
      </c>
      <c r="C44" s="125">
        <v>180</v>
      </c>
      <c r="D44" s="59" t="s">
        <v>1052</v>
      </c>
      <c r="E44" s="76"/>
      <c r="F44" s="60"/>
      <c r="P44" s="272"/>
    </row>
    <row r="45" spans="1:16" s="61" customFormat="1" ht="30" customHeight="1">
      <c r="A45" s="57">
        <v>16</v>
      </c>
      <c r="B45" s="63" t="s">
        <v>1092</v>
      </c>
      <c r="C45" s="125">
        <v>180</v>
      </c>
      <c r="D45" s="59" t="s">
        <v>1052</v>
      </c>
      <c r="E45" s="76"/>
      <c r="F45" s="60"/>
      <c r="P45" s="272"/>
    </row>
    <row r="46" spans="1:16" s="61" customFormat="1" ht="30" customHeight="1">
      <c r="A46" s="57">
        <v>17</v>
      </c>
      <c r="B46" s="63" t="s">
        <v>1093</v>
      </c>
      <c r="C46" s="125">
        <v>180</v>
      </c>
      <c r="D46" s="59" t="s">
        <v>1052</v>
      </c>
      <c r="E46" s="76"/>
      <c r="F46" s="60"/>
      <c r="P46" s="272"/>
    </row>
    <row r="47" spans="1:16" s="61" customFormat="1" ht="30" customHeight="1">
      <c r="A47" s="57">
        <v>18</v>
      </c>
      <c r="B47" s="63" t="s">
        <v>1094</v>
      </c>
      <c r="C47" s="125">
        <v>180</v>
      </c>
      <c r="D47" s="59" t="s">
        <v>1052</v>
      </c>
      <c r="E47" s="76"/>
      <c r="F47" s="60"/>
      <c r="P47" s="272"/>
    </row>
    <row r="48" spans="1:16" s="61" customFormat="1" ht="30" customHeight="1">
      <c r="A48" s="57">
        <v>19</v>
      </c>
      <c r="B48" s="63" t="s">
        <v>1095</v>
      </c>
      <c r="C48" s="125">
        <v>180</v>
      </c>
      <c r="D48" s="59" t="s">
        <v>1052</v>
      </c>
      <c r="E48" s="76"/>
      <c r="F48" s="60"/>
      <c r="P48" s="272"/>
    </row>
    <row r="49" spans="1:16" s="61" customFormat="1" ht="30" customHeight="1">
      <c r="A49" s="57">
        <v>20</v>
      </c>
      <c r="B49" s="63" t="s">
        <v>1096</v>
      </c>
      <c r="C49" s="125">
        <v>180</v>
      </c>
      <c r="D49" s="59" t="s">
        <v>1052</v>
      </c>
      <c r="E49" s="76"/>
      <c r="F49" s="60"/>
      <c r="P49" s="272"/>
    </row>
    <row r="50" spans="1:16" s="78" customFormat="1" ht="30" customHeight="1">
      <c r="A50" s="57">
        <v>21</v>
      </c>
      <c r="B50" s="63" t="s">
        <v>1097</v>
      </c>
      <c r="C50" s="125">
        <v>180</v>
      </c>
      <c r="D50" s="59" t="s">
        <v>1052</v>
      </c>
      <c r="E50" s="76"/>
      <c r="F50" s="60"/>
      <c r="G50" s="61"/>
      <c r="H50" s="61"/>
      <c r="I50" s="61"/>
      <c r="J50" s="61"/>
      <c r="K50" s="61"/>
      <c r="L50" s="61"/>
      <c r="M50" s="61"/>
      <c r="N50" s="61"/>
      <c r="P50" s="273"/>
    </row>
    <row r="51" spans="1:16" s="61" customFormat="1" ht="30" customHeight="1">
      <c r="A51" s="57">
        <v>22</v>
      </c>
      <c r="B51" s="63" t="s">
        <v>1098</v>
      </c>
      <c r="C51" s="125">
        <v>180</v>
      </c>
      <c r="D51" s="59" t="s">
        <v>1052</v>
      </c>
      <c r="E51" s="76"/>
      <c r="F51" s="60"/>
      <c r="L51" s="78"/>
      <c r="M51" s="78"/>
      <c r="N51" s="78"/>
      <c r="P51" s="272"/>
    </row>
    <row r="52" spans="1:16" s="61" customFormat="1" ht="30" customHeight="1">
      <c r="A52" s="57">
        <v>23</v>
      </c>
      <c r="B52" s="63" t="s">
        <v>1099</v>
      </c>
      <c r="C52" s="125">
        <v>180</v>
      </c>
      <c r="D52" s="59" t="s">
        <v>1052</v>
      </c>
      <c r="E52" s="76"/>
      <c r="F52" s="60"/>
      <c r="P52" s="272"/>
    </row>
    <row r="53" spans="1:16" s="61" customFormat="1" ht="30" customHeight="1">
      <c r="A53" s="57">
        <v>24</v>
      </c>
      <c r="B53" s="63" t="s">
        <v>1100</v>
      </c>
      <c r="C53" s="125">
        <v>180</v>
      </c>
      <c r="D53" s="59" t="s">
        <v>1052</v>
      </c>
      <c r="E53" s="76"/>
      <c r="F53" s="60"/>
      <c r="K53" s="77"/>
      <c r="P53" s="272"/>
    </row>
    <row r="54" spans="1:16" s="61" customFormat="1" ht="30" customHeight="1">
      <c r="A54" s="57">
        <v>25</v>
      </c>
      <c r="B54" s="63" t="s">
        <v>1101</v>
      </c>
      <c r="C54" s="125">
        <v>180</v>
      </c>
      <c r="D54" s="59" t="s">
        <v>1052</v>
      </c>
      <c r="E54" s="76"/>
      <c r="F54" s="60"/>
      <c r="P54" s="272"/>
    </row>
    <row r="55" spans="1:16" s="61" customFormat="1" ht="30" customHeight="1">
      <c r="A55" s="57">
        <v>26</v>
      </c>
      <c r="B55" s="63" t="s">
        <v>1102</v>
      </c>
      <c r="C55" s="124">
        <v>180</v>
      </c>
      <c r="D55" s="59" t="s">
        <v>1052</v>
      </c>
      <c r="E55" s="79"/>
      <c r="F55" s="60"/>
      <c r="P55" s="272"/>
    </row>
    <row r="56" spans="1:16" s="61" customFormat="1" ht="30" customHeight="1">
      <c r="A56" s="57">
        <v>27</v>
      </c>
      <c r="B56" s="63" t="s">
        <v>1103</v>
      </c>
      <c r="C56" s="124">
        <v>180</v>
      </c>
      <c r="D56" s="59" t="s">
        <v>1052</v>
      </c>
      <c r="E56" s="79"/>
      <c r="F56" s="60"/>
      <c r="P56" s="272"/>
    </row>
    <row r="57" spans="1:16" s="61" customFormat="1" ht="30" customHeight="1">
      <c r="A57" s="57">
        <v>28</v>
      </c>
      <c r="B57" s="63" t="s">
        <v>1104</v>
      </c>
      <c r="C57" s="124">
        <v>180</v>
      </c>
      <c r="D57" s="59" t="s">
        <v>1052</v>
      </c>
      <c r="E57" s="79"/>
      <c r="F57" s="60"/>
      <c r="P57" s="272"/>
    </row>
    <row r="58" spans="1:16" s="61" customFormat="1" ht="30" customHeight="1">
      <c r="A58" s="57">
        <v>29</v>
      </c>
      <c r="B58" s="63" t="s">
        <v>1105</v>
      </c>
      <c r="C58" s="124">
        <v>180</v>
      </c>
      <c r="D58" s="59" t="s">
        <v>1052</v>
      </c>
      <c r="E58" s="79"/>
      <c r="F58" s="60"/>
      <c r="P58" s="272"/>
    </row>
    <row r="59" spans="1:16" s="61" customFormat="1" ht="30" customHeight="1">
      <c r="A59" s="57">
        <v>30</v>
      </c>
      <c r="B59" s="63" t="s">
        <v>1106</v>
      </c>
      <c r="C59" s="124">
        <v>180</v>
      </c>
      <c r="D59" s="59" t="s">
        <v>1052</v>
      </c>
      <c r="E59" s="79"/>
      <c r="F59" s="60"/>
      <c r="P59" s="272"/>
    </row>
    <row r="60" spans="1:16" s="61" customFormat="1" ht="30" customHeight="1">
      <c r="A60" s="57">
        <v>31</v>
      </c>
      <c r="B60" s="63" t="s">
        <v>1107</v>
      </c>
      <c r="C60" s="124">
        <v>180</v>
      </c>
      <c r="D60" s="59" t="s">
        <v>1052</v>
      </c>
      <c r="E60" s="79"/>
      <c r="F60" s="60"/>
      <c r="P60" s="272"/>
    </row>
    <row r="61" spans="1:16" s="61" customFormat="1" ht="30" customHeight="1">
      <c r="A61" s="57">
        <v>32</v>
      </c>
      <c r="B61" s="63" t="s">
        <v>1108</v>
      </c>
      <c r="C61" s="125">
        <v>180</v>
      </c>
      <c r="D61" s="59" t="s">
        <v>1052</v>
      </c>
      <c r="E61" s="76"/>
      <c r="F61" s="60"/>
      <c r="P61" s="272"/>
    </row>
    <row r="62" spans="1:16" s="61" customFormat="1" ht="30" customHeight="1">
      <c r="A62" s="57">
        <v>33</v>
      </c>
      <c r="B62" s="63" t="s">
        <v>1109</v>
      </c>
      <c r="C62" s="125">
        <v>180</v>
      </c>
      <c r="D62" s="59" t="s">
        <v>1052</v>
      </c>
      <c r="E62" s="76"/>
      <c r="F62" s="60"/>
      <c r="P62" s="272"/>
    </row>
    <row r="63" spans="1:16" s="61" customFormat="1" ht="30" customHeight="1">
      <c r="A63" s="57">
        <v>34</v>
      </c>
      <c r="B63" s="63" t="s">
        <v>1110</v>
      </c>
      <c r="C63" s="125">
        <v>180</v>
      </c>
      <c r="D63" s="59" t="s">
        <v>1052</v>
      </c>
      <c r="E63" s="76"/>
      <c r="F63" s="60"/>
      <c r="P63" s="272"/>
    </row>
    <row r="64" spans="1:16" s="77" customFormat="1" ht="30" customHeight="1">
      <c r="A64" s="57">
        <v>35</v>
      </c>
      <c r="B64" s="63" t="s">
        <v>1111</v>
      </c>
      <c r="C64" s="245">
        <v>180</v>
      </c>
      <c r="D64" s="59" t="s">
        <v>1052</v>
      </c>
      <c r="E64" s="80"/>
      <c r="F64" s="60"/>
      <c r="G64" s="61"/>
      <c r="H64" s="61"/>
      <c r="I64" s="61"/>
      <c r="J64" s="61"/>
      <c r="K64" s="61"/>
      <c r="L64" s="61"/>
      <c r="M64" s="61"/>
      <c r="N64" s="61"/>
      <c r="P64" s="274"/>
    </row>
    <row r="65" spans="1:16" s="61" customFormat="1" ht="30" customHeight="1">
      <c r="A65" s="57">
        <v>36</v>
      </c>
      <c r="B65" s="63" t="s">
        <v>1112</v>
      </c>
      <c r="C65" s="245">
        <v>180</v>
      </c>
      <c r="D65" s="59" t="s">
        <v>1052</v>
      </c>
      <c r="E65" s="80"/>
      <c r="F65" s="60"/>
      <c r="L65" s="77"/>
      <c r="M65" s="77"/>
      <c r="N65" s="77"/>
      <c r="P65" s="272"/>
    </row>
    <row r="66" spans="1:16" s="61" customFormat="1" ht="30" customHeight="1">
      <c r="A66" s="57">
        <v>37</v>
      </c>
      <c r="B66" s="63" t="s">
        <v>1113</v>
      </c>
      <c r="C66" s="245">
        <v>180</v>
      </c>
      <c r="D66" s="59" t="s">
        <v>1052</v>
      </c>
      <c r="E66" s="80"/>
      <c r="F66" s="60"/>
      <c r="P66" s="272"/>
    </row>
    <row r="67" spans="1:16" s="61" customFormat="1" ht="30" customHeight="1">
      <c r="A67" s="57">
        <v>38</v>
      </c>
      <c r="B67" s="63" t="s">
        <v>1114</v>
      </c>
      <c r="C67" s="124">
        <v>180</v>
      </c>
      <c r="D67" s="59" t="s">
        <v>1052</v>
      </c>
      <c r="E67" s="58"/>
      <c r="F67" s="60"/>
      <c r="P67" s="272"/>
    </row>
    <row r="68" spans="1:16" s="61" customFormat="1" ht="30" customHeight="1">
      <c r="A68" s="57">
        <v>39</v>
      </c>
      <c r="B68" s="63" t="s">
        <v>1115</v>
      </c>
      <c r="C68" s="124">
        <v>180</v>
      </c>
      <c r="D68" s="59" t="s">
        <v>1052</v>
      </c>
      <c r="E68" s="58"/>
      <c r="F68" s="60"/>
      <c r="P68" s="272"/>
    </row>
    <row r="69" spans="1:16" s="61" customFormat="1" ht="30" customHeight="1">
      <c r="A69" s="57">
        <v>40</v>
      </c>
      <c r="B69" s="63" t="s">
        <v>1116</v>
      </c>
      <c r="C69" s="124">
        <v>180</v>
      </c>
      <c r="D69" s="59" t="s">
        <v>1052</v>
      </c>
      <c r="E69" s="58"/>
      <c r="F69" s="60"/>
      <c r="P69" s="272"/>
    </row>
    <row r="70" spans="1:16" s="61" customFormat="1" ht="30" customHeight="1">
      <c r="A70" s="57">
        <v>41</v>
      </c>
      <c r="B70" s="63" t="s">
        <v>1117</v>
      </c>
      <c r="C70" s="124">
        <v>180</v>
      </c>
      <c r="D70" s="59" t="s">
        <v>1052</v>
      </c>
      <c r="E70" s="58"/>
      <c r="F70" s="60"/>
      <c r="P70" s="272"/>
    </row>
    <row r="71" spans="1:16" s="61" customFormat="1" ht="30" customHeight="1">
      <c r="A71" s="57">
        <v>42</v>
      </c>
      <c r="B71" s="63" t="s">
        <v>1118</v>
      </c>
      <c r="C71" s="124">
        <v>180</v>
      </c>
      <c r="D71" s="59" t="s">
        <v>1052</v>
      </c>
      <c r="E71" s="58"/>
      <c r="F71" s="60"/>
      <c r="P71" s="272"/>
    </row>
    <row r="72" spans="1:16" s="61" customFormat="1" ht="30" customHeight="1">
      <c r="A72" s="57">
        <v>43</v>
      </c>
      <c r="B72" s="63" t="s">
        <v>1069</v>
      </c>
      <c r="C72" s="124">
        <v>180</v>
      </c>
      <c r="D72" s="59" t="s">
        <v>1052</v>
      </c>
      <c r="E72" s="58"/>
      <c r="F72" s="60"/>
      <c r="P72" s="272"/>
    </row>
    <row r="73" spans="1:16" s="61" customFormat="1" ht="30" customHeight="1">
      <c r="A73" s="57">
        <v>44</v>
      </c>
      <c r="B73" s="63" t="s">
        <v>1119</v>
      </c>
      <c r="C73" s="243">
        <v>180</v>
      </c>
      <c r="D73" s="59" t="s">
        <v>1052</v>
      </c>
      <c r="E73" s="65"/>
      <c r="F73" s="60"/>
      <c r="P73" s="272"/>
    </row>
    <row r="74" spans="1:16" s="61" customFormat="1" ht="30" customHeight="1">
      <c r="A74" s="57">
        <v>45</v>
      </c>
      <c r="B74" s="63" t="s">
        <v>1120</v>
      </c>
      <c r="C74" s="243">
        <v>180</v>
      </c>
      <c r="D74" s="59" t="s">
        <v>1052</v>
      </c>
      <c r="E74" s="65"/>
      <c r="F74" s="60"/>
      <c r="P74" s="272"/>
    </row>
    <row r="75" spans="1:16" s="61" customFormat="1" ht="30" customHeight="1">
      <c r="A75" s="57">
        <v>46</v>
      </c>
      <c r="B75" s="63" t="s">
        <v>1121</v>
      </c>
      <c r="C75" s="243">
        <v>180</v>
      </c>
      <c r="D75" s="59" t="s">
        <v>1052</v>
      </c>
      <c r="E75" s="65"/>
      <c r="F75" s="60"/>
      <c r="P75" s="272"/>
    </row>
    <row r="76" spans="1:16" s="61" customFormat="1" ht="30" customHeight="1">
      <c r="A76" s="57">
        <v>47</v>
      </c>
      <c r="B76" s="63" t="s">
        <v>1122</v>
      </c>
      <c r="C76" s="243">
        <v>180</v>
      </c>
      <c r="D76" s="59" t="s">
        <v>1052</v>
      </c>
      <c r="E76" s="62"/>
      <c r="F76" s="60"/>
      <c r="P76" s="272"/>
    </row>
    <row r="77" spans="1:16" s="61" customFormat="1" ht="30" customHeight="1">
      <c r="A77" s="57">
        <v>48</v>
      </c>
      <c r="B77" s="63" t="s">
        <v>1123</v>
      </c>
      <c r="C77" s="243">
        <v>180</v>
      </c>
      <c r="D77" s="59" t="s">
        <v>1052</v>
      </c>
      <c r="E77" s="62"/>
      <c r="F77" s="60"/>
      <c r="P77" s="272"/>
    </row>
    <row r="78" spans="1:16" s="61" customFormat="1" ht="30" customHeight="1">
      <c r="A78" s="57">
        <v>49</v>
      </c>
      <c r="B78" s="63" t="s">
        <v>1124</v>
      </c>
      <c r="C78" s="243">
        <v>180</v>
      </c>
      <c r="D78" s="59" t="s">
        <v>1052</v>
      </c>
      <c r="E78" s="62"/>
      <c r="F78" s="60"/>
      <c r="P78" s="272"/>
    </row>
    <row r="79" spans="1:16" s="61" customFormat="1" ht="30" customHeight="1">
      <c r="A79" s="57">
        <v>50</v>
      </c>
      <c r="B79" s="63" t="s">
        <v>1125</v>
      </c>
      <c r="C79" s="243">
        <v>180</v>
      </c>
      <c r="D79" s="59" t="s">
        <v>1052</v>
      </c>
      <c r="E79" s="62"/>
      <c r="F79" s="60"/>
      <c r="P79" s="272"/>
    </row>
    <row r="80" spans="1:16" s="61" customFormat="1" ht="30" customHeight="1">
      <c r="A80" s="57">
        <v>51</v>
      </c>
      <c r="B80" s="63" t="s">
        <v>1126</v>
      </c>
      <c r="C80" s="243">
        <v>180</v>
      </c>
      <c r="D80" s="59" t="s">
        <v>1052</v>
      </c>
      <c r="E80" s="62"/>
      <c r="F80" s="60"/>
      <c r="P80" s="272"/>
    </row>
    <row r="81" spans="1:16" s="61" customFormat="1" ht="30" customHeight="1">
      <c r="A81" s="57">
        <v>52</v>
      </c>
      <c r="B81" s="63" t="s">
        <v>1127</v>
      </c>
      <c r="C81" s="243">
        <v>180</v>
      </c>
      <c r="D81" s="59" t="s">
        <v>1052</v>
      </c>
      <c r="E81" s="62"/>
      <c r="F81" s="60"/>
      <c r="P81" s="272"/>
    </row>
    <row r="82" spans="1:16" s="61" customFormat="1" ht="30" customHeight="1">
      <c r="A82" s="57">
        <v>53</v>
      </c>
      <c r="B82" s="63" t="s">
        <v>1128</v>
      </c>
      <c r="C82" s="243">
        <v>180</v>
      </c>
      <c r="D82" s="59" t="s">
        <v>1052</v>
      </c>
      <c r="E82" s="62"/>
      <c r="F82" s="60"/>
      <c r="P82" s="272"/>
    </row>
    <row r="83" spans="1:16" s="61" customFormat="1" ht="30" customHeight="1">
      <c r="A83" s="57">
        <v>54</v>
      </c>
      <c r="B83" s="63" t="s">
        <v>1129</v>
      </c>
      <c r="C83" s="243">
        <v>180</v>
      </c>
      <c r="D83" s="59" t="s">
        <v>1052</v>
      </c>
      <c r="E83" s="62"/>
      <c r="F83" s="60"/>
      <c r="P83" s="272"/>
    </row>
    <row r="84" spans="1:16" s="61" customFormat="1" ht="30" customHeight="1">
      <c r="A84" s="57">
        <v>55</v>
      </c>
      <c r="B84" s="63" t="s">
        <v>1130</v>
      </c>
      <c r="C84" s="243">
        <v>180</v>
      </c>
      <c r="D84" s="59" t="s">
        <v>1052</v>
      </c>
      <c r="E84" s="62"/>
      <c r="F84" s="60"/>
      <c r="P84" s="272"/>
    </row>
    <row r="85" spans="1:16" s="61" customFormat="1" ht="30" customHeight="1">
      <c r="A85" s="57">
        <v>56</v>
      </c>
      <c r="B85" s="63" t="s">
        <v>1131</v>
      </c>
      <c r="C85" s="243">
        <v>180</v>
      </c>
      <c r="D85" s="59" t="s">
        <v>1052</v>
      </c>
      <c r="E85" s="62"/>
      <c r="F85" s="60"/>
      <c r="P85" s="272"/>
    </row>
    <row r="86" spans="1:16" s="61" customFormat="1" ht="30" customHeight="1">
      <c r="A86" s="57">
        <v>57</v>
      </c>
      <c r="B86" s="63" t="s">
        <v>1132</v>
      </c>
      <c r="C86" s="243">
        <v>180</v>
      </c>
      <c r="D86" s="59" t="s">
        <v>1052</v>
      </c>
      <c r="E86" s="62"/>
      <c r="F86" s="60"/>
      <c r="P86" s="272"/>
    </row>
    <row r="87" spans="1:16" s="61" customFormat="1" ht="30" customHeight="1">
      <c r="A87" s="57">
        <v>58</v>
      </c>
      <c r="B87" s="63" t="s">
        <v>1133</v>
      </c>
      <c r="C87" s="243">
        <v>180</v>
      </c>
      <c r="D87" s="59" t="s">
        <v>1052</v>
      </c>
      <c r="E87" s="62"/>
      <c r="F87" s="60"/>
      <c r="P87" s="272"/>
    </row>
    <row r="88" spans="1:16" s="61" customFormat="1" ht="30" customHeight="1">
      <c r="A88" s="57">
        <v>59</v>
      </c>
      <c r="B88" s="63" t="s">
        <v>1134</v>
      </c>
      <c r="C88" s="243">
        <v>180</v>
      </c>
      <c r="D88" s="59" t="s">
        <v>1052</v>
      </c>
      <c r="E88" s="62"/>
      <c r="F88" s="60"/>
      <c r="P88" s="272"/>
    </row>
    <row r="89" spans="1:16" s="61" customFormat="1" ht="30" customHeight="1">
      <c r="A89" s="57">
        <v>60</v>
      </c>
      <c r="B89" s="63" t="s">
        <v>1135</v>
      </c>
      <c r="C89" s="243">
        <v>180</v>
      </c>
      <c r="D89" s="59" t="s">
        <v>1052</v>
      </c>
      <c r="E89" s="62"/>
      <c r="F89" s="60"/>
      <c r="P89" s="272"/>
    </row>
    <row r="90" spans="1:16" s="61" customFormat="1" ht="30" customHeight="1">
      <c r="A90" s="57">
        <v>61</v>
      </c>
      <c r="B90" s="63" t="s">
        <v>1136</v>
      </c>
      <c r="C90" s="243">
        <v>180</v>
      </c>
      <c r="D90" s="59" t="s">
        <v>1052</v>
      </c>
      <c r="E90" s="62"/>
      <c r="F90" s="60"/>
      <c r="P90" s="272"/>
    </row>
    <row r="91" spans="1:16" s="61" customFormat="1" ht="30" customHeight="1">
      <c r="A91" s="57">
        <v>62</v>
      </c>
      <c r="B91" s="63" t="s">
        <v>1137</v>
      </c>
      <c r="C91" s="243">
        <v>180</v>
      </c>
      <c r="D91" s="59" t="s">
        <v>1052</v>
      </c>
      <c r="E91" s="62"/>
      <c r="F91" s="60"/>
      <c r="P91" s="272"/>
    </row>
    <row r="92" spans="1:16" s="61" customFormat="1" ht="30" customHeight="1">
      <c r="A92" s="57">
        <v>63</v>
      </c>
      <c r="B92" s="63" t="s">
        <v>1138</v>
      </c>
      <c r="C92" s="243">
        <v>180</v>
      </c>
      <c r="D92" s="59" t="s">
        <v>1052</v>
      </c>
      <c r="E92" s="62"/>
      <c r="F92" s="60"/>
      <c r="P92" s="272"/>
    </row>
    <row r="93" spans="1:16" s="61" customFormat="1" ht="30" customHeight="1">
      <c r="A93" s="57">
        <v>64</v>
      </c>
      <c r="B93" s="63" t="s">
        <v>1139</v>
      </c>
      <c r="C93" s="243">
        <v>180</v>
      </c>
      <c r="D93" s="59" t="s">
        <v>1052</v>
      </c>
      <c r="E93" s="62"/>
      <c r="F93" s="60"/>
      <c r="P93" s="272"/>
    </row>
    <row r="94" spans="1:16" s="61" customFormat="1" ht="30" customHeight="1">
      <c r="A94" s="57">
        <v>65</v>
      </c>
      <c r="B94" s="63" t="s">
        <v>1140</v>
      </c>
      <c r="C94" s="243">
        <v>180</v>
      </c>
      <c r="D94" s="59" t="s">
        <v>1052</v>
      </c>
      <c r="E94" s="62"/>
      <c r="F94" s="60"/>
      <c r="P94" s="272"/>
    </row>
    <row r="95" spans="1:16" s="61" customFormat="1" ht="30" customHeight="1">
      <c r="A95" s="57">
        <v>66</v>
      </c>
      <c r="B95" s="63" t="s">
        <v>1141</v>
      </c>
      <c r="C95" s="243">
        <v>180</v>
      </c>
      <c r="D95" s="59" t="s">
        <v>1052</v>
      </c>
      <c r="E95" s="62"/>
      <c r="F95" s="60"/>
      <c r="P95" s="272"/>
    </row>
    <row r="96" spans="1:16" s="61" customFormat="1" ht="30" customHeight="1">
      <c r="A96" s="57">
        <v>67</v>
      </c>
      <c r="B96" s="63" t="s">
        <v>1142</v>
      </c>
      <c r="C96" s="243">
        <v>180</v>
      </c>
      <c r="D96" s="59" t="s">
        <v>1052</v>
      </c>
      <c r="E96" s="62"/>
      <c r="F96" s="60"/>
      <c r="P96" s="272"/>
    </row>
    <row r="97" spans="1:16" s="61" customFormat="1" ht="30" customHeight="1">
      <c r="A97" s="57">
        <v>68</v>
      </c>
      <c r="B97" s="63" t="s">
        <v>1143</v>
      </c>
      <c r="C97" s="234">
        <v>180</v>
      </c>
      <c r="D97" s="59" t="s">
        <v>1052</v>
      </c>
      <c r="E97" s="81"/>
      <c r="F97" s="60"/>
      <c r="P97" s="272"/>
    </row>
    <row r="98" spans="1:16" s="61" customFormat="1" ht="30" customHeight="1">
      <c r="A98" s="57">
        <v>69</v>
      </c>
      <c r="B98" s="63" t="s">
        <v>1144</v>
      </c>
      <c r="C98" s="243">
        <v>180</v>
      </c>
      <c r="D98" s="59" t="s">
        <v>1052</v>
      </c>
      <c r="E98" s="62"/>
      <c r="F98" s="60"/>
      <c r="P98" s="272"/>
    </row>
    <row r="99" spans="1:16" s="61" customFormat="1" ht="30" customHeight="1">
      <c r="A99" s="57">
        <v>70</v>
      </c>
      <c r="B99" s="63" t="s">
        <v>1145</v>
      </c>
      <c r="C99" s="234">
        <v>180</v>
      </c>
      <c r="D99" s="59" t="s">
        <v>1052</v>
      </c>
      <c r="E99" s="82"/>
      <c r="F99" s="60"/>
      <c r="P99" s="272"/>
    </row>
    <row r="100" spans="1:16" s="61" customFormat="1" ht="30" customHeight="1">
      <c r="A100" s="57">
        <v>71</v>
      </c>
      <c r="B100" s="63" t="s">
        <v>1146</v>
      </c>
      <c r="C100" s="234">
        <v>180</v>
      </c>
      <c r="D100" s="59" t="s">
        <v>1052</v>
      </c>
      <c r="E100" s="82"/>
      <c r="F100" s="60"/>
      <c r="P100" s="272"/>
    </row>
    <row r="101" spans="1:16" s="61" customFormat="1" ht="30" customHeight="1">
      <c r="A101" s="57">
        <v>72</v>
      </c>
      <c r="B101" s="63" t="s">
        <v>1147</v>
      </c>
      <c r="C101" s="234">
        <v>180</v>
      </c>
      <c r="D101" s="59" t="s">
        <v>1052</v>
      </c>
      <c r="E101" s="82"/>
      <c r="F101" s="60"/>
      <c r="P101" s="272"/>
    </row>
    <row r="102" spans="1:16" s="61" customFormat="1" ht="30" customHeight="1">
      <c r="A102" s="57">
        <v>73</v>
      </c>
      <c r="B102" s="63" t="s">
        <v>1148</v>
      </c>
      <c r="C102" s="234">
        <v>180</v>
      </c>
      <c r="D102" s="59" t="s">
        <v>1052</v>
      </c>
      <c r="E102" s="82"/>
      <c r="F102" s="60"/>
      <c r="P102" s="272"/>
    </row>
    <row r="103" spans="1:16" s="61" customFormat="1" ht="30" customHeight="1">
      <c r="A103" s="57">
        <v>74</v>
      </c>
      <c r="B103" s="63" t="s">
        <v>1149</v>
      </c>
      <c r="C103" s="234">
        <v>180</v>
      </c>
      <c r="D103" s="59" t="s">
        <v>1052</v>
      </c>
      <c r="E103" s="82"/>
      <c r="F103" s="60"/>
      <c r="P103" s="272"/>
    </row>
    <row r="104" spans="1:16" s="61" customFormat="1" ht="30" customHeight="1">
      <c r="A104" s="57">
        <v>75</v>
      </c>
      <c r="B104" s="63" t="s">
        <v>1150</v>
      </c>
      <c r="C104" s="234">
        <v>180</v>
      </c>
      <c r="D104" s="59" t="s">
        <v>1052</v>
      </c>
      <c r="E104" s="82"/>
      <c r="F104" s="60"/>
      <c r="P104" s="272"/>
    </row>
    <row r="105" spans="1:16" s="61" customFormat="1" ht="30" customHeight="1">
      <c r="A105" s="57">
        <v>76</v>
      </c>
      <c r="B105" s="63" t="s">
        <v>1151</v>
      </c>
      <c r="C105" s="234">
        <v>180</v>
      </c>
      <c r="D105" s="59" t="s">
        <v>1052</v>
      </c>
      <c r="E105" s="82"/>
      <c r="F105" s="60"/>
      <c r="P105" s="272"/>
    </row>
    <row r="106" spans="1:16" s="61" customFormat="1" ht="30" customHeight="1">
      <c r="A106" s="57">
        <v>77</v>
      </c>
      <c r="B106" s="63" t="s">
        <v>1152</v>
      </c>
      <c r="C106" s="234">
        <v>180</v>
      </c>
      <c r="D106" s="59" t="s">
        <v>1052</v>
      </c>
      <c r="E106" s="82"/>
      <c r="F106" s="60"/>
      <c r="P106" s="272"/>
    </row>
    <row r="107" spans="1:16" s="61" customFormat="1" ht="30" customHeight="1">
      <c r="A107" s="57">
        <v>78</v>
      </c>
      <c r="B107" s="63" t="s">
        <v>1153</v>
      </c>
      <c r="C107" s="234">
        <v>180</v>
      </c>
      <c r="D107" s="59" t="s">
        <v>1052</v>
      </c>
      <c r="E107" s="82"/>
      <c r="F107" s="60"/>
      <c r="P107" s="272"/>
    </row>
    <row r="108" spans="1:16" s="61" customFormat="1" ht="30" customHeight="1">
      <c r="A108" s="57">
        <v>79</v>
      </c>
      <c r="B108" s="63" t="s">
        <v>1154</v>
      </c>
      <c r="C108" s="234">
        <v>180</v>
      </c>
      <c r="D108" s="59" t="s">
        <v>1052</v>
      </c>
      <c r="E108" s="82"/>
      <c r="F108" s="60"/>
      <c r="P108" s="272"/>
    </row>
    <row r="109" spans="1:16" s="61" customFormat="1" ht="30" customHeight="1">
      <c r="A109" s="57">
        <v>80</v>
      </c>
      <c r="B109" s="63" t="s">
        <v>1155</v>
      </c>
      <c r="C109" s="234">
        <v>180</v>
      </c>
      <c r="D109" s="59" t="s">
        <v>1052</v>
      </c>
      <c r="E109" s="82"/>
      <c r="F109" s="60"/>
      <c r="P109" s="272"/>
    </row>
    <row r="110" spans="1:16" s="61" customFormat="1" ht="30" customHeight="1">
      <c r="A110" s="57">
        <v>81</v>
      </c>
      <c r="B110" s="63" t="s">
        <v>1156</v>
      </c>
      <c r="C110" s="234">
        <v>180</v>
      </c>
      <c r="D110" s="59" t="s">
        <v>1052</v>
      </c>
      <c r="E110" s="82"/>
      <c r="F110" s="60"/>
      <c r="P110" s="272"/>
    </row>
    <row r="111" spans="1:16" s="61" customFormat="1" ht="30" customHeight="1">
      <c r="A111" s="57">
        <v>82</v>
      </c>
      <c r="B111" s="63" t="s">
        <v>1157</v>
      </c>
      <c r="C111" s="243">
        <v>180</v>
      </c>
      <c r="D111" s="59" t="s">
        <v>1052</v>
      </c>
      <c r="E111" s="64"/>
      <c r="F111" s="60"/>
      <c r="P111" s="272"/>
    </row>
    <row r="112" spans="1:16" s="61" customFormat="1" ht="30" customHeight="1">
      <c r="A112" s="57">
        <v>83</v>
      </c>
      <c r="B112" s="63" t="s">
        <v>1158</v>
      </c>
      <c r="C112" s="243">
        <v>180</v>
      </c>
      <c r="D112" s="59" t="s">
        <v>1052</v>
      </c>
      <c r="E112" s="64"/>
      <c r="F112" s="60"/>
      <c r="P112" s="272"/>
    </row>
    <row r="113" spans="1:16" s="61" customFormat="1" ht="30" customHeight="1">
      <c r="A113" s="57">
        <v>84</v>
      </c>
      <c r="B113" s="63" t="s">
        <v>1159</v>
      </c>
      <c r="C113" s="243">
        <v>180</v>
      </c>
      <c r="D113" s="59" t="s">
        <v>1052</v>
      </c>
      <c r="E113" s="64"/>
      <c r="F113" s="60"/>
      <c r="P113" s="272"/>
    </row>
    <row r="114" spans="1:16" s="61" customFormat="1" ht="30" customHeight="1">
      <c r="A114" s="57">
        <v>85</v>
      </c>
      <c r="B114" s="63" t="s">
        <v>1160</v>
      </c>
      <c r="C114" s="243">
        <v>180</v>
      </c>
      <c r="D114" s="59" t="s">
        <v>1052</v>
      </c>
      <c r="E114" s="64"/>
      <c r="F114" s="60"/>
      <c r="P114" s="272"/>
    </row>
    <row r="115" spans="1:16" s="61" customFormat="1" ht="30" customHeight="1">
      <c r="A115" s="57">
        <v>86</v>
      </c>
      <c r="B115" s="63" t="s">
        <v>1161</v>
      </c>
      <c r="C115" s="243">
        <v>180</v>
      </c>
      <c r="D115" s="59" t="s">
        <v>1052</v>
      </c>
      <c r="E115" s="64"/>
      <c r="F115" s="60"/>
      <c r="P115" s="272"/>
    </row>
    <row r="116" spans="1:16" s="61" customFormat="1" ht="30" customHeight="1">
      <c r="A116" s="57">
        <v>87</v>
      </c>
      <c r="B116" s="63" t="s">
        <v>1162</v>
      </c>
      <c r="C116" s="243">
        <v>180</v>
      </c>
      <c r="D116" s="59" t="s">
        <v>1052</v>
      </c>
      <c r="E116" s="64"/>
      <c r="F116" s="60"/>
      <c r="P116" s="272"/>
    </row>
    <row r="117" spans="1:16" s="61" customFormat="1" ht="30" customHeight="1">
      <c r="A117" s="57">
        <v>88</v>
      </c>
      <c r="B117" s="63" t="s">
        <v>1163</v>
      </c>
      <c r="C117" s="243">
        <v>180</v>
      </c>
      <c r="D117" s="59" t="s">
        <v>1052</v>
      </c>
      <c r="E117" s="64"/>
      <c r="F117" s="60"/>
      <c r="P117" s="272"/>
    </row>
    <row r="118" spans="1:16" s="61" customFormat="1" ht="30" customHeight="1">
      <c r="A118" s="57">
        <v>89</v>
      </c>
      <c r="B118" s="63" t="s">
        <v>1164</v>
      </c>
      <c r="C118" s="243">
        <v>180</v>
      </c>
      <c r="D118" s="59" t="s">
        <v>1052</v>
      </c>
      <c r="E118" s="64"/>
      <c r="F118" s="60"/>
      <c r="P118" s="272"/>
    </row>
    <row r="119" spans="1:16" s="61" customFormat="1" ht="30" customHeight="1">
      <c r="A119" s="57">
        <v>90</v>
      </c>
      <c r="B119" s="63" t="s">
        <v>1165</v>
      </c>
      <c r="C119" s="243">
        <v>180</v>
      </c>
      <c r="D119" s="59" t="s">
        <v>1052</v>
      </c>
      <c r="E119" s="64"/>
      <c r="F119" s="60"/>
      <c r="P119" s="272"/>
    </row>
    <row r="120" spans="1:16" s="61" customFormat="1" ht="30" customHeight="1">
      <c r="A120" s="57">
        <v>91</v>
      </c>
      <c r="B120" s="63" t="s">
        <v>1166</v>
      </c>
      <c r="C120" s="243">
        <v>180</v>
      </c>
      <c r="D120" s="59" t="s">
        <v>1052</v>
      </c>
      <c r="E120" s="64"/>
      <c r="F120" s="60"/>
      <c r="P120" s="272"/>
    </row>
    <row r="121" spans="1:16" s="61" customFormat="1" ht="30" customHeight="1">
      <c r="A121" s="57">
        <v>92</v>
      </c>
      <c r="B121" s="63" t="s">
        <v>1167</v>
      </c>
      <c r="C121" s="243">
        <v>180</v>
      </c>
      <c r="D121" s="59" t="s">
        <v>1052</v>
      </c>
      <c r="E121" s="64"/>
      <c r="F121" s="60"/>
      <c r="P121" s="272"/>
    </row>
    <row r="122" spans="1:16" s="61" customFormat="1" ht="30" customHeight="1">
      <c r="A122" s="57">
        <v>93</v>
      </c>
      <c r="B122" s="63" t="s">
        <v>1168</v>
      </c>
      <c r="C122" s="243">
        <v>180</v>
      </c>
      <c r="D122" s="59" t="s">
        <v>1052</v>
      </c>
      <c r="E122" s="64"/>
      <c r="F122" s="60"/>
      <c r="P122" s="272"/>
    </row>
    <row r="123" spans="1:16" s="61" customFormat="1" ht="30" customHeight="1">
      <c r="A123" s="57">
        <v>94</v>
      </c>
      <c r="B123" s="63" t="s">
        <v>1169</v>
      </c>
      <c r="C123" s="243">
        <v>180</v>
      </c>
      <c r="D123" s="59" t="s">
        <v>1052</v>
      </c>
      <c r="E123" s="64"/>
      <c r="F123" s="60"/>
      <c r="P123" s="272"/>
    </row>
    <row r="124" spans="1:16" s="61" customFormat="1" ht="30" customHeight="1">
      <c r="A124" s="57">
        <v>95</v>
      </c>
      <c r="B124" s="63" t="s">
        <v>1051</v>
      </c>
      <c r="C124" s="243">
        <v>180</v>
      </c>
      <c r="D124" s="59" t="s">
        <v>1052</v>
      </c>
      <c r="E124" s="64"/>
      <c r="F124" s="60"/>
      <c r="P124" s="272"/>
    </row>
    <row r="125" spans="1:16" s="61" customFormat="1" ht="30" customHeight="1">
      <c r="A125" s="57">
        <v>96</v>
      </c>
      <c r="B125" s="63" t="s">
        <v>1170</v>
      </c>
      <c r="C125" s="243">
        <v>180</v>
      </c>
      <c r="D125" s="59" t="s">
        <v>1052</v>
      </c>
      <c r="E125" s="64"/>
      <c r="F125" s="60"/>
      <c r="P125" s="272"/>
    </row>
    <row r="126" spans="1:16" s="61" customFormat="1" ht="30" customHeight="1">
      <c r="A126" s="57">
        <v>97</v>
      </c>
      <c r="B126" s="63" t="s">
        <v>1171</v>
      </c>
      <c r="C126" s="243">
        <v>180</v>
      </c>
      <c r="D126" s="59" t="s">
        <v>1052</v>
      </c>
      <c r="E126" s="64"/>
      <c r="F126" s="60"/>
      <c r="P126" s="272"/>
    </row>
    <row r="127" spans="1:16" s="61" customFormat="1" ht="30" customHeight="1">
      <c r="A127" s="57">
        <v>98</v>
      </c>
      <c r="B127" s="63" t="s">
        <v>1172</v>
      </c>
      <c r="C127" s="243">
        <v>180</v>
      </c>
      <c r="D127" s="59" t="s">
        <v>1052</v>
      </c>
      <c r="E127" s="64"/>
      <c r="F127" s="60"/>
      <c r="P127" s="272"/>
    </row>
    <row r="128" spans="1:16" s="61" customFormat="1" ht="30" customHeight="1">
      <c r="A128" s="57">
        <v>99</v>
      </c>
      <c r="B128" s="63" t="s">
        <v>1173</v>
      </c>
      <c r="C128" s="243">
        <v>180</v>
      </c>
      <c r="D128" s="59" t="s">
        <v>1052</v>
      </c>
      <c r="E128" s="64"/>
      <c r="F128" s="60"/>
      <c r="P128" s="272"/>
    </row>
    <row r="129" spans="1:16" s="61" customFormat="1" ht="30" customHeight="1">
      <c r="A129" s="57">
        <v>100</v>
      </c>
      <c r="B129" s="63" t="s">
        <v>1174</v>
      </c>
      <c r="C129" s="243">
        <v>180</v>
      </c>
      <c r="D129" s="59" t="s">
        <v>1052</v>
      </c>
      <c r="E129" s="64"/>
      <c r="F129" s="60"/>
      <c r="P129" s="272"/>
    </row>
    <row r="130" spans="1:16" s="61" customFormat="1" ht="30" customHeight="1">
      <c r="A130" s="57">
        <v>101</v>
      </c>
      <c r="B130" s="63" t="s">
        <v>1059</v>
      </c>
      <c r="C130" s="243">
        <v>180</v>
      </c>
      <c r="D130" s="59" t="s">
        <v>1052</v>
      </c>
      <c r="E130" s="64"/>
      <c r="F130" s="60"/>
      <c r="P130" s="272"/>
    </row>
    <row r="131" spans="1:16" s="61" customFormat="1" ht="30" customHeight="1">
      <c r="A131" s="57">
        <v>102</v>
      </c>
      <c r="B131" s="63" t="s">
        <v>1175</v>
      </c>
      <c r="C131" s="243">
        <v>180</v>
      </c>
      <c r="D131" s="59" t="s">
        <v>1052</v>
      </c>
      <c r="E131" s="64"/>
      <c r="F131" s="60"/>
      <c r="P131" s="272"/>
    </row>
    <row r="132" spans="1:16" s="61" customFormat="1" ht="46.5" customHeight="1">
      <c r="A132" s="57">
        <v>103</v>
      </c>
      <c r="B132" s="63" t="s">
        <v>1176</v>
      </c>
      <c r="C132" s="243">
        <v>180</v>
      </c>
      <c r="D132" s="59" t="s">
        <v>1052</v>
      </c>
      <c r="E132" s="64"/>
      <c r="F132" s="60"/>
      <c r="P132" s="272"/>
    </row>
    <row r="133" spans="1:16" s="61" customFormat="1" ht="30" customHeight="1">
      <c r="A133" s="57">
        <v>104</v>
      </c>
      <c r="B133" s="63" t="s">
        <v>1177</v>
      </c>
      <c r="C133" s="243">
        <v>180</v>
      </c>
      <c r="D133" s="59" t="s">
        <v>1052</v>
      </c>
      <c r="E133" s="64"/>
      <c r="F133" s="60"/>
      <c r="P133" s="272"/>
    </row>
    <row r="134" spans="1:16" s="61" customFormat="1" ht="30" customHeight="1">
      <c r="A134" s="57">
        <v>105</v>
      </c>
      <c r="B134" s="63" t="s">
        <v>1178</v>
      </c>
      <c r="C134" s="243">
        <v>180</v>
      </c>
      <c r="D134" s="59" t="s">
        <v>1052</v>
      </c>
      <c r="E134" s="64"/>
      <c r="F134" s="60"/>
      <c r="P134" s="272"/>
    </row>
    <row r="135" spans="1:16" s="61" customFormat="1" ht="30" customHeight="1">
      <c r="A135" s="57">
        <v>106</v>
      </c>
      <c r="B135" s="63" t="s">
        <v>1179</v>
      </c>
      <c r="C135" s="243">
        <v>180</v>
      </c>
      <c r="D135" s="59" t="s">
        <v>1052</v>
      </c>
      <c r="E135" s="64"/>
      <c r="F135" s="60"/>
      <c r="H135" s="99"/>
      <c r="P135" s="272"/>
    </row>
    <row r="136" spans="1:16" s="61" customFormat="1" ht="30" customHeight="1">
      <c r="A136" s="57">
        <v>107</v>
      </c>
      <c r="B136" s="63" t="s">
        <v>1180</v>
      </c>
      <c r="C136" s="243">
        <v>180</v>
      </c>
      <c r="D136" s="59" t="s">
        <v>1052</v>
      </c>
      <c r="E136" s="64"/>
      <c r="F136" s="60"/>
      <c r="P136" s="272"/>
    </row>
    <row r="137" spans="1:16" s="61" customFormat="1" ht="30" customHeight="1">
      <c r="A137" s="57">
        <v>108</v>
      </c>
      <c r="B137" s="63" t="s">
        <v>1181</v>
      </c>
      <c r="C137" s="243">
        <v>180</v>
      </c>
      <c r="D137" s="59" t="s">
        <v>1052</v>
      </c>
      <c r="E137" s="64"/>
      <c r="F137" s="60"/>
      <c r="P137" s="272"/>
    </row>
    <row r="138" spans="1:16" s="61" customFormat="1" ht="30" customHeight="1">
      <c r="A138" s="57">
        <v>109</v>
      </c>
      <c r="B138" s="63" t="s">
        <v>1182</v>
      </c>
      <c r="C138" s="124">
        <v>180</v>
      </c>
      <c r="D138" s="59" t="s">
        <v>1052</v>
      </c>
      <c r="E138" s="79"/>
      <c r="F138" s="60"/>
      <c r="P138" s="272"/>
    </row>
    <row r="139" spans="1:16" s="61" customFormat="1" ht="30" customHeight="1">
      <c r="A139" s="57">
        <v>110</v>
      </c>
      <c r="B139" s="63" t="s">
        <v>1183</v>
      </c>
      <c r="C139" s="232">
        <v>180</v>
      </c>
      <c r="D139" s="59" t="s">
        <v>1052</v>
      </c>
      <c r="E139" s="59"/>
      <c r="F139" s="60"/>
      <c r="P139" s="272"/>
    </row>
    <row r="140" spans="1:16" s="61" customFormat="1" ht="30" customHeight="1">
      <c r="A140" s="57">
        <v>111</v>
      </c>
      <c r="B140" s="63" t="s">
        <v>1184</v>
      </c>
      <c r="C140" s="232">
        <v>180</v>
      </c>
      <c r="D140" s="59" t="s">
        <v>1052</v>
      </c>
      <c r="E140" s="59"/>
      <c r="F140" s="60"/>
      <c r="P140" s="272"/>
    </row>
    <row r="141" spans="1:16" s="61" customFormat="1" ht="30" customHeight="1">
      <c r="A141" s="57">
        <v>112</v>
      </c>
      <c r="B141" s="63" t="s">
        <v>1075</v>
      </c>
      <c r="C141" s="232">
        <v>180</v>
      </c>
      <c r="D141" s="59" t="s">
        <v>1052</v>
      </c>
      <c r="E141" s="59"/>
      <c r="F141" s="60"/>
      <c r="P141" s="272"/>
    </row>
    <row r="142" spans="1:16" s="61" customFormat="1" ht="30" customHeight="1">
      <c r="A142" s="57">
        <v>113</v>
      </c>
      <c r="B142" s="63" t="s">
        <v>1185</v>
      </c>
      <c r="C142" s="232">
        <v>180</v>
      </c>
      <c r="D142" s="59" t="s">
        <v>1052</v>
      </c>
      <c r="E142" s="59"/>
      <c r="F142" s="60"/>
      <c r="P142" s="272"/>
    </row>
    <row r="143" spans="1:16" s="61" customFormat="1" ht="30" customHeight="1">
      <c r="A143" s="57">
        <v>114</v>
      </c>
      <c r="B143" s="63" t="s">
        <v>1186</v>
      </c>
      <c r="C143" s="232">
        <v>180</v>
      </c>
      <c r="D143" s="59" t="s">
        <v>1052</v>
      </c>
      <c r="E143" s="59"/>
      <c r="F143" s="60"/>
      <c r="P143" s="272"/>
    </row>
    <row r="144" spans="1:16" s="61" customFormat="1" ht="30" customHeight="1">
      <c r="A144" s="57">
        <v>115</v>
      </c>
      <c r="B144" s="63" t="s">
        <v>1187</v>
      </c>
      <c r="C144" s="232">
        <v>180</v>
      </c>
      <c r="D144" s="59" t="s">
        <v>1052</v>
      </c>
      <c r="E144" s="59"/>
      <c r="F144" s="60"/>
      <c r="P144" s="272"/>
    </row>
    <row r="145" spans="1:16" s="61" customFormat="1" ht="30" customHeight="1">
      <c r="A145" s="57">
        <v>116</v>
      </c>
      <c r="B145" s="63" t="s">
        <v>1188</v>
      </c>
      <c r="C145" s="232">
        <v>180</v>
      </c>
      <c r="D145" s="59" t="s">
        <v>1052</v>
      </c>
      <c r="E145" s="59"/>
      <c r="F145" s="60"/>
      <c r="P145" s="272"/>
    </row>
    <row r="146" spans="1:16" s="61" customFormat="1" ht="30" customHeight="1">
      <c r="A146" s="57">
        <v>117</v>
      </c>
      <c r="B146" s="63" t="s">
        <v>1189</v>
      </c>
      <c r="C146" s="232">
        <v>180</v>
      </c>
      <c r="D146" s="59" t="s">
        <v>1052</v>
      </c>
      <c r="E146" s="59"/>
      <c r="F146" s="60"/>
      <c r="P146" s="272"/>
    </row>
    <row r="147" spans="1:16" s="61" customFormat="1" ht="30" customHeight="1">
      <c r="A147" s="57">
        <v>118</v>
      </c>
      <c r="B147" s="63" t="s">
        <v>1190</v>
      </c>
      <c r="C147" s="232">
        <v>180</v>
      </c>
      <c r="D147" s="59" t="s">
        <v>1052</v>
      </c>
      <c r="E147" s="59"/>
      <c r="F147" s="60"/>
      <c r="P147" s="272"/>
    </row>
    <row r="148" spans="1:16" s="61" customFormat="1" ht="30" customHeight="1">
      <c r="A148" s="57">
        <v>119</v>
      </c>
      <c r="B148" s="63" t="s">
        <v>1191</v>
      </c>
      <c r="C148" s="232">
        <v>180</v>
      </c>
      <c r="D148" s="59" t="s">
        <v>1052</v>
      </c>
      <c r="E148" s="59"/>
      <c r="F148" s="60"/>
      <c r="P148" s="272"/>
    </row>
    <row r="149" spans="1:16" s="61" customFormat="1" ht="30" customHeight="1">
      <c r="A149" s="57">
        <v>120</v>
      </c>
      <c r="B149" s="63" t="s">
        <v>1192</v>
      </c>
      <c r="C149" s="232">
        <v>180</v>
      </c>
      <c r="D149" s="59" t="s">
        <v>1052</v>
      </c>
      <c r="E149" s="59"/>
      <c r="F149" s="60"/>
      <c r="P149" s="272"/>
    </row>
    <row r="150" spans="1:16" s="61" customFormat="1" ht="30" customHeight="1">
      <c r="A150" s="57">
        <v>121</v>
      </c>
      <c r="B150" s="63" t="s">
        <v>1193</v>
      </c>
      <c r="C150" s="232">
        <v>180</v>
      </c>
      <c r="D150" s="59" t="s">
        <v>1052</v>
      </c>
      <c r="E150" s="59"/>
      <c r="F150" s="60"/>
      <c r="P150" s="272"/>
    </row>
    <row r="151" spans="1:16" s="61" customFormat="1" ht="30" customHeight="1">
      <c r="A151" s="57">
        <v>122</v>
      </c>
      <c r="B151" s="63" t="s">
        <v>1194</v>
      </c>
      <c r="C151" s="232">
        <v>180</v>
      </c>
      <c r="D151" s="59" t="s">
        <v>1052</v>
      </c>
      <c r="E151" s="59"/>
      <c r="F151" s="60"/>
      <c r="P151" s="272"/>
    </row>
    <row r="152" spans="1:16" s="61" customFormat="1" ht="30" customHeight="1">
      <c r="A152" s="57">
        <v>123</v>
      </c>
      <c r="B152" s="63" t="s">
        <v>1195</v>
      </c>
      <c r="C152" s="232">
        <v>180</v>
      </c>
      <c r="D152" s="59" t="s">
        <v>1052</v>
      </c>
      <c r="E152" s="59"/>
      <c r="F152" s="60"/>
      <c r="P152" s="272"/>
    </row>
    <row r="153" spans="1:16" s="61" customFormat="1" ht="30" customHeight="1">
      <c r="A153" s="57">
        <v>124</v>
      </c>
      <c r="B153" s="63" t="s">
        <v>1196</v>
      </c>
      <c r="C153" s="232">
        <v>180</v>
      </c>
      <c r="D153" s="59" t="s">
        <v>1052</v>
      </c>
      <c r="E153" s="59"/>
      <c r="F153" s="60"/>
      <c r="P153" s="272"/>
    </row>
    <row r="154" spans="1:16" s="61" customFormat="1" ht="30" customHeight="1">
      <c r="A154" s="57">
        <v>125</v>
      </c>
      <c r="B154" s="63" t="s">
        <v>1197</v>
      </c>
      <c r="C154" s="232">
        <v>180</v>
      </c>
      <c r="D154" s="59" t="s">
        <v>1052</v>
      </c>
      <c r="E154" s="59"/>
      <c r="F154" s="60"/>
      <c r="P154" s="272"/>
    </row>
    <row r="155" spans="1:16" s="61" customFormat="1" ht="30" customHeight="1">
      <c r="A155" s="57">
        <v>126</v>
      </c>
      <c r="B155" s="63" t="s">
        <v>1198</v>
      </c>
      <c r="C155" s="232">
        <v>180</v>
      </c>
      <c r="D155" s="59" t="s">
        <v>1052</v>
      </c>
      <c r="E155" s="59"/>
      <c r="F155" s="60"/>
      <c r="P155" s="272"/>
    </row>
    <row r="156" spans="1:16" s="61" customFormat="1" ht="30" customHeight="1">
      <c r="A156" s="57">
        <v>127</v>
      </c>
      <c r="B156" s="63" t="s">
        <v>1199</v>
      </c>
      <c r="C156" s="232">
        <v>180</v>
      </c>
      <c r="D156" s="59" t="s">
        <v>1052</v>
      </c>
      <c r="E156" s="59"/>
      <c r="F156" s="60"/>
      <c r="P156" s="272"/>
    </row>
    <row r="157" spans="1:16" s="61" customFormat="1" ht="30" customHeight="1">
      <c r="A157" s="57">
        <v>128</v>
      </c>
      <c r="B157" s="63" t="s">
        <v>1200</v>
      </c>
      <c r="C157" s="232">
        <v>180</v>
      </c>
      <c r="D157" s="59" t="s">
        <v>1052</v>
      </c>
      <c r="E157" s="59"/>
      <c r="F157" s="60"/>
      <c r="P157" s="272"/>
    </row>
    <row r="158" spans="1:16" s="61" customFormat="1" ht="30" customHeight="1">
      <c r="A158" s="57">
        <v>129</v>
      </c>
      <c r="B158" s="63" t="s">
        <v>1201</v>
      </c>
      <c r="C158" s="232">
        <v>180</v>
      </c>
      <c r="D158" s="59" t="s">
        <v>1052</v>
      </c>
      <c r="E158" s="59"/>
      <c r="F158" s="60"/>
      <c r="P158" s="272"/>
    </row>
    <row r="159" spans="1:16" s="61" customFormat="1" ht="30" customHeight="1">
      <c r="A159" s="57">
        <v>130</v>
      </c>
      <c r="B159" s="63" t="s">
        <v>1202</v>
      </c>
      <c r="C159" s="232">
        <v>180</v>
      </c>
      <c r="D159" s="59" t="s">
        <v>1052</v>
      </c>
      <c r="E159" s="59"/>
      <c r="F159" s="60"/>
      <c r="P159" s="272"/>
    </row>
    <row r="160" spans="1:16" s="61" customFormat="1" ht="30" customHeight="1">
      <c r="A160" s="57">
        <v>131</v>
      </c>
      <c r="B160" s="63" t="s">
        <v>1203</v>
      </c>
      <c r="C160" s="232">
        <v>180</v>
      </c>
      <c r="D160" s="59" t="s">
        <v>1052</v>
      </c>
      <c r="E160" s="59"/>
      <c r="F160" s="60"/>
      <c r="P160" s="272"/>
    </row>
    <row r="161" spans="1:16" s="61" customFormat="1" ht="30" customHeight="1">
      <c r="A161" s="57">
        <v>132</v>
      </c>
      <c r="B161" s="63" t="s">
        <v>1204</v>
      </c>
      <c r="C161" s="232">
        <v>180</v>
      </c>
      <c r="D161" s="59" t="s">
        <v>1052</v>
      </c>
      <c r="E161" s="59"/>
      <c r="F161" s="60"/>
      <c r="P161" s="272"/>
    </row>
    <row r="162" spans="1:16" s="61" customFormat="1" ht="30" customHeight="1">
      <c r="A162" s="57">
        <v>133</v>
      </c>
      <c r="B162" s="63" t="s">
        <v>1205</v>
      </c>
      <c r="C162" s="232">
        <v>180</v>
      </c>
      <c r="D162" s="59" t="s">
        <v>1052</v>
      </c>
      <c r="E162" s="59"/>
      <c r="F162" s="60"/>
      <c r="P162" s="272"/>
    </row>
    <row r="163" spans="1:16" s="61" customFormat="1" ht="30" customHeight="1">
      <c r="A163" s="57">
        <v>134</v>
      </c>
      <c r="B163" s="63" t="s">
        <v>1206</v>
      </c>
      <c r="C163" s="232">
        <v>180</v>
      </c>
      <c r="D163" s="59" t="s">
        <v>1052</v>
      </c>
      <c r="E163" s="59"/>
      <c r="F163" s="60"/>
      <c r="P163" s="272"/>
    </row>
    <row r="164" spans="1:16" s="61" customFormat="1" ht="30" customHeight="1">
      <c r="A164" s="57">
        <v>135</v>
      </c>
      <c r="B164" s="63" t="s">
        <v>1207</v>
      </c>
      <c r="C164" s="232">
        <v>180</v>
      </c>
      <c r="D164" s="59" t="s">
        <v>1052</v>
      </c>
      <c r="E164" s="59"/>
      <c r="F164" s="60"/>
      <c r="P164" s="272"/>
    </row>
    <row r="165" spans="1:16" s="61" customFormat="1" ht="30" customHeight="1">
      <c r="A165" s="57">
        <v>136</v>
      </c>
      <c r="B165" s="63" t="s">
        <v>1208</v>
      </c>
      <c r="C165" s="232">
        <v>180</v>
      </c>
      <c r="D165" s="59" t="s">
        <v>1052</v>
      </c>
      <c r="E165" s="59"/>
      <c r="F165" s="60"/>
      <c r="P165" s="272"/>
    </row>
    <row r="166" spans="1:16" s="61" customFormat="1" ht="30" customHeight="1">
      <c r="A166" s="57">
        <v>137</v>
      </c>
      <c r="B166" s="63" t="s">
        <v>1209</v>
      </c>
      <c r="C166" s="232">
        <v>180</v>
      </c>
      <c r="D166" s="59" t="s">
        <v>1052</v>
      </c>
      <c r="E166" s="59"/>
      <c r="F166" s="60"/>
      <c r="P166" s="272"/>
    </row>
    <row r="167" spans="1:16" s="61" customFormat="1" ht="30" customHeight="1">
      <c r="A167" s="57">
        <v>138</v>
      </c>
      <c r="B167" s="63" t="s">
        <v>1210</v>
      </c>
      <c r="C167" s="232">
        <v>180</v>
      </c>
      <c r="D167" s="59" t="s">
        <v>1052</v>
      </c>
      <c r="E167" s="59"/>
      <c r="F167" s="60"/>
      <c r="P167" s="272"/>
    </row>
    <row r="168" spans="1:16" s="61" customFormat="1" ht="30" customHeight="1">
      <c r="A168" s="57">
        <v>139</v>
      </c>
      <c r="B168" s="63" t="s">
        <v>1211</v>
      </c>
      <c r="C168" s="232">
        <v>180</v>
      </c>
      <c r="D168" s="59" t="s">
        <v>1052</v>
      </c>
      <c r="E168" s="59"/>
      <c r="F168" s="60"/>
      <c r="P168" s="272"/>
    </row>
    <row r="169" spans="1:16" s="61" customFormat="1" ht="30" customHeight="1">
      <c r="A169" s="57">
        <v>140</v>
      </c>
      <c r="B169" s="63" t="s">
        <v>1212</v>
      </c>
      <c r="C169" s="232">
        <v>180</v>
      </c>
      <c r="D169" s="59" t="s">
        <v>1052</v>
      </c>
      <c r="E169" s="59"/>
      <c r="F169" s="60"/>
      <c r="P169" s="272"/>
    </row>
    <row r="170" spans="1:16" s="61" customFormat="1" ht="30" customHeight="1">
      <c r="A170" s="57">
        <v>141</v>
      </c>
      <c r="B170" s="63" t="s">
        <v>1213</v>
      </c>
      <c r="C170" s="232">
        <v>180</v>
      </c>
      <c r="D170" s="59" t="s">
        <v>1052</v>
      </c>
      <c r="E170" s="59"/>
      <c r="F170" s="60"/>
      <c r="P170" s="272"/>
    </row>
    <row r="171" spans="1:16" s="61" customFormat="1" ht="30" customHeight="1">
      <c r="A171" s="57">
        <v>142</v>
      </c>
      <c r="B171" s="63" t="s">
        <v>1214</v>
      </c>
      <c r="C171" s="232">
        <v>180</v>
      </c>
      <c r="D171" s="59" t="s">
        <v>1052</v>
      </c>
      <c r="E171" s="59"/>
      <c r="F171" s="60"/>
      <c r="P171" s="272"/>
    </row>
    <row r="172" spans="1:16" s="61" customFormat="1" ht="30" customHeight="1">
      <c r="A172" s="57">
        <v>143</v>
      </c>
      <c r="B172" s="63" t="s">
        <v>1215</v>
      </c>
      <c r="C172" s="232">
        <v>180</v>
      </c>
      <c r="D172" s="59" t="s">
        <v>1052</v>
      </c>
      <c r="E172" s="59"/>
      <c r="F172" s="60"/>
      <c r="P172" s="272"/>
    </row>
    <row r="173" spans="1:16" s="61" customFormat="1" ht="30" customHeight="1">
      <c r="A173" s="57">
        <v>144</v>
      </c>
      <c r="B173" s="63" t="s">
        <v>1216</v>
      </c>
      <c r="C173" s="232">
        <v>180</v>
      </c>
      <c r="D173" s="59" t="s">
        <v>1052</v>
      </c>
      <c r="E173" s="59"/>
      <c r="F173" s="60"/>
      <c r="P173" s="272"/>
    </row>
    <row r="174" spans="1:16" s="61" customFormat="1" ht="30" customHeight="1">
      <c r="A174" s="57">
        <v>145</v>
      </c>
      <c r="B174" s="63" t="s">
        <v>1217</v>
      </c>
      <c r="C174" s="232">
        <v>180</v>
      </c>
      <c r="D174" s="59" t="s">
        <v>1052</v>
      </c>
      <c r="E174" s="59"/>
      <c r="F174" s="60"/>
      <c r="P174" s="272"/>
    </row>
    <row r="175" spans="1:16" s="61" customFormat="1" ht="30" customHeight="1">
      <c r="A175" s="57">
        <v>146</v>
      </c>
      <c r="B175" s="63" t="s">
        <v>1218</v>
      </c>
      <c r="C175" s="232">
        <v>180</v>
      </c>
      <c r="D175" s="59" t="s">
        <v>1052</v>
      </c>
      <c r="E175" s="59"/>
      <c r="F175" s="60"/>
      <c r="P175" s="272"/>
    </row>
    <row r="176" spans="1:16" s="61" customFormat="1" ht="30" customHeight="1">
      <c r="A176" s="57">
        <v>147</v>
      </c>
      <c r="B176" s="63" t="s">
        <v>1219</v>
      </c>
      <c r="C176" s="232">
        <v>180</v>
      </c>
      <c r="D176" s="59" t="s">
        <v>1052</v>
      </c>
      <c r="E176" s="59"/>
      <c r="F176" s="60"/>
      <c r="P176" s="272"/>
    </row>
    <row r="177" spans="1:16" s="61" customFormat="1" ht="30" customHeight="1">
      <c r="A177" s="57">
        <v>148</v>
      </c>
      <c r="B177" s="63" t="s">
        <v>1220</v>
      </c>
      <c r="C177" s="232">
        <v>180</v>
      </c>
      <c r="D177" s="59" t="s">
        <v>1052</v>
      </c>
      <c r="E177" s="59"/>
      <c r="F177" s="60"/>
      <c r="P177" s="272"/>
    </row>
    <row r="178" spans="1:16" s="61" customFormat="1" ht="30" customHeight="1">
      <c r="A178" s="57">
        <v>149</v>
      </c>
      <c r="B178" s="63" t="s">
        <v>1221</v>
      </c>
      <c r="C178" s="232">
        <v>180</v>
      </c>
      <c r="D178" s="59" t="s">
        <v>1052</v>
      </c>
      <c r="E178" s="59"/>
      <c r="F178" s="60"/>
      <c r="P178" s="272"/>
    </row>
    <row r="179" spans="1:16" s="61" customFormat="1" ht="30" customHeight="1">
      <c r="A179" s="57">
        <v>150</v>
      </c>
      <c r="B179" s="63" t="s">
        <v>1222</v>
      </c>
      <c r="C179" s="232">
        <v>180</v>
      </c>
      <c r="D179" s="59" t="s">
        <v>1052</v>
      </c>
      <c r="E179" s="59"/>
      <c r="F179" s="60"/>
      <c r="P179" s="272"/>
    </row>
    <row r="180" spans="1:16" s="61" customFormat="1" ht="30" customHeight="1">
      <c r="A180" s="57">
        <v>151</v>
      </c>
      <c r="B180" s="63" t="s">
        <v>1223</v>
      </c>
      <c r="C180" s="232">
        <v>180</v>
      </c>
      <c r="D180" s="59" t="s">
        <v>1052</v>
      </c>
      <c r="E180" s="59"/>
      <c r="F180" s="60"/>
      <c r="P180" s="272"/>
    </row>
    <row r="181" spans="1:16" s="61" customFormat="1" ht="30" customHeight="1">
      <c r="A181" s="57">
        <v>152</v>
      </c>
      <c r="B181" s="63" t="s">
        <v>1224</v>
      </c>
      <c r="C181" s="232">
        <v>180</v>
      </c>
      <c r="D181" s="59" t="s">
        <v>1052</v>
      </c>
      <c r="E181" s="59"/>
      <c r="F181" s="60"/>
      <c r="P181" s="272"/>
    </row>
    <row r="182" spans="1:16" s="61" customFormat="1" ht="30" customHeight="1">
      <c r="A182" s="57">
        <v>153</v>
      </c>
      <c r="B182" s="63" t="s">
        <v>1073</v>
      </c>
      <c r="C182" s="84">
        <v>180</v>
      </c>
      <c r="D182" s="84" t="s">
        <v>1052</v>
      </c>
      <c r="E182" s="84"/>
      <c r="F182" s="83"/>
      <c r="P182" s="272"/>
    </row>
    <row r="183" spans="1:16" s="61" customFormat="1" ht="30" customHeight="1">
      <c r="A183" s="57">
        <v>154</v>
      </c>
      <c r="B183" s="63" t="s">
        <v>1225</v>
      </c>
      <c r="C183" s="232">
        <v>180</v>
      </c>
      <c r="D183" s="59" t="s">
        <v>1052</v>
      </c>
      <c r="E183" s="59"/>
      <c r="F183" s="60"/>
      <c r="P183" s="272"/>
    </row>
    <row r="184" spans="1:16" s="61" customFormat="1" ht="30" customHeight="1">
      <c r="A184" s="57">
        <v>155</v>
      </c>
      <c r="B184" s="63" t="s">
        <v>1226</v>
      </c>
      <c r="C184" s="232">
        <v>180</v>
      </c>
      <c r="D184" s="59" t="s">
        <v>1052</v>
      </c>
      <c r="E184" s="59"/>
      <c r="F184" s="60"/>
      <c r="P184" s="272"/>
    </row>
    <row r="185" spans="1:16" s="61" customFormat="1" ht="30" customHeight="1">
      <c r="A185" s="57">
        <v>156</v>
      </c>
      <c r="B185" s="63" t="s">
        <v>1227</v>
      </c>
      <c r="C185" s="232">
        <v>180</v>
      </c>
      <c r="D185" s="59" t="s">
        <v>1052</v>
      </c>
      <c r="E185" s="59"/>
      <c r="F185" s="60"/>
      <c r="P185" s="272"/>
    </row>
    <row r="186" spans="1:16" s="61" customFormat="1" ht="30" customHeight="1">
      <c r="A186" s="57">
        <v>157</v>
      </c>
      <c r="B186" s="63" t="s">
        <v>1228</v>
      </c>
      <c r="C186" s="125">
        <v>180</v>
      </c>
      <c r="D186" s="59" t="s">
        <v>1052</v>
      </c>
      <c r="E186" s="76"/>
      <c r="F186" s="60"/>
      <c r="P186" s="272"/>
    </row>
    <row r="187" spans="1:16" s="78" customFormat="1" ht="30" customHeight="1">
      <c r="A187" s="57">
        <v>158</v>
      </c>
      <c r="B187" s="63" t="s">
        <v>1229</v>
      </c>
      <c r="C187" s="125">
        <v>180</v>
      </c>
      <c r="D187" s="59" t="s">
        <v>1052</v>
      </c>
      <c r="E187" s="76"/>
      <c r="F187" s="60"/>
      <c r="H187" s="61"/>
      <c r="I187" s="61"/>
      <c r="J187" s="61"/>
      <c r="K187" s="61"/>
      <c r="L187" s="61"/>
      <c r="M187" s="61"/>
      <c r="N187" s="61"/>
      <c r="P187" s="273"/>
    </row>
    <row r="188" spans="1:16" s="61" customFormat="1" ht="30" customHeight="1">
      <c r="A188" s="57">
        <v>159</v>
      </c>
      <c r="B188" s="63" t="s">
        <v>1053</v>
      </c>
      <c r="C188" s="125">
        <v>180</v>
      </c>
      <c r="D188" s="59" t="s">
        <v>1052</v>
      </c>
      <c r="E188" s="76"/>
      <c r="F188" s="60"/>
      <c r="L188" s="78"/>
      <c r="M188" s="78"/>
      <c r="N188" s="78"/>
      <c r="P188" s="272"/>
    </row>
    <row r="189" spans="1:16" s="61" customFormat="1" ht="30" customHeight="1">
      <c r="A189" s="57">
        <v>160</v>
      </c>
      <c r="B189" s="63" t="s">
        <v>1230</v>
      </c>
      <c r="C189" s="243">
        <v>180</v>
      </c>
      <c r="D189" s="59" t="s">
        <v>1052</v>
      </c>
      <c r="E189" s="64"/>
      <c r="F189" s="60"/>
      <c r="P189" s="272"/>
    </row>
    <row r="190" spans="1:16" s="61" customFormat="1" ht="30" customHeight="1">
      <c r="A190" s="57">
        <v>161</v>
      </c>
      <c r="B190" s="63" t="s">
        <v>1231</v>
      </c>
      <c r="C190" s="125">
        <v>180</v>
      </c>
      <c r="D190" s="59" t="s">
        <v>1052</v>
      </c>
      <c r="E190" s="76"/>
      <c r="F190" s="60"/>
      <c r="H190" s="78"/>
      <c r="I190" s="78"/>
      <c r="J190" s="78"/>
      <c r="K190" s="78"/>
      <c r="P190" s="272"/>
    </row>
    <row r="191" spans="1:16" s="61" customFormat="1" ht="30" customHeight="1">
      <c r="A191" s="57">
        <v>162</v>
      </c>
      <c r="B191" s="63" t="s">
        <v>1232</v>
      </c>
      <c r="C191" s="125">
        <v>180</v>
      </c>
      <c r="D191" s="59" t="s">
        <v>1052</v>
      </c>
      <c r="E191" s="76"/>
      <c r="F191" s="60"/>
      <c r="P191" s="272"/>
    </row>
    <row r="192" spans="1:16" s="61" customFormat="1" ht="30" customHeight="1">
      <c r="A192" s="57">
        <v>163</v>
      </c>
      <c r="B192" s="63" t="s">
        <v>1233</v>
      </c>
      <c r="C192" s="125">
        <v>180</v>
      </c>
      <c r="D192" s="59" t="s">
        <v>1052</v>
      </c>
      <c r="E192" s="76"/>
      <c r="F192" s="60"/>
      <c r="P192" s="272"/>
    </row>
    <row r="193" spans="1:16" s="61" customFormat="1" ht="30" customHeight="1">
      <c r="A193" s="57">
        <v>164</v>
      </c>
      <c r="B193" s="63" t="s">
        <v>1234</v>
      </c>
      <c r="C193" s="125">
        <v>180</v>
      </c>
      <c r="D193" s="59" t="s">
        <v>1052</v>
      </c>
      <c r="E193" s="76"/>
      <c r="F193" s="60"/>
      <c r="P193" s="272"/>
    </row>
    <row r="194" spans="1:16" s="61" customFormat="1" ht="30" customHeight="1">
      <c r="A194" s="57">
        <v>165</v>
      </c>
      <c r="B194" s="63" t="s">
        <v>1235</v>
      </c>
      <c r="C194" s="125">
        <v>180</v>
      </c>
      <c r="D194" s="59" t="s">
        <v>1052</v>
      </c>
      <c r="E194" s="76"/>
      <c r="F194" s="60"/>
      <c r="P194" s="272"/>
    </row>
    <row r="195" spans="1:16" s="77" customFormat="1" ht="30" customHeight="1">
      <c r="A195" s="57">
        <v>166</v>
      </c>
      <c r="B195" s="63" t="s">
        <v>1236</v>
      </c>
      <c r="C195" s="125">
        <v>180</v>
      </c>
      <c r="D195" s="59" t="s">
        <v>1052</v>
      </c>
      <c r="E195" s="76"/>
      <c r="F195" s="60"/>
      <c r="G195" s="61"/>
      <c r="H195" s="61"/>
      <c r="I195" s="61"/>
      <c r="J195" s="61"/>
      <c r="L195" s="61"/>
      <c r="M195" s="61"/>
      <c r="N195" s="61"/>
      <c r="P195" s="274"/>
    </row>
    <row r="196" spans="1:16" s="61" customFormat="1" ht="30" customHeight="1">
      <c r="A196" s="57">
        <v>167</v>
      </c>
      <c r="B196" s="63" t="s">
        <v>1237</v>
      </c>
      <c r="C196" s="125">
        <v>180</v>
      </c>
      <c r="D196" s="59" t="s">
        <v>1052</v>
      </c>
      <c r="E196" s="76"/>
      <c r="F196" s="60"/>
      <c r="L196" s="77"/>
      <c r="M196" s="77"/>
      <c r="N196" s="77"/>
      <c r="P196" s="272"/>
    </row>
    <row r="197" spans="1:16" s="61" customFormat="1" ht="30" customHeight="1">
      <c r="A197" s="57">
        <v>168</v>
      </c>
      <c r="B197" s="63" t="s">
        <v>1238</v>
      </c>
      <c r="C197" s="125">
        <v>180</v>
      </c>
      <c r="D197" s="59" t="s">
        <v>1052</v>
      </c>
      <c r="E197" s="76"/>
      <c r="F197" s="60"/>
      <c r="P197" s="272"/>
    </row>
    <row r="198" spans="1:16" s="61" customFormat="1" ht="30" customHeight="1">
      <c r="A198" s="57">
        <v>169</v>
      </c>
      <c r="B198" s="63" t="s">
        <v>1239</v>
      </c>
      <c r="C198" s="125">
        <v>180</v>
      </c>
      <c r="D198" s="59" t="s">
        <v>1052</v>
      </c>
      <c r="E198" s="76"/>
      <c r="F198" s="60"/>
      <c r="P198" s="272"/>
    </row>
    <row r="199" spans="1:16" s="61" customFormat="1" ht="30" customHeight="1">
      <c r="A199" s="57">
        <v>170</v>
      </c>
      <c r="B199" s="63" t="s">
        <v>1240</v>
      </c>
      <c r="C199" s="125">
        <v>180</v>
      </c>
      <c r="D199" s="59" t="s">
        <v>1052</v>
      </c>
      <c r="E199" s="76"/>
      <c r="F199" s="60"/>
      <c r="P199" s="272"/>
    </row>
    <row r="200" spans="1:16" s="61" customFormat="1" ht="30" customHeight="1">
      <c r="A200" s="57">
        <v>171</v>
      </c>
      <c r="B200" s="63" t="s">
        <v>1241</v>
      </c>
      <c r="C200" s="125">
        <v>180</v>
      </c>
      <c r="D200" s="59" t="s">
        <v>1052</v>
      </c>
      <c r="E200" s="76"/>
      <c r="F200" s="60"/>
      <c r="P200" s="272"/>
    </row>
    <row r="201" spans="1:16" s="61" customFormat="1" ht="30" customHeight="1">
      <c r="A201" s="57">
        <v>172</v>
      </c>
      <c r="B201" s="63" t="s">
        <v>1242</v>
      </c>
      <c r="C201" s="125">
        <v>180</v>
      </c>
      <c r="D201" s="59" t="s">
        <v>1052</v>
      </c>
      <c r="E201" s="76"/>
      <c r="F201" s="60"/>
      <c r="P201" s="272"/>
    </row>
    <row r="202" spans="1:16" s="61" customFormat="1" ht="30" customHeight="1">
      <c r="A202" s="57">
        <v>173</v>
      </c>
      <c r="B202" s="63" t="s">
        <v>1244</v>
      </c>
      <c r="C202" s="125">
        <v>180</v>
      </c>
      <c r="D202" s="59" t="s">
        <v>1052</v>
      </c>
      <c r="E202" s="76"/>
      <c r="F202" s="60"/>
      <c r="P202" s="272"/>
    </row>
    <row r="203" spans="1:16" s="61" customFormat="1" ht="30" customHeight="1">
      <c r="A203" s="57">
        <v>174</v>
      </c>
      <c r="B203" s="63" t="s">
        <v>1245</v>
      </c>
      <c r="C203" s="125">
        <v>180</v>
      </c>
      <c r="D203" s="59" t="s">
        <v>1052</v>
      </c>
      <c r="E203" s="76"/>
      <c r="F203" s="60"/>
      <c r="P203" s="272"/>
    </row>
    <row r="204" spans="1:16" s="61" customFormat="1" ht="30" customHeight="1">
      <c r="A204" s="57">
        <v>175</v>
      </c>
      <c r="B204" s="63" t="s">
        <v>1246</v>
      </c>
      <c r="C204" s="125">
        <v>180</v>
      </c>
      <c r="D204" s="59" t="s">
        <v>1052</v>
      </c>
      <c r="E204" s="76"/>
      <c r="F204" s="60"/>
      <c r="P204" s="272"/>
    </row>
    <row r="205" spans="1:16" s="61" customFormat="1" ht="30" customHeight="1">
      <c r="A205" s="57">
        <v>176</v>
      </c>
      <c r="B205" s="63" t="s">
        <v>1247</v>
      </c>
      <c r="C205" s="125">
        <v>180</v>
      </c>
      <c r="D205" s="59" t="s">
        <v>1052</v>
      </c>
      <c r="E205" s="76"/>
      <c r="F205" s="60"/>
      <c r="P205" s="272"/>
    </row>
    <row r="206" spans="1:16" s="61" customFormat="1" ht="30" customHeight="1">
      <c r="A206" s="57">
        <v>177</v>
      </c>
      <c r="B206" s="63" t="s">
        <v>1248</v>
      </c>
      <c r="C206" s="125">
        <v>180</v>
      </c>
      <c r="D206" s="59" t="s">
        <v>1052</v>
      </c>
      <c r="E206" s="76"/>
      <c r="F206" s="60"/>
      <c r="P206" s="272"/>
    </row>
    <row r="207" spans="1:16" s="61" customFormat="1" ht="30" customHeight="1">
      <c r="A207" s="57">
        <v>178</v>
      </c>
      <c r="B207" s="63" t="s">
        <v>1249</v>
      </c>
      <c r="C207" s="125">
        <v>180</v>
      </c>
      <c r="D207" s="59" t="s">
        <v>1052</v>
      </c>
      <c r="E207" s="76"/>
      <c r="F207" s="60"/>
      <c r="P207" s="272"/>
    </row>
    <row r="208" spans="1:16" s="61" customFormat="1" ht="30" customHeight="1">
      <c r="A208" s="57">
        <v>179</v>
      </c>
      <c r="B208" s="63" t="s">
        <v>1250</v>
      </c>
      <c r="C208" s="125">
        <v>180</v>
      </c>
      <c r="D208" s="59" t="s">
        <v>1052</v>
      </c>
      <c r="E208" s="76"/>
      <c r="F208" s="60"/>
      <c r="P208" s="272"/>
    </row>
    <row r="209" spans="1:16" s="61" customFormat="1" ht="30" customHeight="1">
      <c r="A209" s="57">
        <v>180</v>
      </c>
      <c r="B209" s="63" t="s">
        <v>1251</v>
      </c>
      <c r="C209" s="125">
        <v>180</v>
      </c>
      <c r="D209" s="59" t="s">
        <v>1052</v>
      </c>
      <c r="E209" s="76"/>
      <c r="F209" s="60"/>
      <c r="H209" s="61" t="s">
        <v>1243</v>
      </c>
      <c r="P209" s="272"/>
    </row>
    <row r="210" spans="1:16" s="61" customFormat="1" ht="30" customHeight="1">
      <c r="A210" s="57">
        <v>181</v>
      </c>
      <c r="B210" s="63" t="s">
        <v>1252</v>
      </c>
      <c r="C210" s="125">
        <v>180</v>
      </c>
      <c r="D210" s="59" t="s">
        <v>1052</v>
      </c>
      <c r="E210" s="76"/>
      <c r="F210" s="60"/>
      <c r="P210" s="272"/>
    </row>
    <row r="211" spans="1:16" s="61" customFormat="1" ht="30" customHeight="1">
      <c r="A211" s="57">
        <v>182</v>
      </c>
      <c r="B211" s="63" t="s">
        <v>1253</v>
      </c>
      <c r="C211" s="125">
        <v>180</v>
      </c>
      <c r="D211" s="59" t="s">
        <v>1052</v>
      </c>
      <c r="E211" s="76"/>
      <c r="F211" s="60"/>
      <c r="P211" s="272"/>
    </row>
    <row r="212" spans="1:16" s="61" customFormat="1" ht="30" customHeight="1">
      <c r="A212" s="57">
        <v>183</v>
      </c>
      <c r="B212" s="63" t="s">
        <v>1254</v>
      </c>
      <c r="C212" s="125">
        <v>180</v>
      </c>
      <c r="D212" s="59" t="s">
        <v>1052</v>
      </c>
      <c r="E212" s="76"/>
      <c r="F212" s="60"/>
      <c r="P212" s="272"/>
    </row>
    <row r="213" spans="1:16" s="61" customFormat="1" ht="30" customHeight="1">
      <c r="A213" s="57">
        <v>184</v>
      </c>
      <c r="B213" s="63" t="s">
        <v>1055</v>
      </c>
      <c r="C213" s="125">
        <v>180</v>
      </c>
      <c r="D213" s="59" t="s">
        <v>1052</v>
      </c>
      <c r="E213" s="76"/>
      <c r="F213" s="60"/>
      <c r="P213" s="272"/>
    </row>
    <row r="214" spans="1:16" s="61" customFormat="1" ht="30" customHeight="1">
      <c r="A214" s="57">
        <v>185</v>
      </c>
      <c r="B214" s="63" t="s">
        <v>1255</v>
      </c>
      <c r="C214" s="125">
        <v>180</v>
      </c>
      <c r="D214" s="59" t="s">
        <v>1052</v>
      </c>
      <c r="E214" s="76"/>
      <c r="F214" s="60"/>
      <c r="P214" s="272"/>
    </row>
    <row r="215" spans="1:16" s="61" customFormat="1" ht="30" customHeight="1">
      <c r="A215" s="57">
        <v>186</v>
      </c>
      <c r="B215" s="63" t="s">
        <v>1256</v>
      </c>
      <c r="C215" s="125">
        <v>180</v>
      </c>
      <c r="D215" s="59" t="s">
        <v>1052</v>
      </c>
      <c r="E215" s="76"/>
      <c r="F215" s="60"/>
      <c r="P215" s="272"/>
    </row>
    <row r="216" spans="1:16" s="61" customFormat="1" ht="30" customHeight="1">
      <c r="A216" s="57">
        <v>187</v>
      </c>
      <c r="B216" s="63" t="s">
        <v>1257</v>
      </c>
      <c r="C216" s="125">
        <v>180</v>
      </c>
      <c r="D216" s="59" t="s">
        <v>1052</v>
      </c>
      <c r="E216" s="76"/>
      <c r="F216" s="60"/>
      <c r="P216" s="272"/>
    </row>
    <row r="217" spans="1:16" s="61" customFormat="1" ht="30" customHeight="1">
      <c r="A217" s="57">
        <v>188</v>
      </c>
      <c r="B217" s="63" t="s">
        <v>1258</v>
      </c>
      <c r="C217" s="125">
        <v>180</v>
      </c>
      <c r="D217" s="59" t="s">
        <v>1052</v>
      </c>
      <c r="E217" s="76"/>
      <c r="F217" s="60"/>
      <c r="P217" s="272"/>
    </row>
    <row r="218" spans="1:16" s="61" customFormat="1" ht="30" customHeight="1">
      <c r="A218" s="57">
        <v>189</v>
      </c>
      <c r="B218" s="63" t="s">
        <v>1259</v>
      </c>
      <c r="C218" s="125">
        <v>180</v>
      </c>
      <c r="D218" s="59" t="s">
        <v>1052</v>
      </c>
      <c r="E218" s="76"/>
      <c r="F218" s="60"/>
      <c r="P218" s="272"/>
    </row>
    <row r="219" spans="1:16" s="61" customFormat="1" ht="30" customHeight="1">
      <c r="A219" s="57">
        <v>190</v>
      </c>
      <c r="B219" s="63" t="s">
        <v>1260</v>
      </c>
      <c r="C219" s="125">
        <v>180</v>
      </c>
      <c r="D219" s="59" t="s">
        <v>1052</v>
      </c>
      <c r="E219" s="76"/>
      <c r="F219" s="60"/>
      <c r="P219" s="272"/>
    </row>
    <row r="220" spans="1:16" s="61" customFormat="1" ht="30" customHeight="1">
      <c r="A220" s="57">
        <v>191</v>
      </c>
      <c r="B220" s="63" t="s">
        <v>1261</v>
      </c>
      <c r="C220" s="124">
        <v>180</v>
      </c>
      <c r="D220" s="59" t="s">
        <v>1052</v>
      </c>
      <c r="E220" s="79"/>
      <c r="F220" s="60"/>
      <c r="P220" s="272"/>
    </row>
    <row r="221" spans="1:16" s="61" customFormat="1" ht="30" customHeight="1">
      <c r="A221" s="57">
        <v>192</v>
      </c>
      <c r="B221" s="63" t="s">
        <v>1262</v>
      </c>
      <c r="C221" s="124">
        <v>180</v>
      </c>
      <c r="D221" s="59" t="s">
        <v>1052</v>
      </c>
      <c r="E221" s="79"/>
      <c r="F221" s="60"/>
      <c r="P221" s="272"/>
    </row>
    <row r="222" spans="1:16" s="61" customFormat="1" ht="30" customHeight="1">
      <c r="A222" s="57">
        <v>193</v>
      </c>
      <c r="B222" s="63" t="s">
        <v>1263</v>
      </c>
      <c r="C222" s="124">
        <v>180</v>
      </c>
      <c r="D222" s="59" t="s">
        <v>1052</v>
      </c>
      <c r="E222" s="79"/>
      <c r="F222" s="60"/>
      <c r="P222" s="272"/>
    </row>
    <row r="223" spans="1:16" s="61" customFormat="1" ht="30" customHeight="1">
      <c r="A223" s="57">
        <v>194</v>
      </c>
      <c r="B223" s="63" t="s">
        <v>1264</v>
      </c>
      <c r="C223" s="124">
        <v>180</v>
      </c>
      <c r="D223" s="59" t="s">
        <v>1052</v>
      </c>
      <c r="E223" s="79"/>
      <c r="F223" s="60"/>
      <c r="P223" s="272"/>
    </row>
    <row r="224" spans="1:16" s="61" customFormat="1" ht="30" customHeight="1">
      <c r="A224" s="57">
        <v>195</v>
      </c>
      <c r="B224" s="63" t="s">
        <v>1265</v>
      </c>
      <c r="C224" s="243">
        <v>180</v>
      </c>
      <c r="D224" s="59" t="s">
        <v>1052</v>
      </c>
      <c r="E224" s="65"/>
      <c r="F224" s="60"/>
      <c r="P224" s="272"/>
    </row>
    <row r="225" spans="1:16" s="61" customFormat="1" ht="30" customHeight="1">
      <c r="A225" s="57">
        <v>196</v>
      </c>
      <c r="B225" s="63" t="s">
        <v>1266</v>
      </c>
      <c r="C225" s="243">
        <v>180</v>
      </c>
      <c r="D225" s="59" t="s">
        <v>1052</v>
      </c>
      <c r="E225" s="62"/>
      <c r="F225" s="60"/>
      <c r="P225" s="272"/>
    </row>
    <row r="226" spans="1:16" s="61" customFormat="1" ht="30" customHeight="1">
      <c r="A226" s="57">
        <v>197</v>
      </c>
      <c r="B226" s="63" t="s">
        <v>1267</v>
      </c>
      <c r="C226" s="243">
        <v>180</v>
      </c>
      <c r="D226" s="59" t="s">
        <v>1052</v>
      </c>
      <c r="E226" s="62"/>
      <c r="F226" s="60"/>
      <c r="P226" s="272"/>
    </row>
    <row r="227" spans="1:16" s="61" customFormat="1" ht="30" customHeight="1">
      <c r="A227" s="57">
        <v>198</v>
      </c>
      <c r="B227" s="63" t="s">
        <v>1268</v>
      </c>
      <c r="C227" s="243">
        <v>180</v>
      </c>
      <c r="D227" s="59" t="s">
        <v>1052</v>
      </c>
      <c r="E227" s="62"/>
      <c r="F227" s="60"/>
      <c r="P227" s="272"/>
    </row>
    <row r="228" spans="1:16" s="61" customFormat="1" ht="30" customHeight="1">
      <c r="A228" s="57">
        <v>199</v>
      </c>
      <c r="B228" s="63" t="s">
        <v>1269</v>
      </c>
      <c r="C228" s="243">
        <v>180</v>
      </c>
      <c r="D228" s="59" t="s">
        <v>1052</v>
      </c>
      <c r="E228" s="62"/>
      <c r="F228" s="60"/>
      <c r="P228" s="272"/>
    </row>
    <row r="229" spans="1:16" s="61" customFormat="1" ht="30" customHeight="1">
      <c r="A229" s="57">
        <v>200</v>
      </c>
      <c r="B229" s="63" t="s">
        <v>1270</v>
      </c>
      <c r="C229" s="243">
        <v>180</v>
      </c>
      <c r="D229" s="59" t="s">
        <v>1052</v>
      </c>
      <c r="E229" s="62"/>
      <c r="F229" s="60"/>
      <c r="P229" s="272"/>
    </row>
    <row r="230" spans="1:16" s="61" customFormat="1" ht="30" customHeight="1">
      <c r="A230" s="57">
        <v>201</v>
      </c>
      <c r="B230" s="63" t="s">
        <v>1271</v>
      </c>
      <c r="C230" s="234">
        <v>180</v>
      </c>
      <c r="D230" s="59" t="s">
        <v>1052</v>
      </c>
      <c r="E230" s="82"/>
      <c r="F230" s="60"/>
      <c r="P230" s="272"/>
    </row>
    <row r="231" spans="1:16" s="61" customFormat="1" ht="30" customHeight="1">
      <c r="A231" s="57">
        <v>202</v>
      </c>
      <c r="B231" s="63" t="s">
        <v>1272</v>
      </c>
      <c r="C231" s="234">
        <v>180</v>
      </c>
      <c r="D231" s="59" t="s">
        <v>1052</v>
      </c>
      <c r="E231" s="82"/>
      <c r="F231" s="60"/>
      <c r="P231" s="272"/>
    </row>
    <row r="232" spans="1:16" s="61" customFormat="1" ht="30" customHeight="1">
      <c r="A232" s="57">
        <v>203</v>
      </c>
      <c r="B232" s="63" t="s">
        <v>1273</v>
      </c>
      <c r="C232" s="243">
        <v>180</v>
      </c>
      <c r="D232" s="59" t="s">
        <v>1052</v>
      </c>
      <c r="E232" s="64"/>
      <c r="F232" s="60"/>
      <c r="P232" s="272"/>
    </row>
    <row r="233" spans="1:16" s="61" customFormat="1" ht="30" customHeight="1">
      <c r="A233" s="57">
        <v>204</v>
      </c>
      <c r="B233" s="63" t="s">
        <v>1274</v>
      </c>
      <c r="C233" s="243">
        <v>180</v>
      </c>
      <c r="D233" s="59" t="s">
        <v>1052</v>
      </c>
      <c r="E233" s="64"/>
      <c r="F233" s="60"/>
      <c r="P233" s="272"/>
    </row>
    <row r="234" spans="1:16" s="61" customFormat="1" ht="30" customHeight="1">
      <c r="A234" s="57">
        <v>205</v>
      </c>
      <c r="B234" s="63" t="s">
        <v>1058</v>
      </c>
      <c r="C234" s="243">
        <v>180</v>
      </c>
      <c r="D234" s="59" t="s">
        <v>1052</v>
      </c>
      <c r="E234" s="64"/>
      <c r="F234" s="60"/>
      <c r="P234" s="272"/>
    </row>
    <row r="235" spans="1:16" s="61" customFormat="1" ht="30" customHeight="1">
      <c r="A235" s="57">
        <v>206</v>
      </c>
      <c r="B235" s="63" t="s">
        <v>1275</v>
      </c>
      <c r="C235" s="243">
        <v>180</v>
      </c>
      <c r="D235" s="59" t="s">
        <v>1052</v>
      </c>
      <c r="E235" s="64"/>
      <c r="F235" s="60"/>
      <c r="P235" s="272"/>
    </row>
    <row r="236" spans="1:16" s="61" customFormat="1" ht="30" customHeight="1">
      <c r="A236" s="57">
        <v>207</v>
      </c>
      <c r="B236" s="63" t="s">
        <v>1276</v>
      </c>
      <c r="C236" s="243">
        <v>180</v>
      </c>
      <c r="D236" s="59" t="s">
        <v>1052</v>
      </c>
      <c r="E236" s="64"/>
      <c r="F236" s="60"/>
      <c r="P236" s="272"/>
    </row>
    <row r="237" spans="1:16" s="61" customFormat="1" ht="30" customHeight="1">
      <c r="A237" s="57">
        <v>208</v>
      </c>
      <c r="B237" s="63" t="s">
        <v>1277</v>
      </c>
      <c r="C237" s="243">
        <v>180</v>
      </c>
      <c r="D237" s="59" t="s">
        <v>1052</v>
      </c>
      <c r="E237" s="64"/>
      <c r="F237" s="60"/>
      <c r="P237" s="272"/>
    </row>
    <row r="238" spans="1:16" s="61" customFormat="1" ht="30" customHeight="1">
      <c r="A238" s="57">
        <v>209</v>
      </c>
      <c r="B238" s="63" t="s">
        <v>1278</v>
      </c>
      <c r="C238" s="124">
        <v>180</v>
      </c>
      <c r="D238" s="59" t="s">
        <v>1052</v>
      </c>
      <c r="E238" s="79"/>
      <c r="F238" s="60"/>
      <c r="P238" s="272"/>
    </row>
    <row r="239" spans="1:16" s="61" customFormat="1" ht="30" customHeight="1">
      <c r="A239" s="57">
        <v>210</v>
      </c>
      <c r="B239" s="63" t="s">
        <v>1279</v>
      </c>
      <c r="C239" s="124">
        <v>180</v>
      </c>
      <c r="D239" s="59" t="s">
        <v>1052</v>
      </c>
      <c r="E239" s="79"/>
      <c r="F239" s="60"/>
      <c r="P239" s="272"/>
    </row>
    <row r="240" spans="1:16" s="61" customFormat="1" ht="30" customHeight="1">
      <c r="A240" s="57">
        <v>211</v>
      </c>
      <c r="B240" s="63" t="s">
        <v>1280</v>
      </c>
      <c r="C240" s="125">
        <v>180</v>
      </c>
      <c r="D240" s="59" t="s">
        <v>1052</v>
      </c>
      <c r="E240" s="76"/>
      <c r="F240" s="60"/>
      <c r="P240" s="272"/>
    </row>
    <row r="241" spans="1:16" s="61" customFormat="1" ht="30" customHeight="1">
      <c r="A241" s="57">
        <v>212</v>
      </c>
      <c r="B241" s="63" t="s">
        <v>1281</v>
      </c>
      <c r="C241" s="234">
        <v>180</v>
      </c>
      <c r="D241" s="59" t="s">
        <v>1052</v>
      </c>
      <c r="E241" s="82"/>
      <c r="F241" s="60"/>
      <c r="P241" s="272"/>
    </row>
    <row r="242" spans="1:16" s="61" customFormat="1" ht="30" customHeight="1">
      <c r="A242" s="57">
        <v>213</v>
      </c>
      <c r="B242" s="63" t="s">
        <v>1282</v>
      </c>
      <c r="C242" s="243">
        <v>180</v>
      </c>
      <c r="D242" s="59" t="s">
        <v>1052</v>
      </c>
      <c r="E242" s="64"/>
      <c r="F242" s="60"/>
      <c r="P242" s="272"/>
    </row>
    <row r="243" spans="1:16" s="61" customFormat="1" ht="30" customHeight="1">
      <c r="A243" s="57">
        <v>214</v>
      </c>
      <c r="B243" s="63" t="s">
        <v>1283</v>
      </c>
      <c r="C243" s="232">
        <v>190</v>
      </c>
      <c r="D243" s="59" t="s">
        <v>1052</v>
      </c>
      <c r="E243" s="59"/>
      <c r="F243" s="60"/>
      <c r="P243" s="272"/>
    </row>
    <row r="244" spans="1:16" s="61" customFormat="1" ht="30" customHeight="1">
      <c r="A244" s="57">
        <v>215</v>
      </c>
      <c r="B244" s="63" t="s">
        <v>1284</v>
      </c>
      <c r="C244" s="232">
        <v>190</v>
      </c>
      <c r="D244" s="59" t="s">
        <v>1052</v>
      </c>
      <c r="E244" s="59"/>
      <c r="F244" s="60"/>
      <c r="P244" s="272"/>
    </row>
    <row r="245" spans="1:16" s="61" customFormat="1" ht="30" customHeight="1">
      <c r="A245" s="57">
        <v>216</v>
      </c>
      <c r="B245" s="63" t="s">
        <v>1285</v>
      </c>
      <c r="C245" s="232">
        <v>190</v>
      </c>
      <c r="D245" s="59" t="s">
        <v>1052</v>
      </c>
      <c r="E245" s="59"/>
      <c r="F245" s="60"/>
      <c r="P245" s="272"/>
    </row>
    <row r="246" spans="1:16" s="61" customFormat="1" ht="30" customHeight="1">
      <c r="A246" s="57">
        <v>217</v>
      </c>
      <c r="B246" s="63" t="s">
        <v>1286</v>
      </c>
      <c r="C246" s="232">
        <v>190</v>
      </c>
      <c r="D246" s="59" t="s">
        <v>1052</v>
      </c>
      <c r="E246" s="59"/>
      <c r="F246" s="60"/>
      <c r="P246" s="272"/>
    </row>
    <row r="247" spans="1:16" s="61" customFormat="1" ht="30" customHeight="1">
      <c r="A247" s="57">
        <v>218</v>
      </c>
      <c r="B247" s="63" t="s">
        <v>1287</v>
      </c>
      <c r="C247" s="232">
        <v>190</v>
      </c>
      <c r="D247" s="59" t="s">
        <v>1052</v>
      </c>
      <c r="E247" s="59"/>
      <c r="F247" s="60"/>
      <c r="P247" s="272"/>
    </row>
    <row r="248" spans="1:16" s="61" customFormat="1" ht="30" customHeight="1">
      <c r="A248" s="57">
        <v>219</v>
      </c>
      <c r="B248" s="63" t="s">
        <v>1288</v>
      </c>
      <c r="C248" s="232">
        <v>190</v>
      </c>
      <c r="D248" s="59" t="s">
        <v>1052</v>
      </c>
      <c r="E248" s="59"/>
      <c r="F248" s="60"/>
      <c r="P248" s="272"/>
    </row>
    <row r="249" spans="1:16" s="61" customFormat="1" ht="30" customHeight="1">
      <c r="A249" s="57">
        <v>220</v>
      </c>
      <c r="B249" s="63" t="s">
        <v>1289</v>
      </c>
      <c r="C249" s="232">
        <v>190</v>
      </c>
      <c r="D249" s="59" t="s">
        <v>1052</v>
      </c>
      <c r="E249" s="59"/>
      <c r="F249" s="60"/>
      <c r="P249" s="272"/>
    </row>
    <row r="250" spans="1:16" s="61" customFormat="1" ht="30" customHeight="1">
      <c r="A250" s="57">
        <v>221</v>
      </c>
      <c r="B250" s="63" t="s">
        <v>1290</v>
      </c>
      <c r="C250" s="232">
        <v>190</v>
      </c>
      <c r="D250" s="59" t="s">
        <v>1052</v>
      </c>
      <c r="E250" s="59"/>
      <c r="F250" s="60"/>
      <c r="P250" s="272"/>
    </row>
    <row r="251" spans="1:16" s="61" customFormat="1" ht="30" customHeight="1">
      <c r="A251" s="57">
        <v>222</v>
      </c>
      <c r="B251" s="63" t="s">
        <v>1291</v>
      </c>
      <c r="C251" s="232">
        <v>190</v>
      </c>
      <c r="D251" s="59" t="s">
        <v>1052</v>
      </c>
      <c r="E251" s="59"/>
      <c r="F251" s="60"/>
      <c r="P251" s="272"/>
    </row>
    <row r="252" spans="1:16" s="61" customFormat="1" ht="30" customHeight="1">
      <c r="A252" s="57">
        <v>223</v>
      </c>
      <c r="B252" s="63" t="s">
        <v>1292</v>
      </c>
      <c r="C252" s="232">
        <v>190</v>
      </c>
      <c r="D252" s="59" t="s">
        <v>1052</v>
      </c>
      <c r="E252" s="59"/>
      <c r="F252" s="60"/>
      <c r="P252" s="272"/>
    </row>
    <row r="253" spans="1:16" s="61" customFormat="1" ht="30" customHeight="1">
      <c r="A253" s="57">
        <v>224</v>
      </c>
      <c r="B253" s="63" t="s">
        <v>1293</v>
      </c>
      <c r="C253" s="232">
        <v>190</v>
      </c>
      <c r="D253" s="59" t="s">
        <v>1052</v>
      </c>
      <c r="E253" s="59"/>
      <c r="F253" s="60"/>
      <c r="P253" s="272"/>
    </row>
    <row r="254" spans="1:16" s="61" customFormat="1" ht="30" customHeight="1">
      <c r="A254" s="57">
        <v>225</v>
      </c>
      <c r="B254" s="63" t="s">
        <v>1294</v>
      </c>
      <c r="C254" s="125">
        <v>190</v>
      </c>
      <c r="D254" s="59" t="s">
        <v>1052</v>
      </c>
      <c r="E254" s="76"/>
      <c r="F254" s="60"/>
      <c r="P254" s="272"/>
    </row>
    <row r="255" spans="1:16" s="78" customFormat="1" ht="30" customHeight="1">
      <c r="A255" s="57">
        <v>226</v>
      </c>
      <c r="B255" s="63" t="s">
        <v>1295</v>
      </c>
      <c r="C255" s="125">
        <v>190</v>
      </c>
      <c r="D255" s="59" t="s">
        <v>1052</v>
      </c>
      <c r="E255" s="76"/>
      <c r="F255" s="60"/>
      <c r="G255" s="61"/>
      <c r="H255" s="61"/>
      <c r="I255" s="61"/>
      <c r="J255" s="61"/>
      <c r="K255" s="61"/>
      <c r="L255" s="61"/>
      <c r="M255" s="61"/>
      <c r="N255" s="61"/>
      <c r="P255" s="273"/>
    </row>
    <row r="256" spans="1:16" s="61" customFormat="1" ht="30" customHeight="1">
      <c r="A256" s="57">
        <v>227</v>
      </c>
      <c r="B256" s="63" t="s">
        <v>1296</v>
      </c>
      <c r="C256" s="125">
        <v>190</v>
      </c>
      <c r="D256" s="59" t="s">
        <v>1052</v>
      </c>
      <c r="E256" s="76"/>
      <c r="F256" s="60"/>
      <c r="L256" s="78"/>
      <c r="M256" s="78"/>
      <c r="N256" s="78"/>
      <c r="P256" s="272"/>
    </row>
    <row r="257" spans="1:16" s="61" customFormat="1" ht="30" customHeight="1">
      <c r="A257" s="57">
        <v>228</v>
      </c>
      <c r="B257" s="63" t="s">
        <v>1297</v>
      </c>
      <c r="C257" s="125">
        <v>190</v>
      </c>
      <c r="D257" s="59" t="s">
        <v>1052</v>
      </c>
      <c r="E257" s="76"/>
      <c r="F257" s="60"/>
      <c r="P257" s="272"/>
    </row>
    <row r="258" spans="1:16" s="61" customFormat="1" ht="30" customHeight="1">
      <c r="A258" s="57">
        <v>229</v>
      </c>
      <c r="B258" s="63" t="s">
        <v>1298</v>
      </c>
      <c r="C258" s="125">
        <v>190</v>
      </c>
      <c r="D258" s="59" t="s">
        <v>1052</v>
      </c>
      <c r="E258" s="76"/>
      <c r="F258" s="60"/>
      <c r="P258" s="272"/>
    </row>
    <row r="259" spans="1:16" s="61" customFormat="1" ht="30" customHeight="1">
      <c r="A259" s="57">
        <v>230</v>
      </c>
      <c r="B259" s="63" t="s">
        <v>1299</v>
      </c>
      <c r="C259" s="125">
        <v>190</v>
      </c>
      <c r="D259" s="59" t="s">
        <v>1052</v>
      </c>
      <c r="E259" s="76"/>
      <c r="F259" s="60"/>
      <c r="P259" s="272"/>
    </row>
    <row r="260" spans="1:16" s="61" customFormat="1" ht="30" customHeight="1">
      <c r="A260" s="57">
        <v>231</v>
      </c>
      <c r="B260" s="63" t="s">
        <v>1300</v>
      </c>
      <c r="C260" s="125">
        <v>190</v>
      </c>
      <c r="D260" s="59" t="s">
        <v>1052</v>
      </c>
      <c r="E260" s="76"/>
      <c r="F260" s="60"/>
      <c r="P260" s="272"/>
    </row>
    <row r="261" spans="1:16" s="61" customFormat="1" ht="30" customHeight="1">
      <c r="A261" s="57">
        <v>232</v>
      </c>
      <c r="B261" s="63" t="s">
        <v>1301</v>
      </c>
      <c r="C261" s="125">
        <v>190</v>
      </c>
      <c r="D261" s="59" t="s">
        <v>1052</v>
      </c>
      <c r="E261" s="76"/>
      <c r="F261" s="60"/>
      <c r="P261" s="272"/>
    </row>
    <row r="262" spans="1:16" s="61" customFormat="1" ht="30" customHeight="1">
      <c r="A262" s="57">
        <v>233</v>
      </c>
      <c r="B262" s="63" t="s">
        <v>1302</v>
      </c>
      <c r="C262" s="125">
        <v>190</v>
      </c>
      <c r="D262" s="59" t="s">
        <v>1052</v>
      </c>
      <c r="E262" s="76"/>
      <c r="F262" s="60"/>
      <c r="P262" s="272"/>
    </row>
    <row r="263" spans="1:16" s="61" customFormat="1" ht="30" customHeight="1">
      <c r="A263" s="57">
        <v>234</v>
      </c>
      <c r="B263" s="63" t="s">
        <v>1303</v>
      </c>
      <c r="C263" s="125">
        <v>190</v>
      </c>
      <c r="D263" s="59" t="s">
        <v>1052</v>
      </c>
      <c r="E263" s="76"/>
      <c r="F263" s="60"/>
      <c r="P263" s="272"/>
    </row>
    <row r="264" spans="1:16" s="61" customFormat="1" ht="30" customHeight="1">
      <c r="A264" s="57">
        <v>235</v>
      </c>
      <c r="B264" s="63" t="s">
        <v>1304</v>
      </c>
      <c r="C264" s="125">
        <v>190</v>
      </c>
      <c r="D264" s="59" t="s">
        <v>1052</v>
      </c>
      <c r="E264" s="76"/>
      <c r="F264" s="60"/>
      <c r="P264" s="272"/>
    </row>
    <row r="265" spans="1:16" s="61" customFormat="1" ht="30" customHeight="1">
      <c r="A265" s="57">
        <v>236</v>
      </c>
      <c r="B265" s="63" t="s">
        <v>1305</v>
      </c>
      <c r="C265" s="125">
        <v>190</v>
      </c>
      <c r="D265" s="59" t="s">
        <v>1052</v>
      </c>
      <c r="E265" s="76"/>
      <c r="F265" s="60"/>
      <c r="P265" s="272"/>
    </row>
    <row r="266" spans="1:16" s="61" customFormat="1" ht="30" customHeight="1">
      <c r="A266" s="57">
        <v>237</v>
      </c>
      <c r="B266" s="63" t="s">
        <v>1306</v>
      </c>
      <c r="C266" s="125">
        <v>190</v>
      </c>
      <c r="D266" s="59" t="s">
        <v>1052</v>
      </c>
      <c r="E266" s="76"/>
      <c r="F266" s="60"/>
      <c r="P266" s="272"/>
    </row>
    <row r="267" spans="1:16" s="61" customFormat="1" ht="30" customHeight="1">
      <c r="A267" s="57">
        <v>238</v>
      </c>
      <c r="B267" s="63" t="s">
        <v>1307</v>
      </c>
      <c r="C267" s="125">
        <v>190</v>
      </c>
      <c r="D267" s="59" t="s">
        <v>1052</v>
      </c>
      <c r="E267" s="76"/>
      <c r="F267" s="60"/>
      <c r="P267" s="272"/>
    </row>
    <row r="268" spans="1:16" s="61" customFormat="1" ht="30" customHeight="1">
      <c r="A268" s="57">
        <v>239</v>
      </c>
      <c r="B268" s="63" t="s">
        <v>1308</v>
      </c>
      <c r="C268" s="125">
        <v>190</v>
      </c>
      <c r="D268" s="59" t="s">
        <v>1052</v>
      </c>
      <c r="E268" s="76"/>
      <c r="F268" s="60"/>
      <c r="P268" s="272"/>
    </row>
    <row r="269" spans="1:16" s="61" customFormat="1" ht="30" customHeight="1">
      <c r="A269" s="57">
        <v>240</v>
      </c>
      <c r="B269" s="63" t="s">
        <v>1309</v>
      </c>
      <c r="C269" s="125">
        <v>190</v>
      </c>
      <c r="D269" s="59" t="s">
        <v>1052</v>
      </c>
      <c r="E269" s="76"/>
      <c r="F269" s="60"/>
      <c r="P269" s="272"/>
    </row>
    <row r="270" spans="1:16" s="61" customFormat="1" ht="30" customHeight="1">
      <c r="A270" s="57">
        <v>241</v>
      </c>
      <c r="B270" s="63" t="s">
        <v>1310</v>
      </c>
      <c r="C270" s="125">
        <v>190</v>
      </c>
      <c r="D270" s="59" t="s">
        <v>1052</v>
      </c>
      <c r="E270" s="76"/>
      <c r="F270" s="60"/>
      <c r="P270" s="272"/>
    </row>
    <row r="271" spans="1:16" s="61" customFormat="1" ht="30" customHeight="1">
      <c r="A271" s="57">
        <v>242</v>
      </c>
      <c r="B271" s="63" t="s">
        <v>1311</v>
      </c>
      <c r="C271" s="125">
        <v>190</v>
      </c>
      <c r="D271" s="59" t="s">
        <v>1052</v>
      </c>
      <c r="E271" s="76"/>
      <c r="F271" s="60"/>
      <c r="P271" s="272"/>
    </row>
    <row r="272" spans="1:16" s="61" customFormat="1" ht="30" customHeight="1">
      <c r="A272" s="57">
        <v>243</v>
      </c>
      <c r="B272" s="63" t="s">
        <v>1312</v>
      </c>
      <c r="C272" s="125">
        <v>190</v>
      </c>
      <c r="D272" s="59" t="s">
        <v>1052</v>
      </c>
      <c r="E272" s="76"/>
      <c r="F272" s="60"/>
      <c r="P272" s="272"/>
    </row>
    <row r="273" spans="1:16" s="61" customFormat="1" ht="30" customHeight="1">
      <c r="A273" s="57">
        <v>244</v>
      </c>
      <c r="B273" s="63" t="s">
        <v>1313</v>
      </c>
      <c r="C273" s="125">
        <v>190</v>
      </c>
      <c r="D273" s="59" t="s">
        <v>1052</v>
      </c>
      <c r="E273" s="76"/>
      <c r="F273" s="60"/>
      <c r="P273" s="272"/>
    </row>
    <row r="274" spans="1:16" s="61" customFormat="1" ht="30" customHeight="1">
      <c r="A274" s="57">
        <v>245</v>
      </c>
      <c r="B274" s="63" t="s">
        <v>1314</v>
      </c>
      <c r="C274" s="125">
        <v>190</v>
      </c>
      <c r="D274" s="59" t="s">
        <v>1052</v>
      </c>
      <c r="E274" s="76"/>
      <c r="F274" s="60"/>
      <c r="P274" s="272"/>
    </row>
    <row r="275" spans="1:16" s="61" customFormat="1" ht="30" customHeight="1">
      <c r="A275" s="57">
        <v>246</v>
      </c>
      <c r="B275" s="63" t="s">
        <v>1315</v>
      </c>
      <c r="C275" s="125">
        <v>190</v>
      </c>
      <c r="D275" s="59" t="s">
        <v>1052</v>
      </c>
      <c r="E275" s="76"/>
      <c r="F275" s="60"/>
      <c r="P275" s="272"/>
    </row>
    <row r="276" spans="1:16" s="61" customFormat="1" ht="30" customHeight="1">
      <c r="A276" s="57">
        <v>247</v>
      </c>
      <c r="B276" s="63" t="s">
        <v>1316</v>
      </c>
      <c r="C276" s="125">
        <v>190</v>
      </c>
      <c r="D276" s="59" t="s">
        <v>1052</v>
      </c>
      <c r="E276" s="76"/>
      <c r="F276" s="60"/>
      <c r="P276" s="272"/>
    </row>
    <row r="277" spans="1:16" s="61" customFormat="1" ht="30" customHeight="1">
      <c r="A277" s="57">
        <v>248</v>
      </c>
      <c r="B277" s="63" t="s">
        <v>1317</v>
      </c>
      <c r="C277" s="125">
        <v>190</v>
      </c>
      <c r="D277" s="59" t="s">
        <v>1052</v>
      </c>
      <c r="E277" s="76"/>
      <c r="F277" s="60"/>
      <c r="P277" s="272"/>
    </row>
    <row r="278" spans="1:16" s="61" customFormat="1" ht="30" customHeight="1">
      <c r="A278" s="57">
        <v>249</v>
      </c>
      <c r="B278" s="63" t="s">
        <v>1318</v>
      </c>
      <c r="C278" s="125">
        <v>190</v>
      </c>
      <c r="D278" s="59" t="s">
        <v>1052</v>
      </c>
      <c r="E278" s="76"/>
      <c r="F278" s="60"/>
      <c r="P278" s="272"/>
    </row>
    <row r="279" spans="1:16" s="61" customFormat="1" ht="30" customHeight="1">
      <c r="A279" s="57">
        <v>250</v>
      </c>
      <c r="B279" s="63" t="s">
        <v>1319</v>
      </c>
      <c r="C279" s="125">
        <v>190</v>
      </c>
      <c r="D279" s="59" t="s">
        <v>1052</v>
      </c>
      <c r="E279" s="76"/>
      <c r="F279" s="60"/>
      <c r="P279" s="272"/>
    </row>
    <row r="280" spans="1:16" s="61" customFormat="1" ht="30" customHeight="1">
      <c r="A280" s="57">
        <v>251</v>
      </c>
      <c r="B280" s="63" t="s">
        <v>1320</v>
      </c>
      <c r="C280" s="125">
        <v>190</v>
      </c>
      <c r="D280" s="59" t="s">
        <v>1052</v>
      </c>
      <c r="E280" s="76"/>
      <c r="F280" s="60"/>
      <c r="P280" s="272"/>
    </row>
    <row r="281" spans="1:16" s="61" customFormat="1" ht="30" customHeight="1">
      <c r="A281" s="57">
        <v>252</v>
      </c>
      <c r="B281" s="63" t="s">
        <v>1321</v>
      </c>
      <c r="C281" s="125">
        <v>190</v>
      </c>
      <c r="D281" s="59" t="s">
        <v>1052</v>
      </c>
      <c r="E281" s="76"/>
      <c r="F281" s="60"/>
      <c r="P281" s="272"/>
    </row>
    <row r="282" spans="1:16" s="61" customFormat="1" ht="30" customHeight="1">
      <c r="A282" s="57">
        <v>253</v>
      </c>
      <c r="B282" s="63" t="s">
        <v>1322</v>
      </c>
      <c r="C282" s="125">
        <v>190</v>
      </c>
      <c r="D282" s="59" t="s">
        <v>1052</v>
      </c>
      <c r="E282" s="76"/>
      <c r="F282" s="60"/>
      <c r="P282" s="272"/>
    </row>
    <row r="283" spans="1:16" s="61" customFormat="1" ht="30" customHeight="1">
      <c r="A283" s="57">
        <v>254</v>
      </c>
      <c r="B283" s="63" t="s">
        <v>1323</v>
      </c>
      <c r="C283" s="125">
        <v>190</v>
      </c>
      <c r="D283" s="59" t="s">
        <v>1052</v>
      </c>
      <c r="E283" s="76"/>
      <c r="F283" s="60"/>
      <c r="P283" s="272"/>
    </row>
    <row r="284" spans="1:16" s="61" customFormat="1" ht="30" customHeight="1">
      <c r="A284" s="57">
        <v>255</v>
      </c>
      <c r="B284" s="63" t="s">
        <v>1324</v>
      </c>
      <c r="C284" s="124">
        <v>190</v>
      </c>
      <c r="D284" s="59" t="s">
        <v>1052</v>
      </c>
      <c r="E284" s="79"/>
      <c r="F284" s="60"/>
      <c r="P284" s="272"/>
    </row>
    <row r="285" spans="1:16" s="61" customFormat="1" ht="30" customHeight="1">
      <c r="A285" s="57">
        <v>256</v>
      </c>
      <c r="B285" s="63" t="s">
        <v>1325</v>
      </c>
      <c r="C285" s="124">
        <v>190</v>
      </c>
      <c r="D285" s="59" t="s">
        <v>1052</v>
      </c>
      <c r="E285" s="79"/>
      <c r="F285" s="60"/>
      <c r="P285" s="272"/>
    </row>
    <row r="286" spans="1:16" s="61" customFormat="1" ht="30" customHeight="1">
      <c r="A286" s="57">
        <v>257</v>
      </c>
      <c r="B286" s="63" t="s">
        <v>1326</v>
      </c>
      <c r="C286" s="124">
        <v>190</v>
      </c>
      <c r="D286" s="59" t="s">
        <v>1052</v>
      </c>
      <c r="E286" s="79"/>
      <c r="F286" s="60"/>
      <c r="P286" s="272"/>
    </row>
    <row r="287" spans="1:16" s="61" customFormat="1" ht="30" customHeight="1">
      <c r="A287" s="57">
        <v>258</v>
      </c>
      <c r="B287" s="63" t="s">
        <v>1327</v>
      </c>
      <c r="C287" s="124">
        <v>190</v>
      </c>
      <c r="D287" s="59" t="s">
        <v>1052</v>
      </c>
      <c r="E287" s="79"/>
      <c r="F287" s="60"/>
      <c r="P287" s="272"/>
    </row>
    <row r="288" spans="1:16" s="61" customFormat="1" ht="30" customHeight="1">
      <c r="A288" s="57">
        <v>259</v>
      </c>
      <c r="B288" s="63" t="s">
        <v>1328</v>
      </c>
      <c r="C288" s="124">
        <v>190</v>
      </c>
      <c r="D288" s="59" t="s">
        <v>1052</v>
      </c>
      <c r="E288" s="79"/>
      <c r="F288" s="60"/>
      <c r="P288" s="272"/>
    </row>
    <row r="289" spans="1:16" s="61" customFormat="1" ht="30" customHeight="1">
      <c r="A289" s="57">
        <v>260</v>
      </c>
      <c r="B289" s="63" t="s">
        <v>1329</v>
      </c>
      <c r="C289" s="124">
        <v>190</v>
      </c>
      <c r="D289" s="59" t="s">
        <v>1052</v>
      </c>
      <c r="E289" s="79"/>
      <c r="F289" s="60"/>
      <c r="P289" s="272"/>
    </row>
    <row r="290" spans="1:16" s="61" customFormat="1" ht="30" customHeight="1">
      <c r="A290" s="57">
        <v>261</v>
      </c>
      <c r="B290" s="63" t="s">
        <v>1330</v>
      </c>
      <c r="C290" s="124">
        <v>190</v>
      </c>
      <c r="D290" s="59" t="s">
        <v>1052</v>
      </c>
      <c r="E290" s="79"/>
      <c r="F290" s="60"/>
      <c r="P290" s="272"/>
    </row>
    <row r="291" spans="1:16" s="61" customFormat="1" ht="30" customHeight="1">
      <c r="A291" s="57">
        <v>262</v>
      </c>
      <c r="B291" s="63" t="s">
        <v>1331</v>
      </c>
      <c r="C291" s="124">
        <v>190</v>
      </c>
      <c r="D291" s="59" t="s">
        <v>1052</v>
      </c>
      <c r="E291" s="79"/>
      <c r="F291" s="60"/>
      <c r="P291" s="272"/>
    </row>
    <row r="292" spans="1:16" s="61" customFormat="1" ht="30" customHeight="1">
      <c r="A292" s="57">
        <v>263</v>
      </c>
      <c r="B292" s="63" t="s">
        <v>1332</v>
      </c>
      <c r="C292" s="124">
        <v>190</v>
      </c>
      <c r="D292" s="59" t="s">
        <v>1052</v>
      </c>
      <c r="E292" s="79"/>
      <c r="F292" s="60"/>
      <c r="P292" s="272"/>
    </row>
    <row r="293" spans="1:16" s="61" customFormat="1" ht="30" customHeight="1">
      <c r="A293" s="57">
        <v>264</v>
      </c>
      <c r="B293" s="63" t="s">
        <v>1333</v>
      </c>
      <c r="C293" s="124">
        <v>190</v>
      </c>
      <c r="D293" s="59" t="s">
        <v>1052</v>
      </c>
      <c r="E293" s="79"/>
      <c r="F293" s="60"/>
      <c r="P293" s="272"/>
    </row>
    <row r="294" spans="1:16" s="61" customFormat="1" ht="30" customHeight="1">
      <c r="A294" s="57">
        <v>265</v>
      </c>
      <c r="B294" s="63" t="s">
        <v>1334</v>
      </c>
      <c r="C294" s="124">
        <v>190</v>
      </c>
      <c r="D294" s="59" t="s">
        <v>1052</v>
      </c>
      <c r="E294" s="79"/>
      <c r="F294" s="60"/>
      <c r="P294" s="272"/>
    </row>
    <row r="295" spans="1:16" s="61" customFormat="1" ht="30" customHeight="1">
      <c r="A295" s="57">
        <v>266</v>
      </c>
      <c r="B295" s="63" t="s">
        <v>1335</v>
      </c>
      <c r="C295" s="124">
        <v>190</v>
      </c>
      <c r="D295" s="59" t="s">
        <v>1052</v>
      </c>
      <c r="E295" s="79"/>
      <c r="F295" s="60"/>
      <c r="P295" s="272"/>
    </row>
    <row r="296" spans="1:16" s="61" customFormat="1" ht="30" customHeight="1">
      <c r="A296" s="57">
        <v>267</v>
      </c>
      <c r="B296" s="63" t="s">
        <v>1336</v>
      </c>
      <c r="C296" s="124">
        <v>190</v>
      </c>
      <c r="D296" s="59" t="s">
        <v>1052</v>
      </c>
      <c r="E296" s="79"/>
      <c r="F296" s="60"/>
      <c r="P296" s="272"/>
    </row>
    <row r="297" spans="1:16" s="61" customFormat="1" ht="30" customHeight="1">
      <c r="A297" s="57">
        <v>268</v>
      </c>
      <c r="B297" s="63" t="s">
        <v>1337</v>
      </c>
      <c r="C297" s="124">
        <v>190</v>
      </c>
      <c r="D297" s="59" t="s">
        <v>1052</v>
      </c>
      <c r="E297" s="79"/>
      <c r="F297" s="60"/>
      <c r="P297" s="272"/>
    </row>
    <row r="298" spans="1:16" s="61" customFormat="1" ht="30" customHeight="1">
      <c r="A298" s="57">
        <v>269</v>
      </c>
      <c r="B298" s="63" t="s">
        <v>1338</v>
      </c>
      <c r="C298" s="124">
        <v>190</v>
      </c>
      <c r="D298" s="59" t="s">
        <v>1052</v>
      </c>
      <c r="E298" s="79"/>
      <c r="F298" s="60"/>
      <c r="P298" s="272"/>
    </row>
    <row r="299" spans="1:16" s="61" customFormat="1" ht="30" customHeight="1">
      <c r="A299" s="57">
        <v>270</v>
      </c>
      <c r="B299" s="63" t="s">
        <v>1339</v>
      </c>
      <c r="C299" s="243">
        <v>190</v>
      </c>
      <c r="D299" s="59" t="s">
        <v>1052</v>
      </c>
      <c r="E299" s="62"/>
      <c r="F299" s="60"/>
      <c r="P299" s="272"/>
    </row>
    <row r="300" spans="1:16" s="61" customFormat="1" ht="30" customHeight="1">
      <c r="A300" s="57">
        <v>271</v>
      </c>
      <c r="B300" s="63" t="s">
        <v>1340</v>
      </c>
      <c r="C300" s="124">
        <v>200</v>
      </c>
      <c r="D300" s="59" t="s">
        <v>1052</v>
      </c>
      <c r="E300" s="79"/>
      <c r="F300" s="60"/>
      <c r="P300" s="272"/>
    </row>
    <row r="301" spans="1:16" s="61" customFormat="1" ht="30" customHeight="1">
      <c r="A301" s="57">
        <v>272</v>
      </c>
      <c r="B301" s="63" t="s">
        <v>1341</v>
      </c>
      <c r="C301" s="125">
        <v>200</v>
      </c>
      <c r="D301" s="59" t="s">
        <v>1052</v>
      </c>
      <c r="E301" s="76"/>
      <c r="F301" s="60"/>
      <c r="P301" s="272"/>
    </row>
    <row r="302" spans="1:16" s="61" customFormat="1" ht="30" customHeight="1">
      <c r="A302" s="57">
        <v>273</v>
      </c>
      <c r="B302" s="63" t="s">
        <v>1342</v>
      </c>
      <c r="C302" s="245">
        <v>200</v>
      </c>
      <c r="D302" s="59" t="s">
        <v>1052</v>
      </c>
      <c r="E302" s="80"/>
      <c r="F302" s="60"/>
      <c r="P302" s="272"/>
    </row>
    <row r="303" spans="1:16" s="61" customFormat="1" ht="30" customHeight="1">
      <c r="A303" s="57">
        <v>274</v>
      </c>
      <c r="B303" s="63" t="s">
        <v>1343</v>
      </c>
      <c r="C303" s="124">
        <v>200</v>
      </c>
      <c r="D303" s="59" t="s">
        <v>1052</v>
      </c>
      <c r="E303" s="58"/>
      <c r="F303" s="60"/>
      <c r="P303" s="272"/>
    </row>
    <row r="304" spans="1:16" s="61" customFormat="1" ht="30" customHeight="1">
      <c r="A304" s="57">
        <v>275</v>
      </c>
      <c r="B304" s="63" t="s">
        <v>1067</v>
      </c>
      <c r="C304" s="124">
        <f>200+15</f>
        <v>215</v>
      </c>
      <c r="D304" s="59" t="s">
        <v>1052</v>
      </c>
      <c r="E304" s="85"/>
      <c r="F304" s="60"/>
      <c r="P304" s="272"/>
    </row>
    <row r="305" spans="1:16" s="61" customFormat="1" ht="30" customHeight="1">
      <c r="A305" s="57">
        <v>276</v>
      </c>
      <c r="B305" s="63" t="s">
        <v>1068</v>
      </c>
      <c r="C305" s="124">
        <f>200+15</f>
        <v>215</v>
      </c>
      <c r="D305" s="59" t="s">
        <v>1052</v>
      </c>
      <c r="E305" s="58"/>
      <c r="F305" s="60"/>
      <c r="P305" s="272"/>
    </row>
    <row r="306" spans="1:16" s="61" customFormat="1" ht="30" customHeight="1">
      <c r="A306" s="57">
        <v>277</v>
      </c>
      <c r="B306" s="63" t="s">
        <v>1344</v>
      </c>
      <c r="C306" s="243">
        <v>200</v>
      </c>
      <c r="D306" s="59" t="s">
        <v>1052</v>
      </c>
      <c r="E306" s="64"/>
      <c r="F306" s="60"/>
      <c r="P306" s="272"/>
    </row>
    <row r="307" spans="1:16" s="61" customFormat="1" ht="30" customHeight="1">
      <c r="A307" s="57">
        <v>278</v>
      </c>
      <c r="B307" s="63" t="s">
        <v>1345</v>
      </c>
      <c r="C307" s="124">
        <v>215</v>
      </c>
      <c r="D307" s="59" t="s">
        <v>1052</v>
      </c>
      <c r="E307" s="58"/>
      <c r="F307" s="60"/>
      <c r="P307" s="272"/>
    </row>
    <row r="308" spans="1:16" s="61" customFormat="1" ht="30" customHeight="1">
      <c r="A308" s="57">
        <v>279</v>
      </c>
      <c r="B308" s="63" t="s">
        <v>1346</v>
      </c>
      <c r="C308" s="124">
        <v>215</v>
      </c>
      <c r="D308" s="59" t="s">
        <v>1052</v>
      </c>
      <c r="E308" s="58"/>
      <c r="F308" s="60"/>
      <c r="P308" s="272"/>
    </row>
    <row r="309" spans="1:16" s="77" customFormat="1" ht="30" customHeight="1">
      <c r="A309" s="57">
        <v>280</v>
      </c>
      <c r="B309" s="63" t="s">
        <v>1347</v>
      </c>
      <c r="C309" s="124">
        <v>215</v>
      </c>
      <c r="D309" s="59" t="s">
        <v>1052</v>
      </c>
      <c r="E309" s="58"/>
      <c r="F309" s="60"/>
      <c r="G309" s="61"/>
      <c r="H309" s="61"/>
      <c r="I309" s="61"/>
      <c r="J309" s="61"/>
      <c r="K309" s="61"/>
      <c r="L309" s="61"/>
      <c r="M309" s="61"/>
      <c r="N309" s="61"/>
      <c r="P309" s="274"/>
    </row>
    <row r="310" spans="1:16" s="61" customFormat="1" ht="30" customHeight="1">
      <c r="A310" s="57">
        <v>281</v>
      </c>
      <c r="B310" s="63" t="s">
        <v>1348</v>
      </c>
      <c r="C310" s="124">
        <v>215</v>
      </c>
      <c r="D310" s="59" t="s">
        <v>1052</v>
      </c>
      <c r="E310" s="58"/>
      <c r="F310" s="60"/>
      <c r="L310" s="77"/>
      <c r="M310" s="77"/>
      <c r="N310" s="77"/>
      <c r="P310" s="272"/>
    </row>
    <row r="311" spans="1:16" s="61" customFormat="1" ht="30" customHeight="1">
      <c r="A311" s="57">
        <v>282</v>
      </c>
      <c r="B311" s="63" t="s">
        <v>1349</v>
      </c>
      <c r="C311" s="124">
        <v>215</v>
      </c>
      <c r="D311" s="59" t="s">
        <v>1052</v>
      </c>
      <c r="E311" s="58"/>
      <c r="F311" s="60"/>
      <c r="P311" s="272"/>
    </row>
    <row r="312" spans="1:16" s="61" customFormat="1" ht="30" customHeight="1">
      <c r="A312" s="57">
        <v>283</v>
      </c>
      <c r="B312" s="63" t="s">
        <v>1350</v>
      </c>
      <c r="C312" s="124">
        <v>215</v>
      </c>
      <c r="D312" s="59" t="s">
        <v>1052</v>
      </c>
      <c r="E312" s="58"/>
      <c r="F312" s="60"/>
      <c r="P312" s="272"/>
    </row>
    <row r="313" spans="1:16" s="77" customFormat="1" ht="30" customHeight="1">
      <c r="A313" s="57">
        <v>284</v>
      </c>
      <c r="B313" s="63" t="s">
        <v>1351</v>
      </c>
      <c r="C313" s="124">
        <v>215</v>
      </c>
      <c r="D313" s="59" t="s">
        <v>1052</v>
      </c>
      <c r="E313" s="58"/>
      <c r="F313" s="60"/>
      <c r="G313" s="61"/>
      <c r="H313" s="61"/>
      <c r="I313" s="61"/>
      <c r="J313" s="61"/>
      <c r="K313" s="61"/>
      <c r="L313" s="61"/>
      <c r="M313" s="61"/>
      <c r="N313" s="61"/>
      <c r="P313" s="274"/>
    </row>
    <row r="314" spans="1:16" s="61" customFormat="1" ht="30" customHeight="1">
      <c r="A314" s="57">
        <v>285</v>
      </c>
      <c r="B314" s="63" t="s">
        <v>1352</v>
      </c>
      <c r="C314" s="124">
        <v>215</v>
      </c>
      <c r="D314" s="59" t="s">
        <v>1052</v>
      </c>
      <c r="E314" s="58"/>
      <c r="F314" s="60"/>
      <c r="L314" s="77"/>
      <c r="M314" s="77"/>
      <c r="N314" s="77"/>
      <c r="P314" s="272"/>
    </row>
    <row r="315" spans="1:16" s="77" customFormat="1" ht="30" customHeight="1">
      <c r="A315" s="57">
        <v>286</v>
      </c>
      <c r="B315" s="63" t="s">
        <v>1353</v>
      </c>
      <c r="C315" s="124">
        <v>215</v>
      </c>
      <c r="D315" s="59" t="s">
        <v>1052</v>
      </c>
      <c r="E315" s="58"/>
      <c r="F315" s="60"/>
      <c r="G315" s="61"/>
      <c r="H315" s="61"/>
      <c r="I315" s="61"/>
      <c r="J315" s="61"/>
      <c r="K315" s="61"/>
      <c r="L315" s="61"/>
      <c r="M315" s="61"/>
      <c r="N315" s="61"/>
      <c r="P315" s="274"/>
    </row>
    <row r="316" spans="1:16" s="61" customFormat="1" ht="30" customHeight="1">
      <c r="A316" s="57">
        <v>287</v>
      </c>
      <c r="B316" s="63" t="s">
        <v>1354</v>
      </c>
      <c r="C316" s="124">
        <v>215</v>
      </c>
      <c r="D316" s="59" t="s">
        <v>1052</v>
      </c>
      <c r="E316" s="58"/>
      <c r="F316" s="60"/>
      <c r="L316" s="77"/>
      <c r="M316" s="77"/>
      <c r="N316" s="77"/>
      <c r="P316" s="272"/>
    </row>
    <row r="317" spans="1:16" s="61" customFormat="1" ht="30" customHeight="1">
      <c r="A317" s="57">
        <v>288</v>
      </c>
      <c r="B317" s="63" t="s">
        <v>1355</v>
      </c>
      <c r="C317" s="124">
        <v>215</v>
      </c>
      <c r="D317" s="59" t="s">
        <v>1052</v>
      </c>
      <c r="E317" s="58"/>
      <c r="F317" s="60"/>
      <c r="P317" s="272"/>
    </row>
    <row r="318" spans="1:16" s="61" customFormat="1" ht="30" customHeight="1">
      <c r="A318" s="57">
        <v>289</v>
      </c>
      <c r="B318" s="63" t="s">
        <v>3700</v>
      </c>
      <c r="C318" s="243">
        <v>215</v>
      </c>
      <c r="D318" s="59" t="s">
        <v>1052</v>
      </c>
      <c r="E318" s="65"/>
      <c r="F318" s="60"/>
      <c r="P318" s="272"/>
    </row>
    <row r="319" spans="1:16" s="61" customFormat="1" ht="30" customHeight="1">
      <c r="A319" s="57">
        <v>290</v>
      </c>
      <c r="B319" s="63" t="s">
        <v>1356</v>
      </c>
      <c r="C319" s="243">
        <v>215</v>
      </c>
      <c r="D319" s="59" t="s">
        <v>1052</v>
      </c>
      <c r="E319" s="65"/>
      <c r="F319" s="60"/>
      <c r="P319" s="272"/>
    </row>
    <row r="320" spans="1:16" s="61" customFormat="1" ht="30" customHeight="1">
      <c r="A320" s="57">
        <v>291</v>
      </c>
      <c r="B320" s="63" t="s">
        <v>1357</v>
      </c>
      <c r="C320" s="243">
        <v>215</v>
      </c>
      <c r="D320" s="59" t="s">
        <v>1052</v>
      </c>
      <c r="E320" s="62"/>
      <c r="F320" s="60"/>
      <c r="P320" s="272"/>
    </row>
    <row r="321" spans="1:16" s="61" customFormat="1" ht="30" customHeight="1">
      <c r="A321" s="57">
        <v>292</v>
      </c>
      <c r="B321" s="63" t="s">
        <v>1358</v>
      </c>
      <c r="C321" s="243">
        <v>215</v>
      </c>
      <c r="D321" s="59" t="s">
        <v>1052</v>
      </c>
      <c r="E321" s="62"/>
      <c r="F321" s="60"/>
      <c r="P321" s="272"/>
    </row>
    <row r="322" spans="1:16" s="61" customFormat="1" ht="30" customHeight="1">
      <c r="A322" s="57">
        <v>293</v>
      </c>
      <c r="B322" s="63" t="s">
        <v>1359</v>
      </c>
      <c r="C322" s="243">
        <v>215</v>
      </c>
      <c r="D322" s="59" t="s">
        <v>1052</v>
      </c>
      <c r="E322" s="64"/>
      <c r="F322" s="60"/>
      <c r="P322" s="272"/>
    </row>
    <row r="323" spans="1:16" s="61" customFormat="1" ht="30" customHeight="1">
      <c r="A323" s="57">
        <v>294</v>
      </c>
      <c r="B323" s="63" t="s">
        <v>1360</v>
      </c>
      <c r="C323" s="232">
        <v>220</v>
      </c>
      <c r="D323" s="59" t="s">
        <v>1052</v>
      </c>
      <c r="E323" s="59"/>
      <c r="F323" s="60"/>
      <c r="P323" s="272"/>
    </row>
    <row r="324" spans="1:16" s="61" customFormat="1" ht="30" customHeight="1">
      <c r="A324" s="57">
        <v>295</v>
      </c>
      <c r="B324" s="63" t="s">
        <v>1361</v>
      </c>
      <c r="C324" s="125">
        <v>220</v>
      </c>
      <c r="D324" s="59" t="s">
        <v>1052</v>
      </c>
      <c r="E324" s="76"/>
      <c r="F324" s="60"/>
      <c r="P324" s="272"/>
    </row>
    <row r="325" spans="1:16" s="61" customFormat="1" ht="30" customHeight="1">
      <c r="A325" s="57">
        <v>296</v>
      </c>
      <c r="B325" s="63" t="s">
        <v>1362</v>
      </c>
      <c r="C325" s="243">
        <v>220</v>
      </c>
      <c r="D325" s="59" t="s">
        <v>1052</v>
      </c>
      <c r="E325" s="62"/>
      <c r="F325" s="60"/>
      <c r="P325" s="272"/>
    </row>
    <row r="326" spans="1:16" s="61" customFormat="1" ht="30" customHeight="1">
      <c r="A326" s="57">
        <v>297</v>
      </c>
      <c r="B326" s="63" t="s">
        <v>1363</v>
      </c>
      <c r="C326" s="232">
        <v>220</v>
      </c>
      <c r="D326" s="59" t="s">
        <v>1052</v>
      </c>
      <c r="E326" s="59"/>
      <c r="F326" s="60"/>
      <c r="P326" s="272"/>
    </row>
    <row r="327" spans="1:16" s="61" customFormat="1" ht="30" customHeight="1">
      <c r="A327" s="57">
        <v>298</v>
      </c>
      <c r="B327" s="63" t="s">
        <v>1364</v>
      </c>
      <c r="C327" s="232">
        <v>220</v>
      </c>
      <c r="D327" s="59" t="s">
        <v>1052</v>
      </c>
      <c r="E327" s="59"/>
      <c r="F327" s="60"/>
      <c r="P327" s="272"/>
    </row>
    <row r="328" spans="1:16" s="61" customFormat="1" ht="30" customHeight="1">
      <c r="A328" s="57">
        <v>299</v>
      </c>
      <c r="B328" s="63" t="s">
        <v>1365</v>
      </c>
      <c r="C328" s="245">
        <v>220</v>
      </c>
      <c r="D328" s="59" t="s">
        <v>1052</v>
      </c>
      <c r="E328" s="80"/>
      <c r="F328" s="60"/>
      <c r="P328" s="272"/>
    </row>
    <row r="329" spans="1:16" s="61" customFormat="1" ht="30" customHeight="1">
      <c r="A329" s="57">
        <v>300</v>
      </c>
      <c r="B329" s="63" t="s">
        <v>1366</v>
      </c>
      <c r="C329" s="124">
        <v>220</v>
      </c>
      <c r="D329" s="59" t="s">
        <v>1052</v>
      </c>
      <c r="E329" s="58"/>
      <c r="F329" s="60"/>
      <c r="P329" s="272"/>
    </row>
    <row r="330" spans="1:16" s="61" customFormat="1" ht="30" customHeight="1">
      <c r="A330" s="57">
        <v>301</v>
      </c>
      <c r="B330" s="63" t="s">
        <v>1367</v>
      </c>
      <c r="C330" s="125">
        <v>220</v>
      </c>
      <c r="D330" s="59" t="s">
        <v>1052</v>
      </c>
      <c r="E330" s="76"/>
      <c r="F330" s="60"/>
      <c r="P330" s="272"/>
    </row>
    <row r="331" spans="1:16" s="61" customFormat="1" ht="30" customHeight="1">
      <c r="A331" s="57">
        <v>302</v>
      </c>
      <c r="B331" s="63" t="s">
        <v>1368</v>
      </c>
      <c r="C331" s="125">
        <v>220</v>
      </c>
      <c r="D331" s="59" t="s">
        <v>1052</v>
      </c>
      <c r="E331" s="76"/>
      <c r="F331" s="60"/>
      <c r="P331" s="272"/>
    </row>
    <row r="332" spans="1:16" s="61" customFormat="1" ht="30" customHeight="1">
      <c r="A332" s="57">
        <v>303</v>
      </c>
      <c r="B332" s="63" t="s">
        <v>1369</v>
      </c>
      <c r="C332" s="124">
        <v>220</v>
      </c>
      <c r="D332" s="59" t="s">
        <v>1052</v>
      </c>
      <c r="E332" s="79"/>
      <c r="F332" s="60"/>
      <c r="P332" s="272"/>
    </row>
    <row r="333" spans="1:16" s="61" customFormat="1" ht="30" customHeight="1">
      <c r="A333" s="57">
        <v>304</v>
      </c>
      <c r="B333" s="63" t="s">
        <v>1370</v>
      </c>
      <c r="C333" s="124">
        <v>220</v>
      </c>
      <c r="D333" s="59" t="s">
        <v>1052</v>
      </c>
      <c r="E333" s="79"/>
      <c r="F333" s="60"/>
      <c r="P333" s="272"/>
    </row>
    <row r="334" spans="1:16" s="61" customFormat="1" ht="30" customHeight="1">
      <c r="A334" s="57">
        <v>305</v>
      </c>
      <c r="B334" s="63" t="s">
        <v>1371</v>
      </c>
      <c r="C334" s="124">
        <v>220</v>
      </c>
      <c r="D334" s="59" t="s">
        <v>1052</v>
      </c>
      <c r="E334" s="79"/>
      <c r="F334" s="60"/>
      <c r="P334" s="272"/>
    </row>
    <row r="335" spans="1:16" s="61" customFormat="1" ht="30" customHeight="1">
      <c r="A335" s="57">
        <v>306</v>
      </c>
      <c r="B335" s="63" t="s">
        <v>1372</v>
      </c>
      <c r="C335" s="124">
        <v>220</v>
      </c>
      <c r="D335" s="59" t="s">
        <v>1052</v>
      </c>
      <c r="E335" s="79"/>
      <c r="F335" s="60"/>
      <c r="P335" s="272"/>
    </row>
    <row r="336" spans="1:16" s="61" customFormat="1" ht="30" customHeight="1">
      <c r="A336" s="57">
        <v>307</v>
      </c>
      <c r="B336" s="63" t="s">
        <v>1373</v>
      </c>
      <c r="C336" s="125">
        <v>220</v>
      </c>
      <c r="D336" s="59" t="s">
        <v>1052</v>
      </c>
      <c r="E336" s="76"/>
      <c r="F336" s="60"/>
      <c r="P336" s="272"/>
    </row>
    <row r="337" spans="1:16" s="61" customFormat="1" ht="30" customHeight="1">
      <c r="A337" s="57">
        <v>308</v>
      </c>
      <c r="B337" s="63" t="s">
        <v>1374</v>
      </c>
      <c r="C337" s="124">
        <v>220</v>
      </c>
      <c r="D337" s="59" t="s">
        <v>1052</v>
      </c>
      <c r="E337" s="58"/>
      <c r="F337" s="60"/>
      <c r="P337" s="272"/>
    </row>
    <row r="338" spans="1:16" s="61" customFormat="1" ht="30" customHeight="1">
      <c r="A338" s="57">
        <v>309</v>
      </c>
      <c r="B338" s="63" t="s">
        <v>1375</v>
      </c>
      <c r="C338" s="124">
        <v>220</v>
      </c>
      <c r="D338" s="59" t="s">
        <v>1052</v>
      </c>
      <c r="E338" s="58"/>
      <c r="F338" s="60"/>
      <c r="P338" s="272"/>
    </row>
    <row r="339" spans="1:16" s="61" customFormat="1" ht="30" customHeight="1">
      <c r="A339" s="57">
        <v>310</v>
      </c>
      <c r="B339" s="63" t="s">
        <v>1376</v>
      </c>
      <c r="C339" s="243">
        <v>220</v>
      </c>
      <c r="D339" s="59" t="s">
        <v>1052</v>
      </c>
      <c r="E339" s="65"/>
      <c r="F339" s="60"/>
      <c r="P339" s="272"/>
    </row>
    <row r="340" spans="1:16" s="61" customFormat="1" ht="30" customHeight="1">
      <c r="A340" s="57">
        <v>311</v>
      </c>
      <c r="B340" s="63" t="s">
        <v>1377</v>
      </c>
      <c r="C340" s="243">
        <v>220</v>
      </c>
      <c r="D340" s="59" t="s">
        <v>1052</v>
      </c>
      <c r="E340" s="65"/>
      <c r="F340" s="60"/>
      <c r="P340" s="272"/>
    </row>
    <row r="341" spans="1:16" s="61" customFormat="1" ht="30" customHeight="1">
      <c r="A341" s="57">
        <v>312</v>
      </c>
      <c r="B341" s="63" t="s">
        <v>1378</v>
      </c>
      <c r="C341" s="243">
        <v>220</v>
      </c>
      <c r="D341" s="59" t="s">
        <v>1052</v>
      </c>
      <c r="E341" s="62"/>
      <c r="F341" s="60"/>
      <c r="P341" s="272"/>
    </row>
    <row r="342" spans="1:16" s="61" customFormat="1" ht="30" customHeight="1">
      <c r="A342" s="57">
        <v>313</v>
      </c>
      <c r="B342" s="63" t="s">
        <v>1379</v>
      </c>
      <c r="C342" s="243">
        <v>220</v>
      </c>
      <c r="D342" s="59" t="s">
        <v>1052</v>
      </c>
      <c r="E342" s="62"/>
      <c r="F342" s="60"/>
      <c r="P342" s="272"/>
    </row>
    <row r="343" spans="1:16" s="61" customFormat="1" ht="30" customHeight="1">
      <c r="A343" s="57">
        <v>314</v>
      </c>
      <c r="B343" s="63" t="s">
        <v>1380</v>
      </c>
      <c r="C343" s="243">
        <v>220</v>
      </c>
      <c r="D343" s="59" t="s">
        <v>1052</v>
      </c>
      <c r="E343" s="62"/>
      <c r="F343" s="60"/>
      <c r="P343" s="272"/>
    </row>
    <row r="344" spans="1:16" s="61" customFormat="1" ht="30" customHeight="1">
      <c r="A344" s="57">
        <v>315</v>
      </c>
      <c r="B344" s="63" t="s">
        <v>1381</v>
      </c>
      <c r="C344" s="243">
        <v>220</v>
      </c>
      <c r="D344" s="59" t="s">
        <v>1052</v>
      </c>
      <c r="E344" s="62"/>
      <c r="F344" s="60"/>
      <c r="P344" s="272"/>
    </row>
    <row r="345" spans="1:16" s="61" customFormat="1" ht="30" customHeight="1">
      <c r="A345" s="57">
        <v>316</v>
      </c>
      <c r="B345" s="63" t="s">
        <v>1382</v>
      </c>
      <c r="C345" s="232">
        <v>220</v>
      </c>
      <c r="D345" s="59" t="s">
        <v>1052</v>
      </c>
      <c r="E345" s="59"/>
      <c r="F345" s="60"/>
      <c r="P345" s="272"/>
    </row>
    <row r="346" spans="1:16" s="61" customFormat="1" ht="30" customHeight="1">
      <c r="A346" s="57">
        <v>317</v>
      </c>
      <c r="B346" s="63" t="s">
        <v>1383</v>
      </c>
      <c r="C346" s="232">
        <v>220</v>
      </c>
      <c r="D346" s="59" t="s">
        <v>1052</v>
      </c>
      <c r="E346" s="59"/>
      <c r="F346" s="60"/>
      <c r="P346" s="272"/>
    </row>
    <row r="347" spans="1:16" s="61" customFormat="1" ht="30" customHeight="1">
      <c r="A347" s="57">
        <v>318</v>
      </c>
      <c r="B347" s="63" t="s">
        <v>1384</v>
      </c>
      <c r="C347" s="125">
        <v>220</v>
      </c>
      <c r="D347" s="59" t="s">
        <v>1052</v>
      </c>
      <c r="E347" s="76"/>
      <c r="F347" s="60"/>
      <c r="P347" s="272"/>
    </row>
    <row r="348" spans="1:16" s="61" customFormat="1" ht="30" customHeight="1">
      <c r="A348" s="57">
        <v>319</v>
      </c>
      <c r="B348" s="63" t="s">
        <v>1065</v>
      </c>
      <c r="C348" s="125">
        <v>220</v>
      </c>
      <c r="D348" s="59" t="s">
        <v>1052</v>
      </c>
      <c r="E348" s="76"/>
      <c r="F348" s="60"/>
      <c r="P348" s="272"/>
    </row>
    <row r="349" spans="1:16" s="61" customFormat="1" ht="30" customHeight="1">
      <c r="A349" s="57">
        <v>320</v>
      </c>
      <c r="B349" s="63" t="s">
        <v>1385</v>
      </c>
      <c r="C349" s="125">
        <v>220</v>
      </c>
      <c r="D349" s="59" t="s">
        <v>1052</v>
      </c>
      <c r="E349" s="76"/>
      <c r="F349" s="60"/>
      <c r="P349" s="272"/>
    </row>
    <row r="350" spans="1:16" s="61" customFormat="1" ht="30" customHeight="1">
      <c r="A350" s="57">
        <v>321</v>
      </c>
      <c r="B350" s="63" t="s">
        <v>1386</v>
      </c>
      <c r="C350" s="124">
        <v>220</v>
      </c>
      <c r="D350" s="59" t="s">
        <v>1052</v>
      </c>
      <c r="E350" s="79"/>
      <c r="F350" s="60"/>
      <c r="P350" s="272"/>
    </row>
    <row r="351" spans="1:16" s="61" customFormat="1" ht="30" customHeight="1">
      <c r="A351" s="57">
        <v>322</v>
      </c>
      <c r="B351" s="63" t="s">
        <v>1387</v>
      </c>
      <c r="C351" s="245">
        <v>220</v>
      </c>
      <c r="D351" s="59" t="s">
        <v>1052</v>
      </c>
      <c r="E351" s="80"/>
      <c r="F351" s="60"/>
      <c r="P351" s="272"/>
    </row>
    <row r="352" spans="1:16" s="61" customFormat="1" ht="30" customHeight="1">
      <c r="A352" s="57">
        <v>323</v>
      </c>
      <c r="B352" s="63" t="s">
        <v>1388</v>
      </c>
      <c r="C352" s="124">
        <v>220</v>
      </c>
      <c r="D352" s="59" t="s">
        <v>1052</v>
      </c>
      <c r="E352" s="58"/>
      <c r="F352" s="60"/>
      <c r="P352" s="272"/>
    </row>
    <row r="353" spans="1:16" s="61" customFormat="1" ht="30" customHeight="1">
      <c r="A353" s="57">
        <v>324</v>
      </c>
      <c r="B353" s="63" t="s">
        <v>1389</v>
      </c>
      <c r="C353" s="124">
        <v>220</v>
      </c>
      <c r="D353" s="59" t="s">
        <v>1052</v>
      </c>
      <c r="E353" s="58"/>
      <c r="F353" s="60"/>
      <c r="P353" s="272"/>
    </row>
    <row r="354" spans="1:16" s="61" customFormat="1" ht="30" customHeight="1">
      <c r="A354" s="57">
        <v>325</v>
      </c>
      <c r="B354" s="63" t="s">
        <v>1390</v>
      </c>
      <c r="C354" s="243">
        <v>220</v>
      </c>
      <c r="D354" s="59" t="s">
        <v>1052</v>
      </c>
      <c r="E354" s="65"/>
      <c r="F354" s="60"/>
      <c r="P354" s="272"/>
    </row>
    <row r="355" spans="1:16" s="61" customFormat="1" ht="30" customHeight="1">
      <c r="A355" s="57">
        <v>326</v>
      </c>
      <c r="B355" s="63" t="s">
        <v>1391</v>
      </c>
      <c r="C355" s="243">
        <v>220</v>
      </c>
      <c r="D355" s="59" t="s">
        <v>1052</v>
      </c>
      <c r="E355" s="65"/>
      <c r="F355" s="60"/>
      <c r="P355" s="272"/>
    </row>
    <row r="356" spans="1:16" s="61" customFormat="1" ht="30" customHeight="1">
      <c r="A356" s="57">
        <v>327</v>
      </c>
      <c r="B356" s="63" t="s">
        <v>1392</v>
      </c>
      <c r="C356" s="243">
        <v>220</v>
      </c>
      <c r="D356" s="59" t="s">
        <v>1052</v>
      </c>
      <c r="E356" s="65"/>
      <c r="F356" s="60"/>
      <c r="P356" s="272"/>
    </row>
    <row r="357" spans="1:16" s="61" customFormat="1" ht="30" customHeight="1">
      <c r="A357" s="57">
        <v>328</v>
      </c>
      <c r="B357" s="63" t="s">
        <v>1393</v>
      </c>
      <c r="C357" s="243">
        <v>220</v>
      </c>
      <c r="D357" s="59" t="s">
        <v>1052</v>
      </c>
      <c r="E357" s="65"/>
      <c r="F357" s="60"/>
      <c r="P357" s="272"/>
    </row>
    <row r="358" spans="1:16" s="61" customFormat="1" ht="30" customHeight="1">
      <c r="A358" s="57">
        <v>329</v>
      </c>
      <c r="B358" s="63" t="s">
        <v>1394</v>
      </c>
      <c r="C358" s="243">
        <v>220</v>
      </c>
      <c r="D358" s="59" t="s">
        <v>1052</v>
      </c>
      <c r="E358" s="65"/>
      <c r="F358" s="60"/>
      <c r="P358" s="272"/>
    </row>
    <row r="359" spans="1:16" s="61" customFormat="1" ht="30" customHeight="1">
      <c r="A359" s="57">
        <v>330</v>
      </c>
      <c r="B359" s="63" t="s">
        <v>1395</v>
      </c>
      <c r="C359" s="243">
        <v>220</v>
      </c>
      <c r="D359" s="59" t="s">
        <v>1052</v>
      </c>
      <c r="E359" s="65"/>
      <c r="F359" s="60"/>
      <c r="P359" s="272"/>
    </row>
    <row r="360" spans="1:16" s="61" customFormat="1" ht="30" customHeight="1">
      <c r="A360" s="57">
        <v>331</v>
      </c>
      <c r="B360" s="63" t="s">
        <v>1396</v>
      </c>
      <c r="C360" s="243">
        <v>220</v>
      </c>
      <c r="D360" s="59" t="s">
        <v>1052</v>
      </c>
      <c r="E360" s="62"/>
      <c r="F360" s="60"/>
      <c r="P360" s="272"/>
    </row>
    <row r="361" spans="1:16" s="61" customFormat="1" ht="30" customHeight="1">
      <c r="A361" s="57">
        <v>332</v>
      </c>
      <c r="B361" s="63" t="s">
        <v>1397</v>
      </c>
      <c r="C361" s="243">
        <v>220</v>
      </c>
      <c r="D361" s="59" t="s">
        <v>1052</v>
      </c>
      <c r="E361" s="62"/>
      <c r="F361" s="60"/>
      <c r="P361" s="272"/>
    </row>
    <row r="362" spans="1:16" s="61" customFormat="1" ht="30" customHeight="1">
      <c r="A362" s="57">
        <v>333</v>
      </c>
      <c r="B362" s="63" t="s">
        <v>1398</v>
      </c>
      <c r="C362" s="234">
        <v>220</v>
      </c>
      <c r="D362" s="59" t="s">
        <v>1052</v>
      </c>
      <c r="E362" s="82"/>
      <c r="F362" s="60"/>
      <c r="P362" s="272"/>
    </row>
    <row r="363" spans="1:16" s="61" customFormat="1" ht="30" customHeight="1">
      <c r="A363" s="57">
        <v>334</v>
      </c>
      <c r="B363" s="63" t="s">
        <v>1399</v>
      </c>
      <c r="C363" s="232">
        <v>220</v>
      </c>
      <c r="D363" s="59" t="s">
        <v>1052</v>
      </c>
      <c r="E363" s="59"/>
      <c r="F363" s="60"/>
      <c r="P363" s="272"/>
    </row>
    <row r="364" spans="1:16" s="61" customFormat="1" ht="30" customHeight="1">
      <c r="A364" s="57">
        <v>335</v>
      </c>
      <c r="B364" s="63" t="s">
        <v>1400</v>
      </c>
      <c r="C364" s="232">
        <v>220</v>
      </c>
      <c r="D364" s="59" t="s">
        <v>1052</v>
      </c>
      <c r="E364" s="59"/>
      <c r="F364" s="60"/>
      <c r="P364" s="272"/>
    </row>
    <row r="365" spans="1:16" s="61" customFormat="1" ht="30" customHeight="1">
      <c r="A365" s="57">
        <v>336</v>
      </c>
      <c r="B365" s="63" t="s">
        <v>1401</v>
      </c>
      <c r="C365" s="125">
        <v>220</v>
      </c>
      <c r="D365" s="59" t="s">
        <v>1052</v>
      </c>
      <c r="E365" s="76"/>
      <c r="F365" s="60"/>
      <c r="P365" s="272"/>
    </row>
    <row r="366" spans="1:16" s="61" customFormat="1" ht="30" customHeight="1">
      <c r="A366" s="57">
        <v>337</v>
      </c>
      <c r="B366" s="63" t="s">
        <v>1402</v>
      </c>
      <c r="C366" s="125">
        <v>220</v>
      </c>
      <c r="D366" s="59" t="s">
        <v>1052</v>
      </c>
      <c r="E366" s="76"/>
      <c r="F366" s="60"/>
      <c r="P366" s="272"/>
    </row>
    <row r="367" spans="1:16" s="61" customFormat="1" ht="30" customHeight="1">
      <c r="A367" s="57">
        <v>338</v>
      </c>
      <c r="B367" s="63" t="s">
        <v>1403</v>
      </c>
      <c r="C367" s="125">
        <v>220</v>
      </c>
      <c r="D367" s="59" t="s">
        <v>1052</v>
      </c>
      <c r="E367" s="76"/>
      <c r="F367" s="60"/>
      <c r="P367" s="272"/>
    </row>
    <row r="368" spans="1:16" s="61" customFormat="1" ht="30" customHeight="1">
      <c r="A368" s="57">
        <v>339</v>
      </c>
      <c r="B368" s="63" t="s">
        <v>1404</v>
      </c>
      <c r="C368" s="124">
        <v>220</v>
      </c>
      <c r="D368" s="59" t="s">
        <v>1052</v>
      </c>
      <c r="E368" s="79"/>
      <c r="F368" s="60"/>
      <c r="P368" s="272"/>
    </row>
    <row r="369" spans="1:16" s="61" customFormat="1" ht="30" customHeight="1">
      <c r="A369" s="57">
        <v>340</v>
      </c>
      <c r="B369" s="63" t="s">
        <v>1405</v>
      </c>
      <c r="C369" s="124">
        <v>220</v>
      </c>
      <c r="D369" s="59" t="s">
        <v>1052</v>
      </c>
      <c r="E369" s="79"/>
      <c r="F369" s="60"/>
      <c r="P369" s="272"/>
    </row>
    <row r="370" spans="1:16" s="61" customFormat="1" ht="30" customHeight="1">
      <c r="A370" s="57">
        <v>341</v>
      </c>
      <c r="B370" s="63" t="s">
        <v>1406</v>
      </c>
      <c r="C370" s="124">
        <v>220</v>
      </c>
      <c r="D370" s="59" t="s">
        <v>1052</v>
      </c>
      <c r="E370" s="79"/>
      <c r="F370" s="60"/>
      <c r="P370" s="272"/>
    </row>
    <row r="371" spans="1:16" s="61" customFormat="1" ht="30" customHeight="1">
      <c r="A371" s="57">
        <v>342</v>
      </c>
      <c r="B371" s="63" t="s">
        <v>1407</v>
      </c>
      <c r="C371" s="124">
        <v>220</v>
      </c>
      <c r="D371" s="59" t="s">
        <v>1052</v>
      </c>
      <c r="E371" s="79"/>
      <c r="F371" s="60"/>
      <c r="P371" s="272"/>
    </row>
    <row r="372" spans="1:16" s="61" customFormat="1" ht="30" customHeight="1">
      <c r="A372" s="57">
        <v>343</v>
      </c>
      <c r="B372" s="63" t="s">
        <v>1408</v>
      </c>
      <c r="C372" s="124">
        <v>220</v>
      </c>
      <c r="D372" s="59" t="s">
        <v>1052</v>
      </c>
      <c r="E372" s="79"/>
      <c r="F372" s="60"/>
      <c r="P372" s="272"/>
    </row>
    <row r="373" spans="1:16" s="61" customFormat="1" ht="30" customHeight="1">
      <c r="A373" s="57">
        <v>344</v>
      </c>
      <c r="B373" s="63" t="s">
        <v>1409</v>
      </c>
      <c r="C373" s="124">
        <v>220</v>
      </c>
      <c r="D373" s="59" t="s">
        <v>1052</v>
      </c>
      <c r="E373" s="79"/>
      <c r="F373" s="60"/>
      <c r="P373" s="272"/>
    </row>
    <row r="374" spans="1:16" s="61" customFormat="1" ht="30" customHeight="1">
      <c r="A374" s="57">
        <v>345</v>
      </c>
      <c r="B374" s="63" t="s">
        <v>1410</v>
      </c>
      <c r="C374" s="124">
        <v>220</v>
      </c>
      <c r="D374" s="59" t="s">
        <v>1052</v>
      </c>
      <c r="E374" s="58"/>
      <c r="F374" s="60"/>
      <c r="P374" s="272"/>
    </row>
    <row r="375" spans="1:16" s="61" customFormat="1" ht="30" customHeight="1">
      <c r="A375" s="57">
        <v>346</v>
      </c>
      <c r="B375" s="63" t="s">
        <v>1411</v>
      </c>
      <c r="C375" s="124">
        <v>220</v>
      </c>
      <c r="D375" s="59" t="s">
        <v>1052</v>
      </c>
      <c r="E375" s="58"/>
      <c r="F375" s="60"/>
      <c r="P375" s="272"/>
    </row>
    <row r="376" spans="1:16" s="61" customFormat="1" ht="30" customHeight="1">
      <c r="A376" s="57">
        <v>347</v>
      </c>
      <c r="B376" s="63" t="s">
        <v>1412</v>
      </c>
      <c r="C376" s="124">
        <v>220</v>
      </c>
      <c r="D376" s="59" t="s">
        <v>1052</v>
      </c>
      <c r="E376" s="58"/>
      <c r="F376" s="60"/>
      <c r="P376" s="272"/>
    </row>
    <row r="377" spans="1:16" s="61" customFormat="1" ht="30" customHeight="1">
      <c r="A377" s="57">
        <v>348</v>
      </c>
      <c r="B377" s="63" t="s">
        <v>1413</v>
      </c>
      <c r="C377" s="124">
        <v>220</v>
      </c>
      <c r="D377" s="59" t="s">
        <v>1052</v>
      </c>
      <c r="E377" s="58"/>
      <c r="F377" s="60"/>
      <c r="P377" s="272"/>
    </row>
    <row r="378" spans="1:16" s="61" customFormat="1" ht="30" customHeight="1">
      <c r="A378" s="57">
        <v>349</v>
      </c>
      <c r="B378" s="63" t="s">
        <v>1414</v>
      </c>
      <c r="C378" s="243">
        <v>220</v>
      </c>
      <c r="D378" s="59" t="s">
        <v>1052</v>
      </c>
      <c r="E378" s="65"/>
      <c r="F378" s="60"/>
      <c r="P378" s="272"/>
    </row>
    <row r="379" spans="1:16" s="61" customFormat="1" ht="30" customHeight="1">
      <c r="A379" s="57">
        <v>350</v>
      </c>
      <c r="B379" s="63" t="s">
        <v>1415</v>
      </c>
      <c r="C379" s="243">
        <v>220</v>
      </c>
      <c r="D379" s="59" t="s">
        <v>1052</v>
      </c>
      <c r="E379" s="62"/>
      <c r="F379" s="60"/>
      <c r="P379" s="272"/>
    </row>
    <row r="380" spans="1:16" s="61" customFormat="1" ht="30" customHeight="1">
      <c r="A380" s="57">
        <v>351</v>
      </c>
      <c r="B380" s="63" t="s">
        <v>1416</v>
      </c>
      <c r="C380" s="243">
        <v>220</v>
      </c>
      <c r="D380" s="59" t="s">
        <v>1052</v>
      </c>
      <c r="E380" s="62"/>
      <c r="F380" s="60"/>
      <c r="P380" s="272"/>
    </row>
    <row r="381" spans="1:16" s="61" customFormat="1" ht="30" customHeight="1">
      <c r="A381" s="57">
        <v>352</v>
      </c>
      <c r="B381" s="63" t="s">
        <v>1417</v>
      </c>
      <c r="C381" s="124">
        <v>220</v>
      </c>
      <c r="D381" s="59" t="s">
        <v>1052</v>
      </c>
      <c r="E381" s="58"/>
      <c r="F381" s="60"/>
      <c r="P381" s="272"/>
    </row>
    <row r="382" spans="1:16" s="61" customFormat="1" ht="30" customHeight="1">
      <c r="A382" s="57">
        <v>353</v>
      </c>
      <c r="B382" s="63" t="s">
        <v>1418</v>
      </c>
      <c r="C382" s="232">
        <v>220</v>
      </c>
      <c r="D382" s="59" t="s">
        <v>1052</v>
      </c>
      <c r="E382" s="59"/>
      <c r="F382" s="60"/>
      <c r="P382" s="272"/>
    </row>
    <row r="383" spans="1:16" s="61" customFormat="1" ht="30" customHeight="1">
      <c r="A383" s="57">
        <v>354</v>
      </c>
      <c r="B383" s="63" t="s">
        <v>1419</v>
      </c>
      <c r="C383" s="232">
        <v>220</v>
      </c>
      <c r="D383" s="59" t="s">
        <v>1052</v>
      </c>
      <c r="E383" s="59"/>
      <c r="F383" s="60"/>
      <c r="P383" s="272"/>
    </row>
    <row r="384" spans="1:16" s="61" customFormat="1" ht="30" customHeight="1">
      <c r="A384" s="57">
        <v>355</v>
      </c>
      <c r="B384" s="63" t="s">
        <v>1420</v>
      </c>
      <c r="C384" s="232">
        <v>220</v>
      </c>
      <c r="D384" s="59" t="s">
        <v>1052</v>
      </c>
      <c r="E384" s="59"/>
      <c r="F384" s="60"/>
      <c r="P384" s="272"/>
    </row>
    <row r="385" spans="1:16" s="61" customFormat="1" ht="30" customHeight="1">
      <c r="A385" s="57">
        <v>356</v>
      </c>
      <c r="B385" s="63" t="s">
        <v>1066</v>
      </c>
      <c r="C385" s="232">
        <v>220</v>
      </c>
      <c r="D385" s="59" t="s">
        <v>1052</v>
      </c>
      <c r="E385" s="59"/>
      <c r="F385" s="60"/>
      <c r="P385" s="272"/>
    </row>
    <row r="386" spans="1:16" s="61" customFormat="1" ht="30" customHeight="1">
      <c r="A386" s="57">
        <v>357</v>
      </c>
      <c r="B386" s="63" t="s">
        <v>1421</v>
      </c>
      <c r="C386" s="232">
        <v>220</v>
      </c>
      <c r="D386" s="59" t="s">
        <v>1052</v>
      </c>
      <c r="E386" s="59"/>
      <c r="F386" s="60"/>
      <c r="P386" s="272"/>
    </row>
    <row r="387" spans="1:16" s="61" customFormat="1" ht="30" customHeight="1">
      <c r="A387" s="57">
        <v>358</v>
      </c>
      <c r="B387" s="63" t="s">
        <v>1422</v>
      </c>
      <c r="C387" s="232">
        <v>220</v>
      </c>
      <c r="D387" s="59" t="s">
        <v>1052</v>
      </c>
      <c r="E387" s="59"/>
      <c r="F387" s="60"/>
      <c r="P387" s="272"/>
    </row>
    <row r="388" spans="1:16" s="61" customFormat="1" ht="30" customHeight="1">
      <c r="A388" s="57">
        <v>359</v>
      </c>
      <c r="B388" s="63" t="s">
        <v>1423</v>
      </c>
      <c r="C388" s="232">
        <v>220</v>
      </c>
      <c r="D388" s="59" t="s">
        <v>1052</v>
      </c>
      <c r="E388" s="59"/>
      <c r="F388" s="60"/>
      <c r="P388" s="272"/>
    </row>
    <row r="389" spans="1:16" s="61" customFormat="1" ht="30" customHeight="1">
      <c r="A389" s="57">
        <v>360</v>
      </c>
      <c r="B389" s="63" t="s">
        <v>1424</v>
      </c>
      <c r="C389" s="125">
        <v>220</v>
      </c>
      <c r="D389" s="59" t="s">
        <v>1052</v>
      </c>
      <c r="E389" s="76"/>
      <c r="F389" s="60"/>
      <c r="P389" s="272"/>
    </row>
    <row r="390" spans="1:16" s="61" customFormat="1" ht="30" customHeight="1">
      <c r="A390" s="57">
        <v>361</v>
      </c>
      <c r="B390" s="63" t="s">
        <v>1425</v>
      </c>
      <c r="C390" s="125">
        <v>220</v>
      </c>
      <c r="D390" s="59" t="s">
        <v>1052</v>
      </c>
      <c r="E390" s="76"/>
      <c r="F390" s="60"/>
      <c r="P390" s="272"/>
    </row>
    <row r="391" spans="1:16" s="61" customFormat="1" ht="30" customHeight="1">
      <c r="A391" s="57">
        <v>362</v>
      </c>
      <c r="B391" s="63" t="s">
        <v>1060</v>
      </c>
      <c r="C391" s="125">
        <v>220</v>
      </c>
      <c r="D391" s="59" t="s">
        <v>1052</v>
      </c>
      <c r="E391" s="76"/>
      <c r="F391" s="60"/>
      <c r="P391" s="272"/>
    </row>
    <row r="392" spans="1:16" s="61" customFormat="1" ht="30" customHeight="1">
      <c r="A392" s="57">
        <v>363</v>
      </c>
      <c r="B392" s="63" t="s">
        <v>1426</v>
      </c>
      <c r="C392" s="125">
        <v>220</v>
      </c>
      <c r="D392" s="59" t="s">
        <v>1052</v>
      </c>
      <c r="E392" s="76"/>
      <c r="F392" s="60"/>
      <c r="P392" s="272"/>
    </row>
    <row r="393" spans="1:16" s="61" customFormat="1" ht="30" customHeight="1">
      <c r="A393" s="57">
        <v>364</v>
      </c>
      <c r="B393" s="63" t="s">
        <v>1427</v>
      </c>
      <c r="C393" s="125">
        <v>220</v>
      </c>
      <c r="D393" s="59" t="s">
        <v>1052</v>
      </c>
      <c r="E393" s="76"/>
      <c r="F393" s="60"/>
      <c r="P393" s="272"/>
    </row>
    <row r="394" spans="1:16" s="61" customFormat="1" ht="30" customHeight="1">
      <c r="A394" s="57">
        <v>365</v>
      </c>
      <c r="B394" s="63" t="s">
        <v>1428</v>
      </c>
      <c r="C394" s="125">
        <v>220</v>
      </c>
      <c r="D394" s="59" t="s">
        <v>1052</v>
      </c>
      <c r="E394" s="76"/>
      <c r="F394" s="60"/>
      <c r="P394" s="272"/>
    </row>
    <row r="395" spans="1:16" s="61" customFormat="1" ht="30" customHeight="1">
      <c r="A395" s="57">
        <v>366</v>
      </c>
      <c r="B395" s="63" t="s">
        <v>1429</v>
      </c>
      <c r="C395" s="125">
        <v>220</v>
      </c>
      <c r="D395" s="59" t="s">
        <v>1052</v>
      </c>
      <c r="E395" s="76"/>
      <c r="F395" s="60"/>
      <c r="P395" s="272"/>
    </row>
    <row r="396" spans="1:16" s="61" customFormat="1" ht="30" customHeight="1">
      <c r="A396" s="57">
        <v>367</v>
      </c>
      <c r="B396" s="63" t="s">
        <v>1430</v>
      </c>
      <c r="C396" s="125">
        <v>220</v>
      </c>
      <c r="D396" s="59" t="s">
        <v>1052</v>
      </c>
      <c r="E396" s="76"/>
      <c r="F396" s="60"/>
      <c r="P396" s="272"/>
    </row>
    <row r="397" spans="1:16" s="61" customFormat="1" ht="30" customHeight="1">
      <c r="A397" s="57">
        <v>368</v>
      </c>
      <c r="B397" s="63" t="s">
        <v>1431</v>
      </c>
      <c r="C397" s="125">
        <v>220</v>
      </c>
      <c r="D397" s="59" t="s">
        <v>1052</v>
      </c>
      <c r="E397" s="76"/>
      <c r="F397" s="60"/>
      <c r="P397" s="272"/>
    </row>
    <row r="398" spans="1:16" s="61" customFormat="1" ht="30" customHeight="1">
      <c r="A398" s="57">
        <v>369</v>
      </c>
      <c r="B398" s="63" t="s">
        <v>1432</v>
      </c>
      <c r="C398" s="125">
        <v>220</v>
      </c>
      <c r="D398" s="59" t="s">
        <v>1052</v>
      </c>
      <c r="E398" s="76"/>
      <c r="F398" s="60"/>
      <c r="P398" s="272"/>
    </row>
    <row r="399" spans="1:16" s="61" customFormat="1" ht="30" customHeight="1">
      <c r="A399" s="57">
        <v>370</v>
      </c>
      <c r="B399" s="63" t="s">
        <v>1064</v>
      </c>
      <c r="C399" s="125">
        <v>220</v>
      </c>
      <c r="D399" s="59" t="s">
        <v>1052</v>
      </c>
      <c r="E399" s="76"/>
      <c r="F399" s="60"/>
      <c r="P399" s="272"/>
    </row>
    <row r="400" spans="1:16" s="61" customFormat="1" ht="30" customHeight="1">
      <c r="A400" s="57">
        <v>371</v>
      </c>
      <c r="B400" s="63" t="s">
        <v>1433</v>
      </c>
      <c r="C400" s="125">
        <v>220</v>
      </c>
      <c r="D400" s="59" t="s">
        <v>1052</v>
      </c>
      <c r="E400" s="76"/>
      <c r="F400" s="60"/>
      <c r="P400" s="272"/>
    </row>
    <row r="401" spans="1:16" s="61" customFormat="1" ht="30" customHeight="1">
      <c r="A401" s="57">
        <v>372</v>
      </c>
      <c r="B401" s="63" t="s">
        <v>1434</v>
      </c>
      <c r="C401" s="125">
        <f>220+12</f>
        <v>232</v>
      </c>
      <c r="D401" s="59" t="s">
        <v>1052</v>
      </c>
      <c r="E401" s="76"/>
      <c r="F401" s="60"/>
      <c r="P401" s="272"/>
    </row>
    <row r="402" spans="1:16" s="61" customFormat="1" ht="30" customHeight="1">
      <c r="A402" s="57">
        <v>373</v>
      </c>
      <c r="B402" s="63" t="s">
        <v>1435</v>
      </c>
      <c r="C402" s="125">
        <v>220</v>
      </c>
      <c r="D402" s="59" t="s">
        <v>1052</v>
      </c>
      <c r="E402" s="76"/>
      <c r="F402" s="60"/>
      <c r="P402" s="272"/>
    </row>
    <row r="403" spans="1:16" s="61" customFormat="1" ht="30" customHeight="1">
      <c r="A403" s="57">
        <v>374</v>
      </c>
      <c r="B403" s="63" t="s">
        <v>1063</v>
      </c>
      <c r="C403" s="125">
        <v>220</v>
      </c>
      <c r="D403" s="59" t="s">
        <v>1052</v>
      </c>
      <c r="E403" s="76"/>
      <c r="F403" s="60"/>
      <c r="P403" s="272"/>
    </row>
    <row r="404" spans="1:16" s="61" customFormat="1" ht="30" customHeight="1">
      <c r="A404" s="57">
        <v>375</v>
      </c>
      <c r="B404" s="63" t="s">
        <v>1436</v>
      </c>
      <c r="C404" s="125">
        <v>220</v>
      </c>
      <c r="D404" s="59" t="s">
        <v>1052</v>
      </c>
      <c r="E404" s="76"/>
      <c r="F404" s="60"/>
      <c r="P404" s="272"/>
    </row>
    <row r="405" spans="1:16" s="61" customFormat="1" ht="30" customHeight="1">
      <c r="A405" s="57">
        <v>376</v>
      </c>
      <c r="B405" s="63" t="s">
        <v>1437</v>
      </c>
      <c r="C405" s="125">
        <v>220</v>
      </c>
      <c r="D405" s="59" t="s">
        <v>1052</v>
      </c>
      <c r="E405" s="76"/>
      <c r="F405" s="60"/>
      <c r="P405" s="272"/>
    </row>
    <row r="406" spans="1:16" s="61" customFormat="1" ht="30" customHeight="1">
      <c r="A406" s="57">
        <v>377</v>
      </c>
      <c r="B406" s="63" t="s">
        <v>1438</v>
      </c>
      <c r="C406" s="125">
        <v>220</v>
      </c>
      <c r="D406" s="59" t="s">
        <v>1052</v>
      </c>
      <c r="E406" s="76"/>
      <c r="F406" s="60"/>
      <c r="P406" s="272"/>
    </row>
    <row r="407" spans="1:16" s="61" customFormat="1" ht="30" customHeight="1">
      <c r="A407" s="57">
        <v>378</v>
      </c>
      <c r="B407" s="63" t="s">
        <v>1439</v>
      </c>
      <c r="C407" s="125">
        <v>220</v>
      </c>
      <c r="D407" s="59" t="s">
        <v>1052</v>
      </c>
      <c r="E407" s="76"/>
      <c r="F407" s="60"/>
      <c r="P407" s="272"/>
    </row>
    <row r="408" spans="1:16" s="61" customFormat="1" ht="30" customHeight="1">
      <c r="A408" s="57">
        <v>379</v>
      </c>
      <c r="B408" s="63" t="s">
        <v>1440</v>
      </c>
      <c r="C408" s="125">
        <v>220</v>
      </c>
      <c r="D408" s="59" t="s">
        <v>1052</v>
      </c>
      <c r="E408" s="76"/>
      <c r="F408" s="60"/>
      <c r="P408" s="272"/>
    </row>
    <row r="409" spans="1:16" s="61" customFormat="1" ht="30" customHeight="1">
      <c r="A409" s="57">
        <v>380</v>
      </c>
      <c r="B409" s="63" t="s">
        <v>1441</v>
      </c>
      <c r="C409" s="125">
        <v>220</v>
      </c>
      <c r="D409" s="59" t="s">
        <v>1052</v>
      </c>
      <c r="E409" s="76"/>
      <c r="F409" s="60"/>
      <c r="P409" s="272"/>
    </row>
    <row r="410" spans="1:16" s="61" customFormat="1" ht="30" customHeight="1">
      <c r="A410" s="57">
        <v>381</v>
      </c>
      <c r="B410" s="63" t="s">
        <v>1442</v>
      </c>
      <c r="C410" s="125">
        <v>220</v>
      </c>
      <c r="D410" s="59" t="s">
        <v>1052</v>
      </c>
      <c r="E410" s="76"/>
      <c r="F410" s="60"/>
      <c r="P410" s="272"/>
    </row>
    <row r="411" spans="1:16" s="61" customFormat="1" ht="30" customHeight="1">
      <c r="A411" s="57">
        <v>382</v>
      </c>
      <c r="B411" s="63" t="s">
        <v>1443</v>
      </c>
      <c r="C411" s="125">
        <v>220</v>
      </c>
      <c r="D411" s="59" t="s">
        <v>1052</v>
      </c>
      <c r="E411" s="76"/>
      <c r="F411" s="60"/>
      <c r="P411" s="272"/>
    </row>
    <row r="412" spans="1:16" s="61" customFormat="1" ht="30" customHeight="1">
      <c r="A412" s="57">
        <v>383</v>
      </c>
      <c r="B412" s="63" t="s">
        <v>1444</v>
      </c>
      <c r="C412" s="125">
        <v>220</v>
      </c>
      <c r="D412" s="59" t="s">
        <v>1052</v>
      </c>
      <c r="E412" s="76"/>
      <c r="F412" s="60"/>
      <c r="P412" s="272"/>
    </row>
    <row r="413" spans="1:16" s="61" customFormat="1" ht="30" customHeight="1">
      <c r="A413" s="57">
        <v>384</v>
      </c>
      <c r="B413" s="63" t="s">
        <v>1445</v>
      </c>
      <c r="C413" s="124">
        <v>220</v>
      </c>
      <c r="D413" s="59" t="s">
        <v>1052</v>
      </c>
      <c r="E413" s="79"/>
      <c r="F413" s="60"/>
      <c r="P413" s="272"/>
    </row>
    <row r="414" spans="1:16" s="61" customFormat="1" ht="30" customHeight="1">
      <c r="A414" s="57">
        <v>385</v>
      </c>
      <c r="B414" s="63" t="s">
        <v>1446</v>
      </c>
      <c r="C414" s="124">
        <v>220</v>
      </c>
      <c r="D414" s="59" t="s">
        <v>1052</v>
      </c>
      <c r="E414" s="79"/>
      <c r="F414" s="60"/>
      <c r="P414" s="272"/>
    </row>
    <row r="415" spans="1:16" s="61" customFormat="1" ht="30" customHeight="1">
      <c r="A415" s="57">
        <v>386</v>
      </c>
      <c r="B415" s="63" t="s">
        <v>1447</v>
      </c>
      <c r="C415" s="124">
        <v>220</v>
      </c>
      <c r="D415" s="59" t="s">
        <v>1052</v>
      </c>
      <c r="E415" s="79"/>
      <c r="F415" s="60"/>
      <c r="P415" s="272"/>
    </row>
    <row r="416" spans="1:16" s="61" customFormat="1" ht="30" customHeight="1">
      <c r="A416" s="57">
        <v>387</v>
      </c>
      <c r="B416" s="63" t="s">
        <v>1448</v>
      </c>
      <c r="C416" s="124">
        <v>220</v>
      </c>
      <c r="D416" s="59" t="s">
        <v>1052</v>
      </c>
      <c r="E416" s="79"/>
      <c r="F416" s="60"/>
      <c r="P416" s="272"/>
    </row>
    <row r="417" spans="1:16" s="61" customFormat="1" ht="30" customHeight="1">
      <c r="A417" s="57">
        <v>388</v>
      </c>
      <c r="B417" s="63" t="s">
        <v>1449</v>
      </c>
      <c r="C417" s="124">
        <v>220</v>
      </c>
      <c r="D417" s="59" t="s">
        <v>1052</v>
      </c>
      <c r="E417" s="79"/>
      <c r="F417" s="60"/>
      <c r="P417" s="272"/>
    </row>
    <row r="418" spans="1:16" s="61" customFormat="1" ht="30" customHeight="1">
      <c r="A418" s="57">
        <v>389</v>
      </c>
      <c r="B418" s="63" t="s">
        <v>1450</v>
      </c>
      <c r="C418" s="124">
        <v>220</v>
      </c>
      <c r="D418" s="59" t="s">
        <v>1052</v>
      </c>
      <c r="E418" s="79"/>
      <c r="F418" s="60"/>
      <c r="P418" s="272"/>
    </row>
    <row r="419" spans="1:16" s="61" customFormat="1" ht="30" customHeight="1">
      <c r="A419" s="57">
        <v>390</v>
      </c>
      <c r="B419" s="63" t="s">
        <v>1451</v>
      </c>
      <c r="C419" s="124">
        <v>220</v>
      </c>
      <c r="D419" s="59" t="s">
        <v>1052</v>
      </c>
      <c r="E419" s="79"/>
      <c r="F419" s="60"/>
      <c r="P419" s="272"/>
    </row>
    <row r="420" spans="1:16" s="61" customFormat="1" ht="30" customHeight="1">
      <c r="A420" s="57">
        <v>391</v>
      </c>
      <c r="B420" s="63" t="s">
        <v>1452</v>
      </c>
      <c r="C420" s="232">
        <v>220</v>
      </c>
      <c r="D420" s="59" t="s">
        <v>1052</v>
      </c>
      <c r="E420" s="59"/>
      <c r="F420" s="60"/>
      <c r="P420" s="272"/>
    </row>
    <row r="421" spans="1:16" s="61" customFormat="1" ht="30" customHeight="1">
      <c r="A421" s="57">
        <v>392</v>
      </c>
      <c r="B421" s="63" t="s">
        <v>1453</v>
      </c>
      <c r="C421" s="232">
        <v>220</v>
      </c>
      <c r="D421" s="59" t="s">
        <v>1052</v>
      </c>
      <c r="E421" s="59"/>
      <c r="F421" s="60"/>
      <c r="P421" s="272"/>
    </row>
    <row r="422" spans="1:16" s="61" customFormat="1" ht="30" customHeight="1">
      <c r="A422" s="57">
        <v>393</v>
      </c>
      <c r="B422" s="63" t="s">
        <v>1454</v>
      </c>
      <c r="C422" s="232">
        <v>220</v>
      </c>
      <c r="D422" s="59" t="s">
        <v>1052</v>
      </c>
      <c r="E422" s="59"/>
      <c r="F422" s="60"/>
      <c r="P422" s="272"/>
    </row>
    <row r="423" spans="1:16" s="61" customFormat="1" ht="30" customHeight="1">
      <c r="A423" s="57">
        <v>394</v>
      </c>
      <c r="B423" s="63" t="s">
        <v>1455</v>
      </c>
      <c r="C423" s="232">
        <v>220</v>
      </c>
      <c r="D423" s="59" t="s">
        <v>1052</v>
      </c>
      <c r="E423" s="59"/>
      <c r="F423" s="60"/>
      <c r="P423" s="272"/>
    </row>
    <row r="424" spans="1:16" s="61" customFormat="1" ht="30" customHeight="1">
      <c r="A424" s="57">
        <v>395</v>
      </c>
      <c r="B424" s="63" t="s">
        <v>1456</v>
      </c>
      <c r="C424" s="232">
        <v>220</v>
      </c>
      <c r="D424" s="59" t="s">
        <v>1052</v>
      </c>
      <c r="E424" s="59"/>
      <c r="F424" s="60"/>
      <c r="P424" s="272"/>
    </row>
    <row r="425" spans="1:16" s="61" customFormat="1" ht="30" customHeight="1">
      <c r="A425" s="57">
        <v>396</v>
      </c>
      <c r="B425" s="63" t="s">
        <v>1457</v>
      </c>
      <c r="C425" s="232">
        <v>220</v>
      </c>
      <c r="D425" s="59" t="s">
        <v>1052</v>
      </c>
      <c r="E425" s="59"/>
      <c r="F425" s="60"/>
      <c r="P425" s="272"/>
    </row>
    <row r="426" spans="1:16" s="61" customFormat="1" ht="30" customHeight="1">
      <c r="A426" s="57">
        <v>397</v>
      </c>
      <c r="B426" s="63" t="s">
        <v>1458</v>
      </c>
      <c r="C426" s="232">
        <v>220</v>
      </c>
      <c r="D426" s="59" t="s">
        <v>1052</v>
      </c>
      <c r="E426" s="59"/>
      <c r="F426" s="60"/>
      <c r="P426" s="272"/>
    </row>
    <row r="427" spans="1:16" s="61" customFormat="1" ht="30" customHeight="1">
      <c r="A427" s="57">
        <v>398</v>
      </c>
      <c r="B427" s="63" t="s">
        <v>1459</v>
      </c>
      <c r="C427" s="232">
        <v>220</v>
      </c>
      <c r="D427" s="59" t="s">
        <v>1052</v>
      </c>
      <c r="E427" s="59"/>
      <c r="F427" s="60"/>
      <c r="P427" s="272"/>
    </row>
    <row r="428" spans="1:16" s="61" customFormat="1" ht="30" customHeight="1">
      <c r="A428" s="57">
        <v>399</v>
      </c>
      <c r="B428" s="63" t="s">
        <v>1460</v>
      </c>
      <c r="C428" s="232">
        <v>220</v>
      </c>
      <c r="D428" s="59" t="s">
        <v>1052</v>
      </c>
      <c r="E428" s="59"/>
      <c r="F428" s="60"/>
      <c r="P428" s="272"/>
    </row>
    <row r="429" spans="1:16" s="61" customFormat="1" ht="30" customHeight="1">
      <c r="A429" s="57">
        <v>400</v>
      </c>
      <c r="B429" s="63" t="s">
        <v>1461</v>
      </c>
      <c r="C429" s="124">
        <v>220</v>
      </c>
      <c r="D429" s="59" t="s">
        <v>1052</v>
      </c>
      <c r="E429" s="79"/>
      <c r="F429" s="60"/>
      <c r="P429" s="272"/>
    </row>
    <row r="430" spans="1:16" s="61" customFormat="1" ht="30" customHeight="1">
      <c r="A430" s="57">
        <v>401</v>
      </c>
      <c r="B430" s="63" t="s">
        <v>1462</v>
      </c>
      <c r="C430" s="124">
        <v>220</v>
      </c>
      <c r="D430" s="59" t="s">
        <v>1052</v>
      </c>
      <c r="E430" s="79"/>
      <c r="F430" s="60"/>
      <c r="P430" s="272"/>
    </row>
    <row r="431" spans="1:16" s="61" customFormat="1" ht="30" customHeight="1">
      <c r="A431" s="57">
        <v>402</v>
      </c>
      <c r="B431" s="63" t="s">
        <v>1463</v>
      </c>
      <c r="C431" s="124">
        <v>220</v>
      </c>
      <c r="D431" s="59" t="s">
        <v>1052</v>
      </c>
      <c r="E431" s="79"/>
      <c r="F431" s="60"/>
      <c r="P431" s="272"/>
    </row>
    <row r="432" spans="1:16" s="61" customFormat="1" ht="30" customHeight="1">
      <c r="A432" s="57">
        <v>403</v>
      </c>
      <c r="B432" s="63" t="s">
        <v>1464</v>
      </c>
      <c r="C432" s="125">
        <v>220</v>
      </c>
      <c r="D432" s="59" t="s">
        <v>1052</v>
      </c>
      <c r="E432" s="76"/>
      <c r="F432" s="60"/>
      <c r="P432" s="272"/>
    </row>
    <row r="433" spans="1:16" s="61" customFormat="1" ht="30" customHeight="1">
      <c r="A433" s="57">
        <v>404</v>
      </c>
      <c r="B433" s="63" t="s">
        <v>1465</v>
      </c>
      <c r="C433" s="125">
        <v>220</v>
      </c>
      <c r="D433" s="59" t="s">
        <v>1052</v>
      </c>
      <c r="E433" s="76"/>
      <c r="F433" s="60"/>
      <c r="P433" s="272"/>
    </row>
    <row r="434" spans="1:16" s="61" customFormat="1" ht="30" customHeight="1">
      <c r="A434" s="57">
        <v>405</v>
      </c>
      <c r="B434" s="63" t="s">
        <v>1466</v>
      </c>
      <c r="C434" s="125">
        <v>220</v>
      </c>
      <c r="D434" s="59" t="s">
        <v>1052</v>
      </c>
      <c r="E434" s="76"/>
      <c r="F434" s="60"/>
      <c r="P434" s="272"/>
    </row>
    <row r="435" spans="1:16" s="61" customFormat="1" ht="30" customHeight="1">
      <c r="A435" s="57">
        <v>406</v>
      </c>
      <c r="B435" s="63" t="s">
        <v>1467</v>
      </c>
      <c r="C435" s="245">
        <v>220</v>
      </c>
      <c r="D435" s="59" t="s">
        <v>1052</v>
      </c>
      <c r="E435" s="80"/>
      <c r="F435" s="60"/>
      <c r="P435" s="272"/>
    </row>
    <row r="436" spans="1:16" s="61" customFormat="1" ht="30" customHeight="1">
      <c r="A436" s="57">
        <v>407</v>
      </c>
      <c r="B436" s="63" t="s">
        <v>1468</v>
      </c>
      <c r="C436" s="245">
        <v>220</v>
      </c>
      <c r="D436" s="59" t="s">
        <v>1052</v>
      </c>
      <c r="E436" s="80"/>
      <c r="F436" s="60"/>
      <c r="P436" s="272"/>
    </row>
    <row r="437" spans="1:16" s="61" customFormat="1" ht="30" customHeight="1">
      <c r="A437" s="57">
        <v>408</v>
      </c>
      <c r="B437" s="63" t="s">
        <v>1469</v>
      </c>
      <c r="C437" s="245">
        <v>220</v>
      </c>
      <c r="D437" s="59" t="s">
        <v>1052</v>
      </c>
      <c r="E437" s="80"/>
      <c r="F437" s="60"/>
      <c r="P437" s="272"/>
    </row>
    <row r="438" spans="1:16" s="61" customFormat="1" ht="30" customHeight="1">
      <c r="A438" s="57">
        <v>409</v>
      </c>
      <c r="B438" s="63" t="s">
        <v>1470</v>
      </c>
      <c r="C438" s="124">
        <v>220</v>
      </c>
      <c r="D438" s="59" t="s">
        <v>1052</v>
      </c>
      <c r="E438" s="58"/>
      <c r="F438" s="60"/>
      <c r="P438" s="272"/>
    </row>
    <row r="439" spans="1:16" s="61" customFormat="1" ht="30" customHeight="1">
      <c r="A439" s="57">
        <v>410</v>
      </c>
      <c r="B439" s="63" t="s">
        <v>1471</v>
      </c>
      <c r="C439" s="124">
        <v>220</v>
      </c>
      <c r="D439" s="59" t="s">
        <v>1052</v>
      </c>
      <c r="E439" s="58"/>
      <c r="F439" s="60"/>
      <c r="P439" s="272"/>
    </row>
    <row r="440" spans="1:16" s="61" customFormat="1" ht="30" customHeight="1">
      <c r="A440" s="57">
        <v>411</v>
      </c>
      <c r="B440" s="63" t="s">
        <v>1472</v>
      </c>
      <c r="C440" s="124">
        <v>220</v>
      </c>
      <c r="D440" s="59" t="s">
        <v>1052</v>
      </c>
      <c r="E440" s="58"/>
      <c r="F440" s="60"/>
      <c r="P440" s="272"/>
    </row>
    <row r="441" spans="1:16" s="61" customFormat="1" ht="30" customHeight="1">
      <c r="A441" s="57">
        <v>412</v>
      </c>
      <c r="B441" s="63" t="s">
        <v>1473</v>
      </c>
      <c r="C441" s="124">
        <v>220</v>
      </c>
      <c r="D441" s="59" t="s">
        <v>1052</v>
      </c>
      <c r="E441" s="58"/>
      <c r="F441" s="60"/>
      <c r="P441" s="272"/>
    </row>
    <row r="442" spans="1:16" s="61" customFormat="1" ht="30" customHeight="1">
      <c r="A442" s="57">
        <v>413</v>
      </c>
      <c r="B442" s="63" t="s">
        <v>1474</v>
      </c>
      <c r="C442" s="124">
        <v>220</v>
      </c>
      <c r="D442" s="59" t="s">
        <v>1052</v>
      </c>
      <c r="E442" s="58"/>
      <c r="F442" s="60"/>
      <c r="P442" s="272"/>
    </row>
    <row r="443" spans="1:16" s="61" customFormat="1" ht="30" customHeight="1">
      <c r="A443" s="57">
        <v>414</v>
      </c>
      <c r="B443" s="63" t="s">
        <v>1475</v>
      </c>
      <c r="C443" s="124">
        <v>220</v>
      </c>
      <c r="D443" s="59" t="s">
        <v>1052</v>
      </c>
      <c r="E443" s="58"/>
      <c r="F443" s="60"/>
      <c r="P443" s="272"/>
    </row>
    <row r="444" spans="1:16" s="61" customFormat="1" ht="30" customHeight="1">
      <c r="A444" s="57">
        <v>415</v>
      </c>
      <c r="B444" s="63" t="s">
        <v>1476</v>
      </c>
      <c r="C444" s="124">
        <v>220</v>
      </c>
      <c r="D444" s="59" t="s">
        <v>1052</v>
      </c>
      <c r="E444" s="58"/>
      <c r="F444" s="60"/>
      <c r="P444" s="272"/>
    </row>
    <row r="445" spans="1:16" s="61" customFormat="1" ht="30" customHeight="1">
      <c r="A445" s="57">
        <v>416</v>
      </c>
      <c r="B445" s="63" t="s">
        <v>1477</v>
      </c>
      <c r="C445" s="124">
        <v>220</v>
      </c>
      <c r="D445" s="59" t="s">
        <v>1052</v>
      </c>
      <c r="E445" s="58"/>
      <c r="F445" s="60"/>
      <c r="P445" s="272"/>
    </row>
    <row r="446" spans="1:16" s="61" customFormat="1" ht="30" customHeight="1">
      <c r="A446" s="57">
        <v>417</v>
      </c>
      <c r="B446" s="63" t="s">
        <v>1478</v>
      </c>
      <c r="C446" s="243">
        <v>220</v>
      </c>
      <c r="D446" s="59" t="s">
        <v>1052</v>
      </c>
      <c r="E446" s="65"/>
      <c r="F446" s="60"/>
      <c r="P446" s="272"/>
    </row>
    <row r="447" spans="1:16" s="61" customFormat="1" ht="30" customHeight="1">
      <c r="A447" s="57">
        <v>418</v>
      </c>
      <c r="B447" s="63" t="s">
        <v>1479</v>
      </c>
      <c r="C447" s="243">
        <v>220</v>
      </c>
      <c r="D447" s="59" t="s">
        <v>1052</v>
      </c>
      <c r="E447" s="65"/>
      <c r="F447" s="60"/>
      <c r="P447" s="272"/>
    </row>
    <row r="448" spans="1:16" s="61" customFormat="1" ht="30" customHeight="1">
      <c r="A448" s="57">
        <v>419</v>
      </c>
      <c r="B448" s="63" t="s">
        <v>1480</v>
      </c>
      <c r="C448" s="243">
        <v>220</v>
      </c>
      <c r="D448" s="59" t="s">
        <v>1052</v>
      </c>
      <c r="E448" s="65"/>
      <c r="F448" s="60"/>
      <c r="P448" s="272"/>
    </row>
    <row r="449" spans="1:16" s="61" customFormat="1" ht="30" customHeight="1">
      <c r="A449" s="57">
        <v>420</v>
      </c>
      <c r="B449" s="63" t="s">
        <v>1481</v>
      </c>
      <c r="C449" s="243">
        <v>220</v>
      </c>
      <c r="D449" s="59" t="s">
        <v>1052</v>
      </c>
      <c r="E449" s="62"/>
      <c r="F449" s="60"/>
      <c r="P449" s="272"/>
    </row>
    <row r="450" spans="1:16" s="61" customFormat="1" ht="30" customHeight="1">
      <c r="A450" s="57">
        <v>421</v>
      </c>
      <c r="B450" s="63" t="s">
        <v>1482</v>
      </c>
      <c r="C450" s="243">
        <v>220</v>
      </c>
      <c r="D450" s="59" t="s">
        <v>1052</v>
      </c>
      <c r="E450" s="62"/>
      <c r="F450" s="60"/>
      <c r="P450" s="272"/>
    </row>
    <row r="451" spans="1:16" s="61" customFormat="1" ht="30" customHeight="1">
      <c r="A451" s="57">
        <v>422</v>
      </c>
      <c r="B451" s="63" t="s">
        <v>1483</v>
      </c>
      <c r="C451" s="243">
        <v>220</v>
      </c>
      <c r="D451" s="59" t="s">
        <v>1052</v>
      </c>
      <c r="E451" s="62"/>
      <c r="F451" s="60"/>
      <c r="P451" s="272"/>
    </row>
    <row r="452" spans="1:16" s="61" customFormat="1" ht="30" customHeight="1">
      <c r="A452" s="57">
        <v>423</v>
      </c>
      <c r="B452" s="63" t="s">
        <v>1484</v>
      </c>
      <c r="C452" s="243">
        <v>220</v>
      </c>
      <c r="D452" s="59" t="s">
        <v>1052</v>
      </c>
      <c r="E452" s="62"/>
      <c r="F452" s="60"/>
      <c r="P452" s="272"/>
    </row>
    <row r="453" spans="1:16" s="61" customFormat="1" ht="30" customHeight="1">
      <c r="A453" s="57">
        <v>424</v>
      </c>
      <c r="B453" s="63" t="s">
        <v>1485</v>
      </c>
      <c r="C453" s="243">
        <v>220</v>
      </c>
      <c r="D453" s="59" t="s">
        <v>1052</v>
      </c>
      <c r="E453" s="62"/>
      <c r="F453" s="60"/>
      <c r="P453" s="272"/>
    </row>
    <row r="454" spans="1:16" s="61" customFormat="1" ht="30" customHeight="1">
      <c r="A454" s="57">
        <v>425</v>
      </c>
      <c r="B454" s="63" t="s">
        <v>1486</v>
      </c>
      <c r="C454" s="243">
        <v>220</v>
      </c>
      <c r="D454" s="59" t="s">
        <v>1052</v>
      </c>
      <c r="E454" s="62"/>
      <c r="F454" s="60"/>
      <c r="P454" s="272"/>
    </row>
    <row r="455" spans="1:16" s="61" customFormat="1" ht="30" customHeight="1">
      <c r="A455" s="57">
        <v>426</v>
      </c>
      <c r="B455" s="63" t="s">
        <v>1487</v>
      </c>
      <c r="C455" s="234">
        <v>220</v>
      </c>
      <c r="D455" s="59" t="s">
        <v>1052</v>
      </c>
      <c r="E455" s="82"/>
      <c r="F455" s="60"/>
      <c r="P455" s="272"/>
    </row>
    <row r="456" spans="1:16" s="61" customFormat="1" ht="30" customHeight="1">
      <c r="A456" s="57">
        <v>427</v>
      </c>
      <c r="B456" s="63" t="s">
        <v>1488</v>
      </c>
      <c r="C456" s="243">
        <v>220</v>
      </c>
      <c r="D456" s="59" t="s">
        <v>1052</v>
      </c>
      <c r="E456" s="64"/>
      <c r="F456" s="60"/>
      <c r="P456" s="272"/>
    </row>
    <row r="457" spans="1:16" s="61" customFormat="1" ht="30" customHeight="1">
      <c r="A457" s="57">
        <v>428</v>
      </c>
      <c r="B457" s="63" t="s">
        <v>1489</v>
      </c>
      <c r="C457" s="243">
        <v>220</v>
      </c>
      <c r="D457" s="59" t="s">
        <v>1052</v>
      </c>
      <c r="E457" s="64"/>
      <c r="F457" s="60"/>
      <c r="P457" s="272"/>
    </row>
    <row r="458" spans="1:16" s="61" customFormat="1" ht="30" customHeight="1">
      <c r="A458" s="57">
        <v>429</v>
      </c>
      <c r="B458" s="63" t="s">
        <v>1490</v>
      </c>
      <c r="C458" s="243">
        <v>220</v>
      </c>
      <c r="D458" s="59" t="s">
        <v>1052</v>
      </c>
      <c r="E458" s="64"/>
      <c r="F458" s="60"/>
      <c r="P458" s="272"/>
    </row>
    <row r="459" spans="1:16" s="61" customFormat="1" ht="30" customHeight="1">
      <c r="A459" s="57">
        <v>430</v>
      </c>
      <c r="B459" s="63" t="s">
        <v>1491</v>
      </c>
      <c r="C459" s="243">
        <v>220</v>
      </c>
      <c r="D459" s="59" t="s">
        <v>1052</v>
      </c>
      <c r="E459" s="64"/>
      <c r="F459" s="60"/>
      <c r="P459" s="272"/>
    </row>
    <row r="460" spans="1:16" s="61" customFormat="1" ht="30" customHeight="1">
      <c r="A460" s="57">
        <v>431</v>
      </c>
      <c r="B460" s="63" t="s">
        <v>1492</v>
      </c>
      <c r="C460" s="243">
        <v>220</v>
      </c>
      <c r="D460" s="59" t="s">
        <v>1052</v>
      </c>
      <c r="E460" s="64"/>
      <c r="F460" s="60"/>
      <c r="P460" s="272"/>
    </row>
    <row r="461" spans="1:16" s="61" customFormat="1" ht="30" customHeight="1">
      <c r="A461" s="57">
        <v>432</v>
      </c>
      <c r="B461" s="63" t="s">
        <v>1493</v>
      </c>
      <c r="C461" s="243">
        <v>220</v>
      </c>
      <c r="D461" s="59" t="s">
        <v>1052</v>
      </c>
      <c r="E461" s="64"/>
      <c r="F461" s="60"/>
      <c r="P461" s="272"/>
    </row>
    <row r="462" spans="1:16" s="61" customFormat="1" ht="30" customHeight="1">
      <c r="A462" s="57">
        <v>433</v>
      </c>
      <c r="B462" s="63" t="s">
        <v>1494</v>
      </c>
      <c r="C462" s="124">
        <v>220</v>
      </c>
      <c r="D462" s="59" t="s">
        <v>1052</v>
      </c>
      <c r="E462" s="79"/>
      <c r="F462" s="60"/>
      <c r="P462" s="272"/>
    </row>
    <row r="463" spans="1:16" s="61" customFormat="1" ht="30" customHeight="1">
      <c r="A463" s="57">
        <v>434</v>
      </c>
      <c r="B463" s="63" t="s">
        <v>1495</v>
      </c>
      <c r="C463" s="243">
        <v>227</v>
      </c>
      <c r="D463" s="59" t="s">
        <v>1052</v>
      </c>
      <c r="E463" s="64"/>
      <c r="F463" s="60"/>
      <c r="P463" s="272"/>
    </row>
    <row r="464" spans="1:16" s="61" customFormat="1" ht="30" customHeight="1">
      <c r="A464" s="57">
        <v>435</v>
      </c>
      <c r="B464" s="63" t="s">
        <v>1496</v>
      </c>
      <c r="C464" s="243">
        <v>227</v>
      </c>
      <c r="D464" s="59" t="s">
        <v>1052</v>
      </c>
      <c r="E464" s="64"/>
      <c r="F464" s="60"/>
      <c r="P464" s="272"/>
    </row>
    <row r="465" spans="1:16" s="61" customFormat="1" ht="30" customHeight="1">
      <c r="A465" s="57">
        <v>436</v>
      </c>
      <c r="B465" s="63" t="s">
        <v>1497</v>
      </c>
      <c r="C465" s="232">
        <v>232</v>
      </c>
      <c r="D465" s="59" t="s">
        <v>1052</v>
      </c>
      <c r="E465" s="59"/>
      <c r="F465" s="60"/>
      <c r="P465" s="272"/>
    </row>
    <row r="466" spans="1:16" s="61" customFormat="1" ht="30" customHeight="1">
      <c r="A466" s="57">
        <v>437</v>
      </c>
      <c r="B466" s="63" t="s">
        <v>1498</v>
      </c>
      <c r="C466" s="232">
        <v>232</v>
      </c>
      <c r="D466" s="59" t="s">
        <v>1052</v>
      </c>
      <c r="E466" s="59"/>
      <c r="F466" s="60"/>
      <c r="P466" s="272"/>
    </row>
    <row r="467" spans="1:16" s="61" customFormat="1" ht="30" customHeight="1">
      <c r="A467" s="57">
        <v>438</v>
      </c>
      <c r="B467" s="63" t="s">
        <v>1499</v>
      </c>
      <c r="C467" s="232">
        <v>232</v>
      </c>
      <c r="D467" s="59" t="s">
        <v>1052</v>
      </c>
      <c r="E467" s="59"/>
      <c r="F467" s="60"/>
      <c r="P467" s="272"/>
    </row>
    <row r="468" spans="1:16" s="61" customFormat="1" ht="30" customHeight="1">
      <c r="A468" s="57">
        <v>439</v>
      </c>
      <c r="B468" s="63" t="s">
        <v>1500</v>
      </c>
      <c r="C468" s="232">
        <v>232</v>
      </c>
      <c r="D468" s="59" t="s">
        <v>1052</v>
      </c>
      <c r="E468" s="59"/>
      <c r="F468" s="60"/>
      <c r="P468" s="272"/>
    </row>
    <row r="469" spans="1:16" s="61" customFormat="1" ht="30" customHeight="1">
      <c r="A469" s="57">
        <v>440</v>
      </c>
      <c r="B469" s="63" t="s">
        <v>1501</v>
      </c>
      <c r="C469" s="232">
        <v>232</v>
      </c>
      <c r="D469" s="59" t="s">
        <v>1052</v>
      </c>
      <c r="E469" s="59"/>
      <c r="F469" s="60"/>
      <c r="P469" s="272"/>
    </row>
    <row r="470" spans="1:16" s="61" customFormat="1" ht="30" customHeight="1">
      <c r="A470" s="57">
        <v>441</v>
      </c>
      <c r="B470" s="63" t="s">
        <v>1502</v>
      </c>
      <c r="C470" s="232">
        <v>232</v>
      </c>
      <c r="D470" s="59" t="s">
        <v>1052</v>
      </c>
      <c r="E470" s="59"/>
      <c r="F470" s="60"/>
      <c r="P470" s="272"/>
    </row>
    <row r="471" spans="1:16" s="61" customFormat="1" ht="30" customHeight="1">
      <c r="A471" s="57">
        <v>442</v>
      </c>
      <c r="B471" s="63" t="s">
        <v>1503</v>
      </c>
      <c r="C471" s="232">
        <v>232</v>
      </c>
      <c r="D471" s="59" t="s">
        <v>1052</v>
      </c>
      <c r="E471" s="59"/>
      <c r="F471" s="60"/>
      <c r="P471" s="272"/>
    </row>
    <row r="472" spans="1:16" s="61" customFormat="1" ht="30" customHeight="1">
      <c r="A472" s="57">
        <v>443</v>
      </c>
      <c r="B472" s="63" t="s">
        <v>1504</v>
      </c>
      <c r="C472" s="232">
        <v>232</v>
      </c>
      <c r="D472" s="59" t="s">
        <v>1052</v>
      </c>
      <c r="E472" s="59"/>
      <c r="F472" s="60"/>
      <c r="P472" s="272"/>
    </row>
    <row r="473" spans="1:16" s="61" customFormat="1" ht="30" customHeight="1">
      <c r="A473" s="57">
        <v>444</v>
      </c>
      <c r="B473" s="63" t="s">
        <v>1505</v>
      </c>
      <c r="C473" s="232">
        <v>232</v>
      </c>
      <c r="D473" s="59" t="s">
        <v>1052</v>
      </c>
      <c r="E473" s="59"/>
      <c r="F473" s="60"/>
      <c r="P473" s="272"/>
    </row>
    <row r="474" spans="1:16" s="61" customFormat="1" ht="30" customHeight="1">
      <c r="A474" s="57">
        <v>445</v>
      </c>
      <c r="B474" s="63" t="s">
        <v>1506</v>
      </c>
      <c r="C474" s="125">
        <v>232</v>
      </c>
      <c r="D474" s="59" t="s">
        <v>1052</v>
      </c>
      <c r="E474" s="76"/>
      <c r="F474" s="60"/>
      <c r="P474" s="272"/>
    </row>
    <row r="475" spans="1:16" s="61" customFormat="1" ht="30" customHeight="1">
      <c r="A475" s="57">
        <v>446</v>
      </c>
      <c r="B475" s="63" t="s">
        <v>1507</v>
      </c>
      <c r="C475" s="125">
        <v>232</v>
      </c>
      <c r="D475" s="59" t="s">
        <v>1052</v>
      </c>
      <c r="E475" s="76"/>
      <c r="F475" s="60"/>
      <c r="P475" s="272"/>
    </row>
    <row r="476" spans="1:16" s="61" customFormat="1" ht="30" customHeight="1">
      <c r="A476" s="57">
        <v>447</v>
      </c>
      <c r="B476" s="63" t="s">
        <v>1508</v>
      </c>
      <c r="C476" s="125">
        <v>232</v>
      </c>
      <c r="D476" s="59" t="s">
        <v>1052</v>
      </c>
      <c r="E476" s="76"/>
      <c r="F476" s="60"/>
      <c r="P476" s="272"/>
    </row>
    <row r="477" spans="1:16" s="61" customFormat="1" ht="30" customHeight="1">
      <c r="A477" s="57">
        <v>448</v>
      </c>
      <c r="B477" s="63" t="s">
        <v>1509</v>
      </c>
      <c r="C477" s="125">
        <v>232</v>
      </c>
      <c r="D477" s="59" t="s">
        <v>1052</v>
      </c>
      <c r="E477" s="76"/>
      <c r="F477" s="60"/>
      <c r="P477" s="272"/>
    </row>
    <row r="478" spans="1:16" s="61" customFormat="1" ht="30" customHeight="1">
      <c r="A478" s="57">
        <v>449</v>
      </c>
      <c r="B478" s="63" t="s">
        <v>1510</v>
      </c>
      <c r="C478" s="125">
        <v>232</v>
      </c>
      <c r="D478" s="59" t="s">
        <v>1052</v>
      </c>
      <c r="E478" s="76"/>
      <c r="F478" s="60"/>
      <c r="P478" s="272"/>
    </row>
    <row r="479" spans="1:16" s="61" customFormat="1" ht="30" customHeight="1">
      <c r="A479" s="57">
        <v>450</v>
      </c>
      <c r="B479" s="63" t="s">
        <v>1511</v>
      </c>
      <c r="C479" s="125">
        <v>232</v>
      </c>
      <c r="D479" s="59" t="s">
        <v>1052</v>
      </c>
      <c r="E479" s="76"/>
      <c r="F479" s="60"/>
      <c r="P479" s="272"/>
    </row>
    <row r="480" spans="1:16" s="61" customFormat="1" ht="30" customHeight="1">
      <c r="A480" s="57">
        <v>451</v>
      </c>
      <c r="B480" s="63" t="s">
        <v>1512</v>
      </c>
      <c r="C480" s="125">
        <v>232</v>
      </c>
      <c r="D480" s="59" t="s">
        <v>1052</v>
      </c>
      <c r="E480" s="76"/>
      <c r="F480" s="60"/>
      <c r="P480" s="272"/>
    </row>
    <row r="481" spans="1:16" s="61" customFormat="1" ht="30" customHeight="1">
      <c r="A481" s="57">
        <v>452</v>
      </c>
      <c r="B481" s="63" t="s">
        <v>1513</v>
      </c>
      <c r="C481" s="125">
        <v>232</v>
      </c>
      <c r="D481" s="59" t="s">
        <v>1052</v>
      </c>
      <c r="E481" s="76"/>
      <c r="F481" s="60"/>
      <c r="P481" s="272"/>
    </row>
    <row r="482" spans="1:16" s="61" customFormat="1" ht="30" customHeight="1">
      <c r="A482" s="57">
        <v>453</v>
      </c>
      <c r="B482" s="63" t="s">
        <v>1514</v>
      </c>
      <c r="C482" s="125">
        <v>232</v>
      </c>
      <c r="D482" s="59" t="s">
        <v>1052</v>
      </c>
      <c r="E482" s="76"/>
      <c r="F482" s="60"/>
      <c r="P482" s="272"/>
    </row>
    <row r="483" spans="1:16" s="61" customFormat="1" ht="30" customHeight="1">
      <c r="A483" s="57">
        <v>454</v>
      </c>
      <c r="B483" s="63" t="s">
        <v>1515</v>
      </c>
      <c r="C483" s="125">
        <v>232</v>
      </c>
      <c r="D483" s="59" t="s">
        <v>1052</v>
      </c>
      <c r="E483" s="76"/>
      <c r="F483" s="60"/>
      <c r="P483" s="272"/>
    </row>
    <row r="484" spans="1:16" s="61" customFormat="1" ht="30" customHeight="1">
      <c r="A484" s="57">
        <v>455</v>
      </c>
      <c r="B484" s="63" t="s">
        <v>1516</v>
      </c>
      <c r="C484" s="125">
        <v>232</v>
      </c>
      <c r="D484" s="59" t="s">
        <v>1052</v>
      </c>
      <c r="E484" s="76"/>
      <c r="F484" s="60"/>
      <c r="P484" s="272"/>
    </row>
    <row r="485" spans="1:16" s="61" customFormat="1" ht="30" customHeight="1">
      <c r="A485" s="57">
        <v>456</v>
      </c>
      <c r="B485" s="63" t="s">
        <v>1517</v>
      </c>
      <c r="C485" s="125">
        <v>232</v>
      </c>
      <c r="D485" s="59" t="s">
        <v>1052</v>
      </c>
      <c r="E485" s="76"/>
      <c r="F485" s="60"/>
      <c r="P485" s="272"/>
    </row>
    <row r="486" spans="1:16" s="61" customFormat="1" ht="30" customHeight="1">
      <c r="A486" s="57">
        <v>457</v>
      </c>
      <c r="B486" s="63" t="s">
        <v>1518</v>
      </c>
      <c r="C486" s="125">
        <v>232</v>
      </c>
      <c r="D486" s="59" t="s">
        <v>1052</v>
      </c>
      <c r="E486" s="76"/>
      <c r="F486" s="60"/>
      <c r="P486" s="272"/>
    </row>
    <row r="487" spans="1:16" s="61" customFormat="1" ht="30" customHeight="1">
      <c r="A487" s="57">
        <v>458</v>
      </c>
      <c r="B487" s="63" t="s">
        <v>1519</v>
      </c>
      <c r="C487" s="125">
        <v>232</v>
      </c>
      <c r="D487" s="59" t="s">
        <v>1052</v>
      </c>
      <c r="E487" s="76"/>
      <c r="F487" s="60"/>
      <c r="P487" s="272"/>
    </row>
    <row r="488" spans="1:16" s="61" customFormat="1" ht="30" customHeight="1">
      <c r="A488" s="57">
        <v>459</v>
      </c>
      <c r="B488" s="63" t="s">
        <v>1520</v>
      </c>
      <c r="C488" s="125">
        <v>232</v>
      </c>
      <c r="D488" s="59" t="s">
        <v>1052</v>
      </c>
      <c r="E488" s="76"/>
      <c r="F488" s="60"/>
      <c r="P488" s="272"/>
    </row>
    <row r="489" spans="1:16" s="61" customFormat="1" ht="30" customHeight="1">
      <c r="A489" s="57">
        <v>460</v>
      </c>
      <c r="B489" s="63" t="s">
        <v>1521</v>
      </c>
      <c r="C489" s="125">
        <v>232</v>
      </c>
      <c r="D489" s="59" t="s">
        <v>1052</v>
      </c>
      <c r="E489" s="76"/>
      <c r="F489" s="60"/>
      <c r="P489" s="272"/>
    </row>
    <row r="490" spans="1:16" s="61" customFormat="1" ht="30" customHeight="1">
      <c r="A490" s="57">
        <v>461</v>
      </c>
      <c r="B490" s="63" t="s">
        <v>1522</v>
      </c>
      <c r="C490" s="125">
        <v>232</v>
      </c>
      <c r="D490" s="59" t="s">
        <v>1052</v>
      </c>
      <c r="E490" s="76"/>
      <c r="F490" s="60"/>
      <c r="P490" s="272"/>
    </row>
    <row r="491" spans="1:16" s="61" customFormat="1" ht="30" customHeight="1">
      <c r="A491" s="57">
        <v>462</v>
      </c>
      <c r="B491" s="63" t="s">
        <v>1523</v>
      </c>
      <c r="C491" s="125">
        <v>232</v>
      </c>
      <c r="D491" s="59" t="s">
        <v>1052</v>
      </c>
      <c r="E491" s="76"/>
      <c r="F491" s="60"/>
      <c r="P491" s="272"/>
    </row>
    <row r="492" spans="1:16" s="61" customFormat="1" ht="30" customHeight="1">
      <c r="A492" s="57">
        <v>463</v>
      </c>
      <c r="B492" s="63" t="s">
        <v>1524</v>
      </c>
      <c r="C492" s="125">
        <v>232</v>
      </c>
      <c r="D492" s="59" t="s">
        <v>1052</v>
      </c>
      <c r="E492" s="76"/>
      <c r="F492" s="60"/>
      <c r="P492" s="272"/>
    </row>
    <row r="493" spans="1:16" s="61" customFormat="1" ht="30" customHeight="1">
      <c r="A493" s="57">
        <v>464</v>
      </c>
      <c r="B493" s="63" t="s">
        <v>1525</v>
      </c>
      <c r="C493" s="125">
        <v>232</v>
      </c>
      <c r="D493" s="59" t="s">
        <v>1052</v>
      </c>
      <c r="E493" s="76"/>
      <c r="F493" s="60"/>
      <c r="P493" s="272"/>
    </row>
    <row r="494" spans="1:16" s="61" customFormat="1" ht="30" customHeight="1">
      <c r="A494" s="57">
        <v>465</v>
      </c>
      <c r="B494" s="63" t="s">
        <v>1526</v>
      </c>
      <c r="C494" s="125">
        <v>232</v>
      </c>
      <c r="D494" s="59" t="s">
        <v>1052</v>
      </c>
      <c r="E494" s="76"/>
      <c r="F494" s="60"/>
      <c r="P494" s="272"/>
    </row>
    <row r="495" spans="1:16" s="61" customFormat="1" ht="30" customHeight="1">
      <c r="A495" s="57">
        <v>466</v>
      </c>
      <c r="B495" s="63" t="s">
        <v>1527</v>
      </c>
      <c r="C495" s="125">
        <v>232</v>
      </c>
      <c r="D495" s="59" t="s">
        <v>1052</v>
      </c>
      <c r="E495" s="76"/>
      <c r="F495" s="60"/>
      <c r="P495" s="272"/>
    </row>
    <row r="496" spans="1:16" s="61" customFormat="1" ht="30" customHeight="1">
      <c r="A496" s="57">
        <v>467</v>
      </c>
      <c r="B496" s="63" t="s">
        <v>1528</v>
      </c>
      <c r="C496" s="124">
        <v>232</v>
      </c>
      <c r="D496" s="59" t="s">
        <v>1052</v>
      </c>
      <c r="E496" s="79"/>
      <c r="F496" s="60"/>
      <c r="P496" s="272"/>
    </row>
    <row r="497" spans="1:16" s="61" customFormat="1" ht="30" customHeight="1">
      <c r="A497" s="57">
        <v>468</v>
      </c>
      <c r="B497" s="63" t="s">
        <v>1529</v>
      </c>
      <c r="C497" s="124">
        <v>232</v>
      </c>
      <c r="D497" s="59" t="s">
        <v>1052</v>
      </c>
      <c r="E497" s="79"/>
      <c r="F497" s="60"/>
      <c r="P497" s="272"/>
    </row>
    <row r="498" spans="1:16" s="61" customFormat="1" ht="30" customHeight="1">
      <c r="A498" s="57">
        <v>469</v>
      </c>
      <c r="B498" s="63" t="s">
        <v>1530</v>
      </c>
      <c r="C498" s="124">
        <v>232</v>
      </c>
      <c r="D498" s="59" t="s">
        <v>1052</v>
      </c>
      <c r="E498" s="79"/>
      <c r="F498" s="60"/>
      <c r="P498" s="272"/>
    </row>
    <row r="499" spans="1:16" s="61" customFormat="1" ht="30" customHeight="1">
      <c r="A499" s="57">
        <v>470</v>
      </c>
      <c r="B499" s="63" t="s">
        <v>1531</v>
      </c>
      <c r="C499" s="232">
        <v>232</v>
      </c>
      <c r="D499" s="59" t="s">
        <v>1052</v>
      </c>
      <c r="E499" s="59"/>
      <c r="F499" s="60"/>
      <c r="P499" s="272"/>
    </row>
    <row r="500" spans="1:16" s="61" customFormat="1" ht="30" customHeight="1">
      <c r="A500" s="57">
        <v>471</v>
      </c>
      <c r="B500" s="63" t="s">
        <v>1532</v>
      </c>
      <c r="C500" s="125">
        <v>232</v>
      </c>
      <c r="D500" s="59" t="s">
        <v>1052</v>
      </c>
      <c r="E500" s="76"/>
      <c r="F500" s="60"/>
      <c r="P500" s="272"/>
    </row>
    <row r="501" spans="1:16" s="61" customFormat="1" ht="30" customHeight="1">
      <c r="A501" s="57">
        <v>472</v>
      </c>
      <c r="B501" s="63" t="s">
        <v>1533</v>
      </c>
      <c r="C501" s="232">
        <v>232</v>
      </c>
      <c r="D501" s="59" t="s">
        <v>1052</v>
      </c>
      <c r="E501" s="59"/>
      <c r="F501" s="60"/>
      <c r="P501" s="272"/>
    </row>
    <row r="502" spans="1:16" s="61" customFormat="1" ht="30" customHeight="1">
      <c r="A502" s="57">
        <v>473</v>
      </c>
      <c r="B502" s="63" t="s">
        <v>1534</v>
      </c>
      <c r="C502" s="125">
        <v>232</v>
      </c>
      <c r="D502" s="59" t="s">
        <v>1052</v>
      </c>
      <c r="E502" s="76"/>
      <c r="F502" s="60"/>
      <c r="P502" s="272"/>
    </row>
    <row r="503" spans="1:16" s="61" customFormat="1" ht="30" customHeight="1">
      <c r="A503" s="57">
        <v>474</v>
      </c>
      <c r="B503" s="63" t="s">
        <v>1535</v>
      </c>
      <c r="C503" s="124">
        <v>232</v>
      </c>
      <c r="D503" s="59" t="s">
        <v>1052</v>
      </c>
      <c r="E503" s="79"/>
      <c r="F503" s="60"/>
      <c r="P503" s="272"/>
    </row>
    <row r="504" spans="1:16" s="61" customFormat="1" ht="30" customHeight="1">
      <c r="A504" s="57">
        <v>475</v>
      </c>
      <c r="B504" s="63" t="s">
        <v>1536</v>
      </c>
      <c r="C504" s="232">
        <v>232</v>
      </c>
      <c r="D504" s="59" t="s">
        <v>1052</v>
      </c>
      <c r="E504" s="59"/>
      <c r="F504" s="60"/>
      <c r="P504" s="272"/>
    </row>
    <row r="505" spans="1:16" s="61" customFormat="1" ht="30" customHeight="1">
      <c r="A505" s="57">
        <v>476</v>
      </c>
      <c r="B505" s="63" t="s">
        <v>1537</v>
      </c>
      <c r="C505" s="125">
        <v>232</v>
      </c>
      <c r="D505" s="59" t="s">
        <v>1052</v>
      </c>
      <c r="E505" s="76"/>
      <c r="F505" s="60"/>
      <c r="P505" s="272"/>
    </row>
    <row r="506" spans="1:16" s="61" customFormat="1" ht="30" customHeight="1">
      <c r="A506" s="57">
        <v>477</v>
      </c>
      <c r="B506" s="63" t="s">
        <v>1538</v>
      </c>
      <c r="C506" s="232">
        <v>232</v>
      </c>
      <c r="D506" s="59" t="s">
        <v>1052</v>
      </c>
      <c r="E506" s="59"/>
      <c r="F506" s="60"/>
      <c r="P506" s="272"/>
    </row>
    <row r="507" spans="1:16" s="61" customFormat="1" ht="30" customHeight="1">
      <c r="A507" s="57">
        <v>478</v>
      </c>
      <c r="B507" s="63" t="s">
        <v>1539</v>
      </c>
      <c r="C507" s="243">
        <v>232</v>
      </c>
      <c r="D507" s="59" t="s">
        <v>1052</v>
      </c>
      <c r="E507" s="62"/>
      <c r="F507" s="60"/>
      <c r="P507" s="272"/>
    </row>
    <row r="508" spans="1:16" s="61" customFormat="1" ht="30" customHeight="1">
      <c r="A508" s="57">
        <v>479</v>
      </c>
      <c r="B508" s="63" t="s">
        <v>1540</v>
      </c>
      <c r="C508" s="232">
        <v>235</v>
      </c>
      <c r="D508" s="59" t="s">
        <v>1052</v>
      </c>
      <c r="E508" s="59"/>
      <c r="F508" s="60"/>
      <c r="P508" s="272"/>
    </row>
    <row r="509" spans="1:16" s="61" customFormat="1" ht="30" customHeight="1">
      <c r="A509" s="57">
        <v>480</v>
      </c>
      <c r="B509" s="63" t="s">
        <v>1541</v>
      </c>
      <c r="C509" s="125">
        <v>235</v>
      </c>
      <c r="D509" s="59" t="s">
        <v>1052</v>
      </c>
      <c r="E509" s="76"/>
      <c r="F509" s="60"/>
      <c r="P509" s="272"/>
    </row>
    <row r="510" spans="1:16" s="61" customFormat="1" ht="30" customHeight="1">
      <c r="A510" s="57">
        <v>481</v>
      </c>
      <c r="B510" s="63" t="s">
        <v>1542</v>
      </c>
      <c r="C510" s="124">
        <v>260</v>
      </c>
      <c r="D510" s="59" t="s">
        <v>1052</v>
      </c>
      <c r="E510" s="86" t="s">
        <v>36</v>
      </c>
      <c r="F510" s="60"/>
      <c r="P510" s="272"/>
    </row>
    <row r="511" spans="1:16" s="61" customFormat="1" ht="30" customHeight="1">
      <c r="A511" s="57">
        <v>482</v>
      </c>
      <c r="B511" s="63" t="s">
        <v>1543</v>
      </c>
      <c r="C511" s="243">
        <v>260</v>
      </c>
      <c r="D511" s="59" t="s">
        <v>1052</v>
      </c>
      <c r="E511" s="64"/>
      <c r="F511" s="60"/>
      <c r="P511" s="272"/>
    </row>
    <row r="512" spans="1:16" s="61" customFormat="1" ht="30" customHeight="1">
      <c r="A512" s="57">
        <v>483</v>
      </c>
      <c r="B512" s="63" t="s">
        <v>1544</v>
      </c>
      <c r="C512" s="232">
        <v>260</v>
      </c>
      <c r="D512" s="59" t="s">
        <v>1052</v>
      </c>
      <c r="E512" s="59"/>
      <c r="F512" s="60"/>
      <c r="P512" s="272"/>
    </row>
    <row r="513" spans="1:16" s="61" customFormat="1" ht="30" customHeight="1">
      <c r="A513" s="57">
        <v>484</v>
      </c>
      <c r="B513" s="63" t="s">
        <v>1545</v>
      </c>
      <c r="C513" s="124">
        <v>260</v>
      </c>
      <c r="D513" s="59" t="s">
        <v>1052</v>
      </c>
      <c r="E513" s="58"/>
      <c r="F513" s="60"/>
      <c r="P513" s="272"/>
    </row>
    <row r="514" spans="1:16" s="61" customFormat="1" ht="30" customHeight="1">
      <c r="A514" s="57">
        <v>485</v>
      </c>
      <c r="B514" s="63" t="s">
        <v>1546</v>
      </c>
      <c r="C514" s="124">
        <v>260</v>
      </c>
      <c r="D514" s="59" t="s">
        <v>1052</v>
      </c>
      <c r="E514" s="79"/>
      <c r="F514" s="60"/>
      <c r="P514" s="272"/>
    </row>
    <row r="515" spans="1:16" s="61" customFormat="1" ht="30" customHeight="1">
      <c r="A515" s="57">
        <v>486</v>
      </c>
      <c r="B515" s="63" t="s">
        <v>1070</v>
      </c>
      <c r="C515" s="124">
        <f>220+40</f>
        <v>260</v>
      </c>
      <c r="D515" s="59" t="s">
        <v>1052</v>
      </c>
      <c r="E515" s="58"/>
      <c r="F515" s="60"/>
      <c r="P515" s="272"/>
    </row>
    <row r="516" spans="1:16" s="61" customFormat="1" ht="30" customHeight="1">
      <c r="A516" s="57">
        <v>487</v>
      </c>
      <c r="B516" s="63" t="s">
        <v>1547</v>
      </c>
      <c r="C516" s="124">
        <v>260</v>
      </c>
      <c r="D516" s="59" t="s">
        <v>1052</v>
      </c>
      <c r="E516" s="58"/>
      <c r="F516" s="60"/>
      <c r="P516" s="272"/>
    </row>
    <row r="517" spans="1:16" s="61" customFormat="1" ht="30" customHeight="1">
      <c r="A517" s="57">
        <v>488</v>
      </c>
      <c r="B517" s="63" t="s">
        <v>1548</v>
      </c>
      <c r="C517" s="124">
        <v>260</v>
      </c>
      <c r="D517" s="59" t="s">
        <v>1052</v>
      </c>
      <c r="E517" s="58"/>
      <c r="F517" s="60"/>
      <c r="P517" s="272"/>
    </row>
    <row r="518" spans="1:16" s="61" customFormat="1" ht="30" customHeight="1">
      <c r="A518" s="57">
        <v>489</v>
      </c>
      <c r="B518" s="63" t="s">
        <v>1549</v>
      </c>
      <c r="C518" s="124">
        <v>260</v>
      </c>
      <c r="D518" s="59" t="s">
        <v>1052</v>
      </c>
      <c r="E518" s="58"/>
      <c r="F518" s="60"/>
      <c r="P518" s="272"/>
    </row>
    <row r="519" spans="1:16" s="61" customFormat="1" ht="30" customHeight="1">
      <c r="A519" s="57">
        <v>490</v>
      </c>
      <c r="B519" s="63" t="s">
        <v>1550</v>
      </c>
      <c r="C519" s="124">
        <v>260</v>
      </c>
      <c r="D519" s="59" t="s">
        <v>1052</v>
      </c>
      <c r="E519" s="58"/>
      <c r="F519" s="60"/>
      <c r="P519" s="272"/>
    </row>
    <row r="520" spans="1:16" s="61" customFormat="1" ht="30" customHeight="1">
      <c r="A520" s="57">
        <v>491</v>
      </c>
      <c r="B520" s="63" t="s">
        <v>1551</v>
      </c>
      <c r="C520" s="124">
        <v>260</v>
      </c>
      <c r="D520" s="59" t="s">
        <v>1052</v>
      </c>
      <c r="E520" s="58"/>
      <c r="F520" s="60"/>
      <c r="P520" s="272"/>
    </row>
    <row r="521" spans="1:16" s="61" customFormat="1" ht="30" customHeight="1">
      <c r="A521" s="57">
        <v>492</v>
      </c>
      <c r="B521" s="63" t="s">
        <v>1552</v>
      </c>
      <c r="C521" s="124">
        <v>260</v>
      </c>
      <c r="D521" s="59" t="s">
        <v>1052</v>
      </c>
      <c r="E521" s="58"/>
      <c r="F521" s="60"/>
      <c r="P521" s="272"/>
    </row>
    <row r="522" spans="1:16" s="61" customFormat="1" ht="30" customHeight="1">
      <c r="A522" s="57">
        <v>493</v>
      </c>
      <c r="B522" s="63" t="s">
        <v>1553</v>
      </c>
      <c r="C522" s="124">
        <v>260</v>
      </c>
      <c r="D522" s="59" t="s">
        <v>1052</v>
      </c>
      <c r="E522" s="58"/>
      <c r="F522" s="60"/>
      <c r="P522" s="272"/>
    </row>
    <row r="523" spans="1:16" s="61" customFormat="1" ht="30" customHeight="1">
      <c r="A523" s="57">
        <v>494</v>
      </c>
      <c r="B523" s="63" t="s">
        <v>1554</v>
      </c>
      <c r="C523" s="124">
        <v>260</v>
      </c>
      <c r="D523" s="59" t="s">
        <v>1052</v>
      </c>
      <c r="E523" s="58"/>
      <c r="F523" s="60"/>
      <c r="P523" s="272"/>
    </row>
    <row r="524" spans="1:16" s="61" customFormat="1" ht="30" customHeight="1">
      <c r="A524" s="57">
        <v>495</v>
      </c>
      <c r="B524" s="63" t="s">
        <v>1555</v>
      </c>
      <c r="C524" s="124">
        <v>260</v>
      </c>
      <c r="D524" s="59" t="s">
        <v>1052</v>
      </c>
      <c r="E524" s="58"/>
      <c r="F524" s="60"/>
      <c r="P524" s="272"/>
    </row>
    <row r="525" spans="1:16" s="61" customFormat="1" ht="30" customHeight="1">
      <c r="A525" s="57">
        <v>496</v>
      </c>
      <c r="B525" s="63" t="s">
        <v>1556</v>
      </c>
      <c r="C525" s="124">
        <v>260</v>
      </c>
      <c r="D525" s="59" t="s">
        <v>1052</v>
      </c>
      <c r="E525" s="58"/>
      <c r="F525" s="60"/>
      <c r="P525" s="272"/>
    </row>
    <row r="526" spans="1:16" s="61" customFormat="1" ht="30" customHeight="1">
      <c r="A526" s="57">
        <v>497</v>
      </c>
      <c r="B526" s="63" t="s">
        <v>1557</v>
      </c>
      <c r="C526" s="124">
        <v>260</v>
      </c>
      <c r="D526" s="59" t="s">
        <v>1052</v>
      </c>
      <c r="E526" s="58"/>
      <c r="F526" s="60"/>
      <c r="P526" s="272"/>
    </row>
    <row r="527" spans="1:16" s="61" customFormat="1" ht="30" customHeight="1">
      <c r="A527" s="57">
        <v>498</v>
      </c>
      <c r="B527" s="63" t="s">
        <v>1558</v>
      </c>
      <c r="C527" s="124">
        <v>260</v>
      </c>
      <c r="D527" s="59" t="s">
        <v>1052</v>
      </c>
      <c r="E527" s="58"/>
      <c r="F527" s="60"/>
      <c r="P527" s="272"/>
    </row>
    <row r="528" spans="1:16" s="61" customFormat="1" ht="30" customHeight="1">
      <c r="A528" s="57">
        <v>499</v>
      </c>
      <c r="B528" s="63" t="s">
        <v>1559</v>
      </c>
      <c r="C528" s="124">
        <v>260</v>
      </c>
      <c r="D528" s="59" t="s">
        <v>1052</v>
      </c>
      <c r="E528" s="58"/>
      <c r="F528" s="60"/>
      <c r="P528" s="272"/>
    </row>
    <row r="529" spans="1:16" s="61" customFormat="1" ht="30" customHeight="1">
      <c r="A529" s="57">
        <v>500</v>
      </c>
      <c r="B529" s="63" t="s">
        <v>1560</v>
      </c>
      <c r="C529" s="124">
        <v>260</v>
      </c>
      <c r="D529" s="59" t="s">
        <v>1052</v>
      </c>
      <c r="E529" s="58"/>
      <c r="F529" s="60"/>
      <c r="P529" s="272"/>
    </row>
    <row r="530" spans="1:16" s="61" customFormat="1" ht="30" customHeight="1">
      <c r="A530" s="57">
        <v>501</v>
      </c>
      <c r="B530" s="63" t="s">
        <v>1561</v>
      </c>
      <c r="C530" s="124">
        <v>260</v>
      </c>
      <c r="D530" s="59" t="s">
        <v>1052</v>
      </c>
      <c r="E530" s="58"/>
      <c r="F530" s="60"/>
      <c r="P530" s="272"/>
    </row>
    <row r="531" spans="1:16" s="61" customFormat="1" ht="30" customHeight="1">
      <c r="A531" s="57">
        <v>502</v>
      </c>
      <c r="B531" s="63" t="s">
        <v>1562</v>
      </c>
      <c r="C531" s="124">
        <v>260</v>
      </c>
      <c r="D531" s="59" t="s">
        <v>1052</v>
      </c>
      <c r="E531" s="58"/>
      <c r="F531" s="60"/>
      <c r="P531" s="272"/>
    </row>
    <row r="532" spans="1:16" s="61" customFormat="1" ht="30" customHeight="1">
      <c r="A532" s="57">
        <v>503</v>
      </c>
      <c r="B532" s="63" t="s">
        <v>1563</v>
      </c>
      <c r="C532" s="124">
        <v>260</v>
      </c>
      <c r="D532" s="59" t="s">
        <v>1052</v>
      </c>
      <c r="E532" s="58"/>
      <c r="F532" s="60"/>
      <c r="P532" s="272"/>
    </row>
    <row r="533" spans="1:16" s="61" customFormat="1" ht="30" customHeight="1">
      <c r="A533" s="57">
        <v>504</v>
      </c>
      <c r="B533" s="63" t="s">
        <v>1564</v>
      </c>
      <c r="C533" s="243">
        <v>260</v>
      </c>
      <c r="D533" s="59" t="s">
        <v>1052</v>
      </c>
      <c r="E533" s="65"/>
      <c r="F533" s="60"/>
      <c r="P533" s="272"/>
    </row>
    <row r="534" spans="1:16" s="61" customFormat="1" ht="30" customHeight="1">
      <c r="A534" s="57">
        <v>505</v>
      </c>
      <c r="B534" s="63" t="s">
        <v>1565</v>
      </c>
      <c r="C534" s="243">
        <v>260</v>
      </c>
      <c r="D534" s="59" t="s">
        <v>1052</v>
      </c>
      <c r="E534" s="65"/>
      <c r="F534" s="60"/>
      <c r="P534" s="272"/>
    </row>
    <row r="535" spans="1:16" s="61" customFormat="1" ht="30" customHeight="1">
      <c r="A535" s="57">
        <v>506</v>
      </c>
      <c r="B535" s="63" t="s">
        <v>1566</v>
      </c>
      <c r="C535" s="243">
        <v>260</v>
      </c>
      <c r="D535" s="59" t="s">
        <v>1052</v>
      </c>
      <c r="E535" s="65"/>
      <c r="F535" s="60"/>
      <c r="P535" s="272"/>
    </row>
    <row r="536" spans="1:16" s="61" customFormat="1" ht="30" customHeight="1">
      <c r="A536" s="57">
        <v>507</v>
      </c>
      <c r="B536" s="63" t="s">
        <v>1567</v>
      </c>
      <c r="C536" s="243">
        <v>260</v>
      </c>
      <c r="D536" s="59" t="s">
        <v>1052</v>
      </c>
      <c r="E536" s="65"/>
      <c r="F536" s="60"/>
      <c r="P536" s="272"/>
    </row>
    <row r="537" spans="1:16" s="61" customFormat="1" ht="30" customHeight="1">
      <c r="A537" s="57">
        <v>508</v>
      </c>
      <c r="B537" s="63" t="s">
        <v>1568</v>
      </c>
      <c r="C537" s="243">
        <v>260</v>
      </c>
      <c r="D537" s="59" t="s">
        <v>1052</v>
      </c>
      <c r="E537" s="65"/>
      <c r="F537" s="60"/>
      <c r="P537" s="272"/>
    </row>
    <row r="538" spans="1:16" s="61" customFormat="1" ht="30" customHeight="1">
      <c r="A538" s="57">
        <v>509</v>
      </c>
      <c r="B538" s="63" t="s">
        <v>1569</v>
      </c>
      <c r="C538" s="243">
        <v>260</v>
      </c>
      <c r="D538" s="59" t="s">
        <v>1052</v>
      </c>
      <c r="E538" s="65"/>
      <c r="F538" s="60"/>
      <c r="P538" s="272"/>
    </row>
    <row r="539" spans="1:16" s="61" customFormat="1" ht="30" customHeight="1">
      <c r="A539" s="57">
        <v>510</v>
      </c>
      <c r="B539" s="63" t="s">
        <v>1570</v>
      </c>
      <c r="C539" s="243">
        <v>260</v>
      </c>
      <c r="D539" s="59" t="s">
        <v>1052</v>
      </c>
      <c r="E539" s="65"/>
      <c r="F539" s="60"/>
      <c r="P539" s="272"/>
    </row>
    <row r="540" spans="1:16" s="61" customFormat="1" ht="30" customHeight="1">
      <c r="A540" s="57">
        <v>511</v>
      </c>
      <c r="B540" s="63" t="s">
        <v>1571</v>
      </c>
      <c r="C540" s="243">
        <v>260</v>
      </c>
      <c r="D540" s="59" t="s">
        <v>1052</v>
      </c>
      <c r="E540" s="62"/>
      <c r="F540" s="60"/>
      <c r="P540" s="272"/>
    </row>
    <row r="541" spans="1:16" s="61" customFormat="1" ht="30" customHeight="1">
      <c r="A541" s="57">
        <v>512</v>
      </c>
      <c r="B541" s="63" t="s">
        <v>1572</v>
      </c>
      <c r="C541" s="243">
        <v>260</v>
      </c>
      <c r="D541" s="59" t="s">
        <v>1052</v>
      </c>
      <c r="E541" s="62"/>
      <c r="F541" s="60"/>
      <c r="P541" s="272"/>
    </row>
    <row r="542" spans="1:16" s="61" customFormat="1" ht="30" customHeight="1">
      <c r="A542" s="57">
        <v>513</v>
      </c>
      <c r="B542" s="63" t="s">
        <v>1573</v>
      </c>
      <c r="C542" s="243">
        <v>260</v>
      </c>
      <c r="D542" s="59" t="s">
        <v>1052</v>
      </c>
      <c r="E542" s="62"/>
      <c r="F542" s="60"/>
      <c r="P542" s="272"/>
    </row>
    <row r="543" spans="1:16" s="61" customFormat="1" ht="30" customHeight="1">
      <c r="A543" s="57">
        <v>514</v>
      </c>
      <c r="B543" s="63" t="s">
        <v>1574</v>
      </c>
      <c r="C543" s="243">
        <v>260</v>
      </c>
      <c r="D543" s="59" t="s">
        <v>1052</v>
      </c>
      <c r="E543" s="62"/>
      <c r="F543" s="60"/>
      <c r="P543" s="272"/>
    </row>
    <row r="544" spans="1:16" s="61" customFormat="1" ht="30" customHeight="1">
      <c r="A544" s="57">
        <v>515</v>
      </c>
      <c r="B544" s="63" t="s">
        <v>1575</v>
      </c>
      <c r="C544" s="243">
        <v>260</v>
      </c>
      <c r="D544" s="59" t="s">
        <v>1052</v>
      </c>
      <c r="E544" s="64"/>
      <c r="F544" s="60"/>
      <c r="P544" s="272"/>
    </row>
    <row r="545" spans="1:16" s="61" customFormat="1" ht="30" customHeight="1">
      <c r="A545" s="57">
        <v>516</v>
      </c>
      <c r="B545" s="63" t="s">
        <v>1576</v>
      </c>
      <c r="C545" s="243">
        <v>260</v>
      </c>
      <c r="D545" s="59" t="s">
        <v>1052</v>
      </c>
      <c r="E545" s="64"/>
      <c r="F545" s="60"/>
      <c r="P545" s="272"/>
    </row>
    <row r="546" spans="1:16" s="61" customFormat="1" ht="30" customHeight="1">
      <c r="A546" s="57">
        <v>517</v>
      </c>
      <c r="B546" s="63" t="s">
        <v>1577</v>
      </c>
      <c r="C546" s="243">
        <v>260</v>
      </c>
      <c r="D546" s="59" t="s">
        <v>1052</v>
      </c>
      <c r="E546" s="64"/>
      <c r="F546" s="60"/>
      <c r="P546" s="272"/>
    </row>
    <row r="547" spans="1:16" s="61" customFormat="1" ht="30" customHeight="1">
      <c r="A547" s="57">
        <v>518</v>
      </c>
      <c r="B547" s="63" t="s">
        <v>1578</v>
      </c>
      <c r="C547" s="243">
        <v>260</v>
      </c>
      <c r="D547" s="59" t="s">
        <v>1052</v>
      </c>
      <c r="E547" s="64"/>
      <c r="F547" s="60"/>
      <c r="P547" s="272"/>
    </row>
    <row r="548" spans="1:16" s="61" customFormat="1" ht="30" customHeight="1">
      <c r="A548" s="57">
        <v>519</v>
      </c>
      <c r="B548" s="63" t="s">
        <v>1579</v>
      </c>
      <c r="C548" s="243">
        <v>260</v>
      </c>
      <c r="D548" s="59" t="s">
        <v>1052</v>
      </c>
      <c r="E548" s="64"/>
      <c r="F548" s="60"/>
      <c r="P548" s="272"/>
    </row>
    <row r="549" spans="1:16" s="61" customFormat="1" ht="30" customHeight="1">
      <c r="A549" s="57">
        <v>520</v>
      </c>
      <c r="B549" s="63" t="s">
        <v>1580</v>
      </c>
      <c r="C549" s="243">
        <v>272</v>
      </c>
      <c r="D549" s="59" t="s">
        <v>1052</v>
      </c>
      <c r="E549" s="65"/>
      <c r="F549" s="60"/>
      <c r="P549" s="272"/>
    </row>
    <row r="550" spans="1:16" s="61" customFormat="1" ht="30" customHeight="1">
      <c r="A550" s="57">
        <v>521</v>
      </c>
      <c r="B550" s="63" t="s">
        <v>1581</v>
      </c>
      <c r="C550" s="243">
        <v>274</v>
      </c>
      <c r="D550" s="59" t="s">
        <v>1052</v>
      </c>
      <c r="E550" s="65"/>
      <c r="F550" s="60"/>
      <c r="P550" s="272"/>
    </row>
    <row r="551" spans="1:16" s="61" customFormat="1" ht="30" customHeight="1">
      <c r="A551" s="57">
        <v>522</v>
      </c>
      <c r="B551" s="63" t="s">
        <v>1582</v>
      </c>
      <c r="C551" s="243">
        <v>274</v>
      </c>
      <c r="D551" s="59" t="s">
        <v>1052</v>
      </c>
      <c r="E551" s="65"/>
      <c r="F551" s="60"/>
      <c r="P551" s="272"/>
    </row>
    <row r="552" spans="1:16" s="61" customFormat="1" ht="30" customHeight="1">
      <c r="A552" s="57">
        <v>523</v>
      </c>
      <c r="B552" s="63" t="s">
        <v>1583</v>
      </c>
      <c r="C552" s="243">
        <v>274</v>
      </c>
      <c r="D552" s="59" t="s">
        <v>1052</v>
      </c>
      <c r="E552" s="62"/>
      <c r="F552" s="60"/>
      <c r="P552" s="272"/>
    </row>
    <row r="553" spans="1:16" s="61" customFormat="1" ht="30" customHeight="1">
      <c r="A553" s="57">
        <v>524</v>
      </c>
      <c r="B553" s="63" t="s">
        <v>1584</v>
      </c>
      <c r="C553" s="124">
        <v>274</v>
      </c>
      <c r="D553" s="59" t="s">
        <v>1052</v>
      </c>
      <c r="E553" s="79"/>
      <c r="F553" s="60"/>
      <c r="P553" s="272"/>
    </row>
    <row r="554" spans="1:16" s="61" customFormat="1" ht="30" customHeight="1">
      <c r="A554" s="57">
        <v>525</v>
      </c>
      <c r="B554" s="63" t="s">
        <v>1585</v>
      </c>
      <c r="C554" s="124">
        <v>280</v>
      </c>
      <c r="D554" s="59" t="s">
        <v>1052</v>
      </c>
      <c r="E554" s="58"/>
      <c r="F554" s="60"/>
      <c r="P554" s="272"/>
    </row>
    <row r="555" spans="1:16" s="61" customFormat="1" ht="30" customHeight="1">
      <c r="A555" s="57">
        <v>526</v>
      </c>
      <c r="B555" s="63" t="s">
        <v>1586</v>
      </c>
      <c r="C555" s="243">
        <v>300</v>
      </c>
      <c r="D555" s="59" t="s">
        <v>1052</v>
      </c>
      <c r="E555" s="64"/>
      <c r="F555" s="60"/>
      <c r="P555" s="272"/>
    </row>
    <row r="556" spans="1:16" s="61" customFormat="1" ht="30" customHeight="1">
      <c r="A556" s="57">
        <v>527</v>
      </c>
      <c r="B556" s="63" t="s">
        <v>1591</v>
      </c>
      <c r="C556" s="246">
        <v>180</v>
      </c>
      <c r="D556" s="59" t="s">
        <v>1052</v>
      </c>
      <c r="E556" s="527"/>
      <c r="F556" s="60"/>
      <c r="P556" s="272"/>
    </row>
    <row r="557" spans="1:16" s="61" customFormat="1" ht="30" customHeight="1">
      <c r="A557" s="57">
        <v>528</v>
      </c>
      <c r="B557" s="113" t="s">
        <v>1587</v>
      </c>
      <c r="C557" s="248">
        <v>360</v>
      </c>
      <c r="D557" s="66" t="s">
        <v>1052</v>
      </c>
      <c r="E557" s="123"/>
      <c r="F557" s="67"/>
      <c r="P557" s="272"/>
    </row>
    <row r="558" spans="1:16" s="61" customFormat="1" ht="30" customHeight="1">
      <c r="A558" s="68"/>
      <c r="B558" s="252" t="s">
        <v>1045</v>
      </c>
      <c r="C558" s="237">
        <f>SUM(C30:C557)</f>
        <v>108260</v>
      </c>
      <c r="D558" s="69"/>
      <c r="E558" s="92"/>
      <c r="F558" s="71"/>
      <c r="P558" s="272"/>
    </row>
    <row r="559" spans="1:16" s="61" customFormat="1" ht="30" customHeight="1">
      <c r="A559" s="72"/>
      <c r="B559" s="117"/>
      <c r="C559" s="233"/>
      <c r="D559" s="74"/>
      <c r="E559" s="93"/>
      <c r="H559" s="281"/>
      <c r="P559" s="272"/>
    </row>
    <row r="560" spans="1:16" s="61" customFormat="1" ht="30" customHeight="1">
      <c r="A560" s="68"/>
      <c r="B560" s="285" t="s">
        <v>3689</v>
      </c>
      <c r="C560" s="244"/>
      <c r="D560" s="69"/>
      <c r="E560" s="92"/>
      <c r="F560" s="71"/>
      <c r="H560" s="96"/>
      <c r="P560" s="272"/>
    </row>
    <row r="561" spans="1:16" s="61" customFormat="1" ht="30" customHeight="1">
      <c r="A561" s="57">
        <v>1</v>
      </c>
      <c r="B561" s="63" t="s">
        <v>1592</v>
      </c>
      <c r="C561" s="246">
        <v>180</v>
      </c>
      <c r="D561" s="59" t="s">
        <v>1052</v>
      </c>
      <c r="E561" s="94"/>
      <c r="F561" s="60"/>
      <c r="H561" s="96"/>
      <c r="P561" s="272"/>
    </row>
    <row r="562" spans="1:16" s="61" customFormat="1" ht="30" customHeight="1">
      <c r="A562" s="57">
        <v>2</v>
      </c>
      <c r="B562" s="63" t="s">
        <v>1593</v>
      </c>
      <c r="C562" s="246">
        <v>180</v>
      </c>
      <c r="D562" s="59" t="s">
        <v>1052</v>
      </c>
      <c r="E562" s="94"/>
      <c r="F562" s="60"/>
      <c r="H562" s="96"/>
      <c r="P562" s="272"/>
    </row>
    <row r="563" spans="1:16" s="61" customFormat="1" ht="30" customHeight="1">
      <c r="A563" s="57">
        <v>3</v>
      </c>
      <c r="B563" s="63" t="s">
        <v>1594</v>
      </c>
      <c r="C563" s="246">
        <v>180</v>
      </c>
      <c r="D563" s="59" t="s">
        <v>1052</v>
      </c>
      <c r="E563" s="94"/>
      <c r="F563" s="60"/>
      <c r="H563" s="281"/>
      <c r="P563" s="272"/>
    </row>
    <row r="564" spans="1:16" s="61" customFormat="1" ht="30" customHeight="1">
      <c r="A564" s="57">
        <v>4</v>
      </c>
      <c r="B564" s="63" t="s">
        <v>1595</v>
      </c>
      <c r="C564" s="246">
        <v>180</v>
      </c>
      <c r="D564" s="59" t="s">
        <v>1052</v>
      </c>
      <c r="E564" s="94"/>
      <c r="F564" s="60"/>
      <c r="H564" s="96"/>
      <c r="P564" s="272"/>
    </row>
    <row r="565" spans="1:16" s="61" customFormat="1" ht="30" customHeight="1">
      <c r="A565" s="57">
        <v>5</v>
      </c>
      <c r="B565" s="63" t="s">
        <v>1596</v>
      </c>
      <c r="C565" s="246">
        <v>180</v>
      </c>
      <c r="D565" s="59" t="s">
        <v>1052</v>
      </c>
      <c r="E565" s="94"/>
      <c r="F565" s="60"/>
      <c r="H565" s="96"/>
      <c r="P565" s="272"/>
    </row>
    <row r="566" spans="1:16" s="61" customFormat="1" ht="30" customHeight="1">
      <c r="A566" s="57">
        <v>6</v>
      </c>
      <c r="B566" s="63" t="s">
        <v>1597</v>
      </c>
      <c r="C566" s="246">
        <v>180</v>
      </c>
      <c r="D566" s="59" t="s">
        <v>1052</v>
      </c>
      <c r="E566" s="94"/>
      <c r="F566" s="60"/>
      <c r="H566" s="96"/>
      <c r="P566" s="272"/>
    </row>
    <row r="567" spans="1:16" s="61" customFormat="1" ht="30" customHeight="1">
      <c r="A567" s="57">
        <v>7</v>
      </c>
      <c r="B567" s="63" t="s">
        <v>1598</v>
      </c>
      <c r="C567" s="246">
        <v>180</v>
      </c>
      <c r="D567" s="59" t="s">
        <v>1052</v>
      </c>
      <c r="E567" s="94"/>
      <c r="F567" s="60"/>
      <c r="H567" s="96"/>
      <c r="P567" s="272"/>
    </row>
    <row r="568" spans="1:16" s="61" customFormat="1" ht="30" customHeight="1">
      <c r="A568" s="57">
        <v>8</v>
      </c>
      <c r="B568" s="63" t="s">
        <v>1599</v>
      </c>
      <c r="C568" s="246">
        <v>180</v>
      </c>
      <c r="D568" s="59" t="s">
        <v>1052</v>
      </c>
      <c r="E568" s="94"/>
      <c r="F568" s="60"/>
      <c r="H568" s="96"/>
      <c r="P568" s="272"/>
    </row>
    <row r="569" spans="1:16" s="61" customFormat="1" ht="30" customHeight="1">
      <c r="A569" s="57">
        <v>9</v>
      </c>
      <c r="B569" s="63" t="s">
        <v>1600</v>
      </c>
      <c r="C569" s="246">
        <v>180</v>
      </c>
      <c r="D569" s="59" t="s">
        <v>1052</v>
      </c>
      <c r="E569" s="94"/>
      <c r="F569" s="60"/>
      <c r="H569" s="100"/>
      <c r="P569" s="272"/>
    </row>
    <row r="570" spans="1:16" s="61" customFormat="1" ht="30" customHeight="1">
      <c r="A570" s="57">
        <v>10</v>
      </c>
      <c r="B570" s="63" t="s">
        <v>1601</v>
      </c>
      <c r="C570" s="246">
        <v>180</v>
      </c>
      <c r="D570" s="59" t="s">
        <v>1052</v>
      </c>
      <c r="E570" s="94"/>
      <c r="F570" s="60"/>
      <c r="P570" s="272"/>
    </row>
    <row r="571" spans="1:16" s="61" customFormat="1" ht="30" customHeight="1">
      <c r="A571" s="57">
        <v>11</v>
      </c>
      <c r="B571" s="63" t="s">
        <v>1602</v>
      </c>
      <c r="C571" s="246">
        <v>180</v>
      </c>
      <c r="D571" s="59" t="s">
        <v>1052</v>
      </c>
      <c r="E571" s="94"/>
      <c r="F571" s="60"/>
      <c r="P571" s="272"/>
    </row>
    <row r="572" spans="1:16" s="61" customFormat="1" ht="30" customHeight="1">
      <c r="A572" s="57">
        <v>12</v>
      </c>
      <c r="B572" s="63" t="s">
        <v>1603</v>
      </c>
      <c r="C572" s="246">
        <v>180</v>
      </c>
      <c r="D572" s="59" t="s">
        <v>1052</v>
      </c>
      <c r="E572" s="94"/>
      <c r="F572" s="60"/>
      <c r="P572" s="272"/>
    </row>
    <row r="573" spans="1:16" s="61" customFormat="1" ht="30" customHeight="1">
      <c r="A573" s="57">
        <v>13</v>
      </c>
      <c r="B573" s="63" t="s">
        <v>1604</v>
      </c>
      <c r="C573" s="246">
        <v>180</v>
      </c>
      <c r="D573" s="59" t="s">
        <v>1052</v>
      </c>
      <c r="E573" s="94"/>
      <c r="F573" s="60"/>
      <c r="P573" s="272"/>
    </row>
    <row r="574" spans="1:16" s="61" customFormat="1" ht="30" customHeight="1">
      <c r="A574" s="57">
        <v>14</v>
      </c>
      <c r="B574" s="63" t="s">
        <v>1605</v>
      </c>
      <c r="C574" s="124">
        <v>180</v>
      </c>
      <c r="D574" s="59" t="s">
        <v>1052</v>
      </c>
      <c r="E574" s="79"/>
      <c r="F574" s="60"/>
      <c r="P574" s="272"/>
    </row>
    <row r="575" spans="1:16" s="61" customFormat="1" ht="30" customHeight="1">
      <c r="A575" s="57">
        <v>15</v>
      </c>
      <c r="B575" s="63" t="s">
        <v>1606</v>
      </c>
      <c r="C575" s="124">
        <v>180</v>
      </c>
      <c r="D575" s="59" t="s">
        <v>1052</v>
      </c>
      <c r="E575" s="79"/>
      <c r="F575" s="60"/>
      <c r="P575" s="272"/>
    </row>
    <row r="576" spans="1:16" s="61" customFormat="1" ht="30" customHeight="1">
      <c r="A576" s="57">
        <v>16</v>
      </c>
      <c r="B576" s="63" t="s">
        <v>1607</v>
      </c>
      <c r="C576" s="124">
        <v>180</v>
      </c>
      <c r="D576" s="59" t="s">
        <v>1052</v>
      </c>
      <c r="E576" s="79"/>
      <c r="F576" s="60"/>
      <c r="P576" s="272"/>
    </row>
    <row r="577" spans="1:16" s="61" customFormat="1" ht="30" customHeight="1">
      <c r="A577" s="57">
        <v>17</v>
      </c>
      <c r="B577" s="63" t="s">
        <v>1608</v>
      </c>
      <c r="C577" s="124">
        <v>180</v>
      </c>
      <c r="D577" s="59" t="s">
        <v>1052</v>
      </c>
      <c r="E577" s="79"/>
      <c r="F577" s="60"/>
      <c r="P577" s="272"/>
    </row>
    <row r="578" spans="1:16" s="61" customFormat="1" ht="30" customHeight="1">
      <c r="A578" s="57">
        <v>18</v>
      </c>
      <c r="B578" s="63" t="s">
        <v>1609</v>
      </c>
      <c r="C578" s="124">
        <v>180</v>
      </c>
      <c r="D578" s="59" t="s">
        <v>1052</v>
      </c>
      <c r="E578" s="79"/>
      <c r="F578" s="60"/>
      <c r="P578" s="272"/>
    </row>
    <row r="579" spans="1:16" s="61" customFormat="1" ht="30" customHeight="1">
      <c r="A579" s="57">
        <v>19</v>
      </c>
      <c r="B579" s="63" t="s">
        <v>1610</v>
      </c>
      <c r="C579" s="95">
        <v>190</v>
      </c>
      <c r="D579" s="84" t="s">
        <v>1052</v>
      </c>
      <c r="E579" s="95"/>
      <c r="F579" s="83"/>
      <c r="P579" s="272"/>
    </row>
    <row r="580" spans="1:16" s="61" customFormat="1" ht="30" customHeight="1">
      <c r="A580" s="57">
        <v>20</v>
      </c>
      <c r="B580" s="63" t="s">
        <v>1611</v>
      </c>
      <c r="C580" s="124">
        <v>210</v>
      </c>
      <c r="D580" s="59" t="s">
        <v>1052</v>
      </c>
      <c r="E580" s="79"/>
      <c r="F580" s="60"/>
      <c r="P580" s="272"/>
    </row>
    <row r="581" spans="1:16" s="61" customFormat="1" ht="30" customHeight="1">
      <c r="A581" s="57">
        <v>21</v>
      </c>
      <c r="B581" s="63" t="s">
        <v>1612</v>
      </c>
      <c r="C581" s="243">
        <v>215</v>
      </c>
      <c r="D581" s="59" t="s">
        <v>1052</v>
      </c>
      <c r="E581" s="64"/>
      <c r="F581" s="60"/>
      <c r="P581" s="272"/>
    </row>
    <row r="582" spans="1:16" s="61" customFormat="1" ht="30" customHeight="1">
      <c r="A582" s="57">
        <v>22</v>
      </c>
      <c r="B582" s="63" t="s">
        <v>1613</v>
      </c>
      <c r="C582" s="243">
        <v>215</v>
      </c>
      <c r="D582" s="59" t="s">
        <v>1052</v>
      </c>
      <c r="E582" s="64"/>
      <c r="F582" s="60"/>
      <c r="P582" s="272"/>
    </row>
    <row r="583" spans="1:16" s="61" customFormat="1" ht="30" customHeight="1">
      <c r="A583" s="57">
        <v>23</v>
      </c>
      <c r="B583" s="63" t="s">
        <v>1614</v>
      </c>
      <c r="C583" s="243">
        <v>215</v>
      </c>
      <c r="D583" s="59" t="s">
        <v>1052</v>
      </c>
      <c r="E583" s="64"/>
      <c r="F583" s="60"/>
      <c r="P583" s="272"/>
    </row>
    <row r="584" spans="1:16" s="61" customFormat="1" ht="30" customHeight="1">
      <c r="A584" s="57">
        <v>24</v>
      </c>
      <c r="B584" s="63" t="s">
        <v>1615</v>
      </c>
      <c r="C584" s="124">
        <v>215</v>
      </c>
      <c r="D584" s="59" t="s">
        <v>1052</v>
      </c>
      <c r="E584" s="79"/>
      <c r="F584" s="60"/>
      <c r="G584" s="78"/>
      <c r="P584" s="272"/>
    </row>
    <row r="585" spans="1:16" s="61" customFormat="1" ht="30" customHeight="1">
      <c r="A585" s="57">
        <v>25</v>
      </c>
      <c r="B585" s="63" t="s">
        <v>1616</v>
      </c>
      <c r="C585" s="124">
        <v>227</v>
      </c>
      <c r="D585" s="59" t="s">
        <v>1052</v>
      </c>
      <c r="E585" s="79"/>
      <c r="F585" s="60"/>
      <c r="H585" s="287"/>
      <c r="P585" s="272"/>
    </row>
    <row r="586" spans="1:16" s="61" customFormat="1" ht="30" customHeight="1">
      <c r="A586" s="57">
        <v>26</v>
      </c>
      <c r="B586" s="63" t="s">
        <v>1617</v>
      </c>
      <c r="C586" s="243">
        <v>125</v>
      </c>
      <c r="D586" s="59" t="s">
        <v>1052</v>
      </c>
      <c r="E586" s="64"/>
      <c r="F586" s="60"/>
      <c r="P586" s="272"/>
    </row>
    <row r="587" spans="1:16" s="61" customFormat="1" ht="30" customHeight="1">
      <c r="A587" s="57">
        <v>27</v>
      </c>
      <c r="B587" s="63" t="s">
        <v>1618</v>
      </c>
      <c r="C587" s="243">
        <v>260</v>
      </c>
      <c r="D587" s="59" t="s">
        <v>1052</v>
      </c>
      <c r="E587" s="64"/>
      <c r="F587" s="60"/>
      <c r="H587" s="78"/>
      <c r="I587" s="78"/>
      <c r="J587" s="78"/>
      <c r="K587" s="78"/>
      <c r="P587" s="272"/>
    </row>
    <row r="588" spans="1:16" s="61" customFormat="1" ht="30" customHeight="1">
      <c r="A588" s="57">
        <v>28</v>
      </c>
      <c r="B588" s="63" t="s">
        <v>1619</v>
      </c>
      <c r="C588" s="243">
        <v>260</v>
      </c>
      <c r="D588" s="59" t="s">
        <v>1052</v>
      </c>
      <c r="E588" s="64"/>
      <c r="F588" s="60"/>
      <c r="P588" s="272"/>
    </row>
    <row r="589" spans="1:16" s="61" customFormat="1" ht="30" customHeight="1">
      <c r="A589" s="57">
        <v>29</v>
      </c>
      <c r="B589" s="63" t="s">
        <v>1620</v>
      </c>
      <c r="C589" s="243">
        <v>260</v>
      </c>
      <c r="D589" s="59" t="s">
        <v>1052</v>
      </c>
      <c r="E589" s="64"/>
      <c r="F589" s="60"/>
      <c r="P589" s="272"/>
    </row>
    <row r="590" spans="1:16" s="61" customFormat="1" ht="30" customHeight="1">
      <c r="A590" s="57">
        <v>30</v>
      </c>
      <c r="B590" s="63" t="s">
        <v>1621</v>
      </c>
      <c r="C590" s="243">
        <v>260</v>
      </c>
      <c r="D590" s="59" t="s">
        <v>1052</v>
      </c>
      <c r="E590" s="64"/>
      <c r="F590" s="60"/>
      <c r="P590" s="272"/>
    </row>
    <row r="591" spans="1:16" s="61" customFormat="1" ht="30" customHeight="1">
      <c r="A591" s="57">
        <v>31</v>
      </c>
      <c r="B591" s="63" t="s">
        <v>1622</v>
      </c>
      <c r="C591" s="124">
        <v>260</v>
      </c>
      <c r="D591" s="59" t="s">
        <v>1052</v>
      </c>
      <c r="E591" s="79"/>
      <c r="F591" s="60"/>
      <c r="P591" s="272"/>
    </row>
    <row r="592" spans="1:16" s="61" customFormat="1" ht="30" customHeight="1">
      <c r="A592" s="57">
        <v>32</v>
      </c>
      <c r="B592" s="63" t="s">
        <v>1623</v>
      </c>
      <c r="C592" s="124">
        <v>260</v>
      </c>
      <c r="D592" s="59" t="s">
        <v>1052</v>
      </c>
      <c r="E592" s="79"/>
      <c r="F592" s="60"/>
      <c r="P592" s="272"/>
    </row>
    <row r="593" spans="1:16" s="61" customFormat="1" ht="30" customHeight="1">
      <c r="A593" s="57">
        <v>33</v>
      </c>
      <c r="B593" s="63" t="s">
        <v>1624</v>
      </c>
      <c r="C593" s="124">
        <v>260</v>
      </c>
      <c r="D593" s="59" t="s">
        <v>1052</v>
      </c>
      <c r="E593" s="79"/>
      <c r="F593" s="60"/>
      <c r="P593" s="272"/>
    </row>
    <row r="594" spans="1:16" s="78" customFormat="1" ht="30" customHeight="1">
      <c r="A594" s="126"/>
      <c r="B594" s="254" t="s">
        <v>1045</v>
      </c>
      <c r="C594" s="238">
        <f>SUM(C561:C593)</f>
        <v>6672</v>
      </c>
      <c r="D594" s="115"/>
      <c r="E594" s="127"/>
      <c r="F594" s="128"/>
      <c r="G594" s="61"/>
      <c r="H594" s="61"/>
      <c r="I594" s="61"/>
      <c r="J594" s="61"/>
      <c r="K594" s="61"/>
      <c r="L594" s="61"/>
      <c r="M594" s="61"/>
      <c r="N594" s="61"/>
      <c r="P594" s="273"/>
    </row>
    <row r="595" spans="1:16" s="61" customFormat="1" ht="30" customHeight="1">
      <c r="A595" s="120"/>
      <c r="B595" s="253" t="s">
        <v>3684</v>
      </c>
      <c r="C595" s="114">
        <f>SUM(C558,C594)</f>
        <v>114932</v>
      </c>
      <c r="D595" s="116"/>
      <c r="E595" s="118"/>
      <c r="F595" s="119"/>
      <c r="L595" s="78"/>
      <c r="M595" s="78"/>
      <c r="N595" s="78"/>
      <c r="P595" s="272"/>
    </row>
    <row r="596" spans="1:16" s="61" customFormat="1" ht="30" customHeight="1">
      <c r="A596" s="72"/>
      <c r="B596" s="117" t="s">
        <v>1627</v>
      </c>
      <c r="C596" s="280"/>
      <c r="D596" s="74"/>
      <c r="E596" s="93"/>
      <c r="P596" s="272"/>
    </row>
    <row r="597" spans="1:16" s="61" customFormat="1" ht="30" customHeight="1">
      <c r="A597" s="72"/>
      <c r="B597" s="117" t="s">
        <v>1627</v>
      </c>
      <c r="C597" s="235"/>
      <c r="D597" s="74"/>
      <c r="E597" s="93"/>
      <c r="P597" s="272"/>
    </row>
    <row r="598" spans="1:16" s="61" customFormat="1" ht="30" customHeight="1">
      <c r="A598" s="72"/>
      <c r="B598" s="117" t="s">
        <v>1627</v>
      </c>
      <c r="C598" s="235"/>
      <c r="D598" s="74"/>
      <c r="E598" s="93"/>
      <c r="P598" s="272"/>
    </row>
    <row r="599" spans="1:16" s="61" customFormat="1" ht="30" customHeight="1">
      <c r="A599" s="68"/>
      <c r="B599" s="285" t="s">
        <v>3688</v>
      </c>
      <c r="C599" s="236"/>
      <c r="D599" s="69"/>
      <c r="E599" s="92"/>
      <c r="F599" s="71"/>
      <c r="P599" s="272"/>
    </row>
    <row r="600" spans="1:16" s="61" customFormat="1" ht="30" customHeight="1">
      <c r="A600" s="57">
        <v>1</v>
      </c>
      <c r="B600" s="63" t="s">
        <v>1628</v>
      </c>
      <c r="C600" s="124">
        <v>132</v>
      </c>
      <c r="D600" s="60"/>
      <c r="E600" s="79" t="s">
        <v>1588</v>
      </c>
      <c r="F600" s="60" t="s">
        <v>1589</v>
      </c>
      <c r="P600" s="272"/>
    </row>
    <row r="601" spans="1:16" s="61" customFormat="1" ht="30" customHeight="1">
      <c r="A601" s="57">
        <v>2</v>
      </c>
      <c r="B601" s="63" t="s">
        <v>1629</v>
      </c>
      <c r="C601" s="124">
        <v>160</v>
      </c>
      <c r="D601" s="60"/>
      <c r="E601" s="79" t="s">
        <v>1588</v>
      </c>
      <c r="F601" s="60" t="s">
        <v>1589</v>
      </c>
      <c r="J601" s="96"/>
      <c r="P601" s="272"/>
    </row>
    <row r="602" spans="1:16" s="61" customFormat="1" ht="30" customHeight="1">
      <c r="A602" s="57">
        <v>3</v>
      </c>
      <c r="B602" s="63" t="s">
        <v>1630</v>
      </c>
      <c r="C602" s="124">
        <v>180</v>
      </c>
      <c r="D602" s="60"/>
      <c r="E602" s="79" t="s">
        <v>1588</v>
      </c>
      <c r="F602" s="60" t="s">
        <v>1589</v>
      </c>
      <c r="P602" s="272"/>
    </row>
    <row r="603" spans="1:16" s="61" customFormat="1" ht="30" customHeight="1">
      <c r="A603" s="57">
        <v>4</v>
      </c>
      <c r="B603" s="63" t="s">
        <v>78</v>
      </c>
      <c r="C603" s="124">
        <v>180</v>
      </c>
      <c r="D603" s="60"/>
      <c r="E603" s="79" t="s">
        <v>1588</v>
      </c>
      <c r="F603" s="60" t="s">
        <v>1589</v>
      </c>
      <c r="P603" s="272"/>
    </row>
    <row r="604" spans="1:16" s="61" customFormat="1" ht="30" customHeight="1">
      <c r="A604" s="57">
        <v>5</v>
      </c>
      <c r="B604" s="63" t="s">
        <v>1631</v>
      </c>
      <c r="C604" s="124">
        <v>180</v>
      </c>
      <c r="D604" s="60"/>
      <c r="E604" s="79" t="s">
        <v>1588</v>
      </c>
      <c r="F604" s="60" t="s">
        <v>1589</v>
      </c>
      <c r="P604" s="272"/>
    </row>
    <row r="605" spans="1:16" s="61" customFormat="1" ht="30" customHeight="1">
      <c r="A605" s="57">
        <v>6</v>
      </c>
      <c r="B605" s="63" t="s">
        <v>1632</v>
      </c>
      <c r="C605" s="124">
        <v>180</v>
      </c>
      <c r="D605" s="60"/>
      <c r="E605" s="79" t="s">
        <v>1588</v>
      </c>
      <c r="F605" s="60" t="s">
        <v>1589</v>
      </c>
      <c r="P605" s="272"/>
    </row>
    <row r="606" spans="1:16" s="61" customFormat="1" ht="30" customHeight="1">
      <c r="A606" s="57">
        <v>7</v>
      </c>
      <c r="B606" s="63" t="s">
        <v>337</v>
      </c>
      <c r="C606" s="124">
        <v>180</v>
      </c>
      <c r="D606" s="60"/>
      <c r="E606" s="79" t="s">
        <v>1588</v>
      </c>
      <c r="F606" s="60" t="s">
        <v>1589</v>
      </c>
      <c r="P606" s="272"/>
    </row>
    <row r="607" spans="1:16" s="61" customFormat="1" ht="30" customHeight="1">
      <c r="A607" s="57">
        <v>8</v>
      </c>
      <c r="B607" s="63" t="s">
        <v>618</v>
      </c>
      <c r="C607" s="124">
        <v>180</v>
      </c>
      <c r="D607" s="60"/>
      <c r="E607" s="79" t="s">
        <v>1588</v>
      </c>
      <c r="F607" s="60" t="s">
        <v>1589</v>
      </c>
      <c r="P607" s="272"/>
    </row>
    <row r="608" spans="1:16" s="61" customFormat="1" ht="30" customHeight="1">
      <c r="A608" s="57">
        <v>9</v>
      </c>
      <c r="B608" s="63" t="s">
        <v>1633</v>
      </c>
      <c r="C608" s="124">
        <v>180</v>
      </c>
      <c r="D608" s="60"/>
      <c r="E608" s="79" t="s">
        <v>1588</v>
      </c>
      <c r="F608" s="60" t="s">
        <v>1589</v>
      </c>
      <c r="P608" s="272"/>
    </row>
    <row r="609" spans="1:16" s="61" customFormat="1" ht="30" customHeight="1">
      <c r="A609" s="57">
        <v>10</v>
      </c>
      <c r="B609" s="63" t="s">
        <v>1634</v>
      </c>
      <c r="C609" s="124">
        <v>180</v>
      </c>
      <c r="D609" s="60"/>
      <c r="E609" s="79" t="s">
        <v>1588</v>
      </c>
      <c r="F609" s="60" t="s">
        <v>1589</v>
      </c>
      <c r="P609" s="272"/>
    </row>
    <row r="610" spans="1:16" s="61" customFormat="1" ht="30" customHeight="1">
      <c r="A610" s="57">
        <v>11</v>
      </c>
      <c r="B610" s="63" t="s">
        <v>1635</v>
      </c>
      <c r="C610" s="124">
        <v>180</v>
      </c>
      <c r="D610" s="60"/>
      <c r="E610" s="79" t="s">
        <v>1588</v>
      </c>
      <c r="F610" s="60" t="s">
        <v>1589</v>
      </c>
      <c r="P610" s="272"/>
    </row>
    <row r="611" spans="1:16" s="61" customFormat="1" ht="30" customHeight="1">
      <c r="A611" s="57">
        <v>12</v>
      </c>
      <c r="B611" s="63" t="s">
        <v>1636</v>
      </c>
      <c r="C611" s="124">
        <v>180</v>
      </c>
      <c r="D611" s="60"/>
      <c r="E611" s="79" t="s">
        <v>1588</v>
      </c>
      <c r="F611" s="60" t="s">
        <v>1589</v>
      </c>
      <c r="P611" s="272"/>
    </row>
    <row r="612" spans="1:16" s="61" customFormat="1" ht="30" customHeight="1">
      <c r="A612" s="57">
        <v>13</v>
      </c>
      <c r="B612" s="63" t="s">
        <v>148</v>
      </c>
      <c r="C612" s="124">
        <v>180</v>
      </c>
      <c r="D612" s="60"/>
      <c r="E612" s="79" t="s">
        <v>1588</v>
      </c>
      <c r="F612" s="60" t="s">
        <v>1589</v>
      </c>
      <c r="P612" s="272"/>
    </row>
    <row r="613" spans="1:16" s="61" customFormat="1" ht="30" customHeight="1">
      <c r="A613" s="57">
        <v>14</v>
      </c>
      <c r="B613" s="63" t="s">
        <v>1637</v>
      </c>
      <c r="C613" s="124">
        <v>180</v>
      </c>
      <c r="D613" s="60"/>
      <c r="E613" s="79" t="s">
        <v>1588</v>
      </c>
      <c r="F613" s="60" t="s">
        <v>1589</v>
      </c>
      <c r="P613" s="272"/>
    </row>
    <row r="614" spans="1:16" s="61" customFormat="1" ht="30" customHeight="1">
      <c r="A614" s="57">
        <v>15</v>
      </c>
      <c r="B614" s="63" t="s">
        <v>1638</v>
      </c>
      <c r="C614" s="124">
        <v>180</v>
      </c>
      <c r="D614" s="60"/>
      <c r="E614" s="79" t="s">
        <v>1588</v>
      </c>
      <c r="F614" s="60" t="s">
        <v>1589</v>
      </c>
      <c r="P614" s="272"/>
    </row>
    <row r="615" spans="1:16" s="61" customFormat="1" ht="30" customHeight="1">
      <c r="A615" s="57">
        <v>16</v>
      </c>
      <c r="B615" s="63" t="s">
        <v>892</v>
      </c>
      <c r="C615" s="124">
        <v>180</v>
      </c>
      <c r="D615" s="60"/>
      <c r="E615" s="79" t="s">
        <v>1588</v>
      </c>
      <c r="F615" s="60" t="s">
        <v>1589</v>
      </c>
      <c r="P615" s="272"/>
    </row>
    <row r="616" spans="1:16" s="61" customFormat="1" ht="30" customHeight="1">
      <c r="A616" s="57">
        <v>17</v>
      </c>
      <c r="B616" s="63" t="s">
        <v>1639</v>
      </c>
      <c r="C616" s="124">
        <v>180</v>
      </c>
      <c r="D616" s="60"/>
      <c r="E616" s="79" t="s">
        <v>1588</v>
      </c>
      <c r="F616" s="60" t="s">
        <v>1589</v>
      </c>
      <c r="P616" s="272"/>
    </row>
    <row r="617" spans="1:16" s="61" customFormat="1" ht="30" customHeight="1">
      <c r="A617" s="57">
        <v>18</v>
      </c>
      <c r="B617" s="63" t="s">
        <v>1640</v>
      </c>
      <c r="C617" s="124">
        <v>180</v>
      </c>
      <c r="D617" s="60"/>
      <c r="E617" s="79" t="s">
        <v>1588</v>
      </c>
      <c r="F617" s="60" t="s">
        <v>1589</v>
      </c>
      <c r="P617" s="272"/>
    </row>
    <row r="618" spans="1:16" s="61" customFormat="1" ht="30" customHeight="1">
      <c r="A618" s="57">
        <v>19</v>
      </c>
      <c r="B618" s="63" t="s">
        <v>1641</v>
      </c>
      <c r="C618" s="124">
        <v>180</v>
      </c>
      <c r="D618" s="60"/>
      <c r="E618" s="79" t="s">
        <v>1588</v>
      </c>
      <c r="F618" s="60" t="s">
        <v>1589</v>
      </c>
      <c r="P618" s="272"/>
    </row>
    <row r="619" spans="1:16" s="61" customFormat="1" ht="30" customHeight="1">
      <c r="A619" s="57">
        <v>20</v>
      </c>
      <c r="B619" s="63" t="s">
        <v>1642</v>
      </c>
      <c r="C619" s="124">
        <v>180</v>
      </c>
      <c r="D619" s="60"/>
      <c r="E619" s="79" t="s">
        <v>1588</v>
      </c>
      <c r="F619" s="60" t="s">
        <v>1589</v>
      </c>
      <c r="P619" s="272"/>
    </row>
    <row r="620" spans="1:16" s="61" customFormat="1" ht="30" customHeight="1">
      <c r="A620" s="57">
        <v>21</v>
      </c>
      <c r="B620" s="63" t="s">
        <v>625</v>
      </c>
      <c r="C620" s="124">
        <v>180</v>
      </c>
      <c r="D620" s="60"/>
      <c r="E620" s="79" t="s">
        <v>1588</v>
      </c>
      <c r="F620" s="60" t="s">
        <v>1589</v>
      </c>
      <c r="P620" s="272"/>
    </row>
    <row r="621" spans="1:16" s="61" customFormat="1" ht="30" customHeight="1">
      <c r="A621" s="57">
        <v>22</v>
      </c>
      <c r="B621" s="63" t="s">
        <v>1643</v>
      </c>
      <c r="C621" s="124">
        <v>180</v>
      </c>
      <c r="D621" s="60"/>
      <c r="E621" s="79" t="s">
        <v>1588</v>
      </c>
      <c r="F621" s="60" t="s">
        <v>1589</v>
      </c>
      <c r="P621" s="272"/>
    </row>
    <row r="622" spans="1:16" s="61" customFormat="1" ht="30" customHeight="1">
      <c r="A622" s="57">
        <v>23</v>
      </c>
      <c r="B622" s="63" t="s">
        <v>1644</v>
      </c>
      <c r="C622" s="124">
        <v>180</v>
      </c>
      <c r="D622" s="60"/>
      <c r="E622" s="79" t="s">
        <v>1588</v>
      </c>
      <c r="F622" s="60" t="s">
        <v>1589</v>
      </c>
      <c r="P622" s="272"/>
    </row>
    <row r="623" spans="1:16" s="61" customFormat="1" ht="30" customHeight="1">
      <c r="A623" s="57">
        <v>24</v>
      </c>
      <c r="B623" s="63" t="s">
        <v>969</v>
      </c>
      <c r="C623" s="124">
        <v>180</v>
      </c>
      <c r="D623" s="60"/>
      <c r="E623" s="79" t="s">
        <v>1588</v>
      </c>
      <c r="F623" s="60" t="s">
        <v>1589</v>
      </c>
      <c r="P623" s="272"/>
    </row>
    <row r="624" spans="1:16" s="61" customFormat="1" ht="30" customHeight="1">
      <c r="A624" s="57">
        <v>25</v>
      </c>
      <c r="B624" s="63" t="s">
        <v>370</v>
      </c>
      <c r="C624" s="124">
        <v>180</v>
      </c>
      <c r="D624" s="60"/>
      <c r="E624" s="79" t="s">
        <v>1588</v>
      </c>
      <c r="F624" s="60" t="s">
        <v>1589</v>
      </c>
      <c r="P624" s="272"/>
    </row>
    <row r="625" spans="1:16" s="61" customFormat="1" ht="30" customHeight="1">
      <c r="A625" s="57">
        <v>26</v>
      </c>
      <c r="B625" s="63" t="s">
        <v>457</v>
      </c>
      <c r="C625" s="124">
        <v>180</v>
      </c>
      <c r="D625" s="60"/>
      <c r="E625" s="79" t="s">
        <v>1588</v>
      </c>
      <c r="F625" s="60" t="s">
        <v>1589</v>
      </c>
      <c r="P625" s="272"/>
    </row>
    <row r="626" spans="1:16" s="61" customFormat="1" ht="30" customHeight="1">
      <c r="A626" s="57">
        <v>27</v>
      </c>
      <c r="B626" s="63" t="s">
        <v>597</v>
      </c>
      <c r="C626" s="124">
        <v>180</v>
      </c>
      <c r="D626" s="60"/>
      <c r="E626" s="79" t="s">
        <v>1588</v>
      </c>
      <c r="F626" s="60" t="s">
        <v>1589</v>
      </c>
      <c r="P626" s="272"/>
    </row>
    <row r="627" spans="1:16" s="61" customFormat="1" ht="30" customHeight="1">
      <c r="A627" s="57">
        <v>28</v>
      </c>
      <c r="B627" s="63" t="s">
        <v>1014</v>
      </c>
      <c r="C627" s="124">
        <v>180</v>
      </c>
      <c r="D627" s="60"/>
      <c r="E627" s="79" t="s">
        <v>1588</v>
      </c>
      <c r="F627" s="60" t="s">
        <v>1589</v>
      </c>
      <c r="P627" s="272"/>
    </row>
    <row r="628" spans="1:16" s="61" customFormat="1" ht="30" customHeight="1">
      <c r="A628" s="57">
        <v>29</v>
      </c>
      <c r="B628" s="63" t="s">
        <v>1645</v>
      </c>
      <c r="C628" s="124">
        <v>180</v>
      </c>
      <c r="D628" s="60"/>
      <c r="E628" s="79" t="s">
        <v>1588</v>
      </c>
      <c r="F628" s="60" t="s">
        <v>1589</v>
      </c>
      <c r="P628" s="272"/>
    </row>
    <row r="629" spans="1:16" s="61" customFormat="1" ht="30" customHeight="1">
      <c r="A629" s="57">
        <v>30</v>
      </c>
      <c r="B629" s="63" t="s">
        <v>312</v>
      </c>
      <c r="C629" s="124">
        <v>180</v>
      </c>
      <c r="D629" s="60"/>
      <c r="E629" s="79" t="s">
        <v>1588</v>
      </c>
      <c r="F629" s="60" t="s">
        <v>1589</v>
      </c>
      <c r="P629" s="272"/>
    </row>
    <row r="630" spans="1:16" s="61" customFormat="1" ht="30" customHeight="1">
      <c r="A630" s="57">
        <v>31</v>
      </c>
      <c r="B630" s="63" t="s">
        <v>763</v>
      </c>
      <c r="C630" s="124">
        <v>180</v>
      </c>
      <c r="D630" s="60"/>
      <c r="E630" s="79" t="s">
        <v>1588</v>
      </c>
      <c r="F630" s="60" t="s">
        <v>1589</v>
      </c>
      <c r="P630" s="272"/>
    </row>
    <row r="631" spans="1:16" s="61" customFormat="1" ht="30" customHeight="1">
      <c r="A631" s="57">
        <v>32</v>
      </c>
      <c r="B631" s="63" t="s">
        <v>1646</v>
      </c>
      <c r="C631" s="124">
        <v>180</v>
      </c>
      <c r="D631" s="60"/>
      <c r="E631" s="79" t="s">
        <v>1588</v>
      </c>
      <c r="F631" s="60" t="s">
        <v>1589</v>
      </c>
      <c r="P631" s="272"/>
    </row>
    <row r="632" spans="1:16" s="61" customFormat="1" ht="30" customHeight="1">
      <c r="A632" s="57">
        <v>33</v>
      </c>
      <c r="B632" s="63" t="s">
        <v>1647</v>
      </c>
      <c r="C632" s="124">
        <v>180</v>
      </c>
      <c r="D632" s="60"/>
      <c r="E632" s="79" t="s">
        <v>1588</v>
      </c>
      <c r="F632" s="60" t="s">
        <v>1589</v>
      </c>
      <c r="P632" s="272"/>
    </row>
    <row r="633" spans="1:16" s="61" customFormat="1" ht="30" customHeight="1">
      <c r="A633" s="57">
        <v>34</v>
      </c>
      <c r="B633" s="63" t="s">
        <v>1648</v>
      </c>
      <c r="C633" s="124">
        <v>180</v>
      </c>
      <c r="D633" s="60"/>
      <c r="E633" s="79" t="s">
        <v>1588</v>
      </c>
      <c r="F633" s="60" t="s">
        <v>1589</v>
      </c>
      <c r="P633" s="272"/>
    </row>
    <row r="634" spans="1:16" s="61" customFormat="1" ht="30" customHeight="1">
      <c r="A634" s="57">
        <v>35</v>
      </c>
      <c r="B634" s="63" t="s">
        <v>1649</v>
      </c>
      <c r="C634" s="124">
        <v>180</v>
      </c>
      <c r="D634" s="60"/>
      <c r="E634" s="79" t="s">
        <v>1588</v>
      </c>
      <c r="F634" s="60" t="s">
        <v>1589</v>
      </c>
      <c r="P634" s="272"/>
    </row>
    <row r="635" spans="1:16" s="61" customFormat="1" ht="30" customHeight="1">
      <c r="A635" s="57">
        <v>36</v>
      </c>
      <c r="B635" s="63" t="s">
        <v>468</v>
      </c>
      <c r="C635" s="124">
        <v>180</v>
      </c>
      <c r="D635" s="60"/>
      <c r="E635" s="79" t="s">
        <v>1588</v>
      </c>
      <c r="F635" s="60" t="s">
        <v>1589</v>
      </c>
      <c r="P635" s="272"/>
    </row>
    <row r="636" spans="1:16" s="61" customFormat="1" ht="30" customHeight="1">
      <c r="A636" s="57">
        <v>37</v>
      </c>
      <c r="B636" s="63" t="s">
        <v>641</v>
      </c>
      <c r="C636" s="124">
        <v>180</v>
      </c>
      <c r="D636" s="60"/>
      <c r="E636" s="79" t="s">
        <v>1588</v>
      </c>
      <c r="F636" s="60" t="s">
        <v>1589</v>
      </c>
      <c r="P636" s="272"/>
    </row>
    <row r="637" spans="1:16" s="61" customFormat="1" ht="30" customHeight="1">
      <c r="A637" s="57">
        <v>38</v>
      </c>
      <c r="B637" s="63" t="s">
        <v>1650</v>
      </c>
      <c r="C637" s="124">
        <v>180</v>
      </c>
      <c r="D637" s="60"/>
      <c r="E637" s="79" t="s">
        <v>1588</v>
      </c>
      <c r="F637" s="60" t="s">
        <v>1589</v>
      </c>
      <c r="P637" s="272"/>
    </row>
    <row r="638" spans="1:16" s="61" customFormat="1" ht="30" customHeight="1">
      <c r="A638" s="57">
        <v>39</v>
      </c>
      <c r="B638" s="63" t="s">
        <v>1651</v>
      </c>
      <c r="C638" s="124">
        <v>180</v>
      </c>
      <c r="D638" s="60"/>
      <c r="E638" s="79" t="s">
        <v>1588</v>
      </c>
      <c r="F638" s="60" t="s">
        <v>1589</v>
      </c>
      <c r="P638" s="272"/>
    </row>
    <row r="639" spans="1:16" s="61" customFormat="1" ht="30" customHeight="1">
      <c r="A639" s="57">
        <v>40</v>
      </c>
      <c r="B639" s="63" t="s">
        <v>1652</v>
      </c>
      <c r="C639" s="124">
        <v>180</v>
      </c>
      <c r="D639" s="60"/>
      <c r="E639" s="79" t="s">
        <v>1588</v>
      </c>
      <c r="F639" s="60" t="s">
        <v>1589</v>
      </c>
      <c r="P639" s="272"/>
    </row>
    <row r="640" spans="1:16" s="61" customFormat="1" ht="30" customHeight="1">
      <c r="A640" s="57">
        <v>41</v>
      </c>
      <c r="B640" s="63" t="s">
        <v>57</v>
      </c>
      <c r="C640" s="124">
        <v>180</v>
      </c>
      <c r="D640" s="60"/>
      <c r="E640" s="79" t="s">
        <v>1588</v>
      </c>
      <c r="F640" s="60" t="s">
        <v>1589</v>
      </c>
      <c r="P640" s="272"/>
    </row>
    <row r="641" spans="1:16" s="61" customFormat="1" ht="30" customHeight="1">
      <c r="A641" s="57">
        <v>42</v>
      </c>
      <c r="B641" s="63" t="s">
        <v>874</v>
      </c>
      <c r="C641" s="124">
        <v>180</v>
      </c>
      <c r="D641" s="60"/>
      <c r="E641" s="79" t="s">
        <v>1588</v>
      </c>
      <c r="F641" s="60" t="s">
        <v>1589</v>
      </c>
      <c r="P641" s="272"/>
    </row>
    <row r="642" spans="1:16" s="61" customFormat="1" ht="30" customHeight="1">
      <c r="A642" s="57">
        <v>43</v>
      </c>
      <c r="B642" s="63" t="s">
        <v>538</v>
      </c>
      <c r="C642" s="124">
        <v>180</v>
      </c>
      <c r="D642" s="60"/>
      <c r="E642" s="79" t="s">
        <v>1588</v>
      </c>
      <c r="F642" s="60" t="s">
        <v>1589</v>
      </c>
      <c r="P642" s="272"/>
    </row>
    <row r="643" spans="1:16" s="61" customFormat="1" ht="30" customHeight="1">
      <c r="A643" s="57">
        <v>44</v>
      </c>
      <c r="B643" s="63" t="s">
        <v>1653</v>
      </c>
      <c r="C643" s="124">
        <v>180</v>
      </c>
      <c r="D643" s="60"/>
      <c r="E643" s="79" t="s">
        <v>1588</v>
      </c>
      <c r="F643" s="60" t="s">
        <v>1589</v>
      </c>
      <c r="P643" s="272"/>
    </row>
    <row r="644" spans="1:16" s="61" customFormat="1" ht="30" customHeight="1">
      <c r="A644" s="57">
        <v>45</v>
      </c>
      <c r="B644" s="63" t="s">
        <v>1654</v>
      </c>
      <c r="C644" s="124">
        <v>180</v>
      </c>
      <c r="D644" s="60"/>
      <c r="E644" s="79" t="s">
        <v>1588</v>
      </c>
      <c r="F644" s="60" t="s">
        <v>1589</v>
      </c>
      <c r="P644" s="272"/>
    </row>
    <row r="645" spans="1:16" s="61" customFormat="1" ht="30" customHeight="1">
      <c r="A645" s="57">
        <v>46</v>
      </c>
      <c r="B645" s="63" t="s">
        <v>120</v>
      </c>
      <c r="C645" s="124">
        <v>180</v>
      </c>
      <c r="D645" s="60"/>
      <c r="E645" s="79" t="s">
        <v>1588</v>
      </c>
      <c r="F645" s="60" t="s">
        <v>1589</v>
      </c>
      <c r="P645" s="272"/>
    </row>
    <row r="646" spans="1:16" s="61" customFormat="1" ht="30" customHeight="1">
      <c r="A646" s="57">
        <v>47</v>
      </c>
      <c r="B646" s="63" t="s">
        <v>946</v>
      </c>
      <c r="C646" s="124">
        <v>180</v>
      </c>
      <c r="D646" s="60"/>
      <c r="E646" s="79" t="s">
        <v>1588</v>
      </c>
      <c r="F646" s="60" t="s">
        <v>1589</v>
      </c>
      <c r="P646" s="272"/>
    </row>
    <row r="647" spans="1:16" s="61" customFormat="1" ht="30" customHeight="1">
      <c r="A647" s="57">
        <v>48</v>
      </c>
      <c r="B647" s="63" t="s">
        <v>1018</v>
      </c>
      <c r="C647" s="124">
        <v>180</v>
      </c>
      <c r="D647" s="60"/>
      <c r="E647" s="79" t="s">
        <v>1588</v>
      </c>
      <c r="F647" s="60" t="s">
        <v>1589</v>
      </c>
      <c r="P647" s="272"/>
    </row>
    <row r="648" spans="1:16" s="61" customFormat="1" ht="30" customHeight="1">
      <c r="A648" s="57">
        <v>49</v>
      </c>
      <c r="B648" s="63" t="s">
        <v>66</v>
      </c>
      <c r="C648" s="124">
        <v>180</v>
      </c>
      <c r="D648" s="60"/>
      <c r="E648" s="79" t="s">
        <v>1588</v>
      </c>
      <c r="F648" s="60" t="s">
        <v>1589</v>
      </c>
      <c r="P648" s="272"/>
    </row>
    <row r="649" spans="1:16" s="61" customFormat="1" ht="30" customHeight="1">
      <c r="A649" s="57">
        <v>50</v>
      </c>
      <c r="B649" s="63" t="s">
        <v>1655</v>
      </c>
      <c r="C649" s="124">
        <v>180</v>
      </c>
      <c r="D649" s="60"/>
      <c r="E649" s="79" t="s">
        <v>1588</v>
      </c>
      <c r="F649" s="60" t="s">
        <v>1589</v>
      </c>
      <c r="P649" s="272"/>
    </row>
    <row r="650" spans="1:16" s="61" customFormat="1" ht="30" customHeight="1">
      <c r="A650" s="57">
        <v>51</v>
      </c>
      <c r="B650" s="63" t="s">
        <v>632</v>
      </c>
      <c r="C650" s="124">
        <v>180</v>
      </c>
      <c r="D650" s="60"/>
      <c r="E650" s="79" t="s">
        <v>1588</v>
      </c>
      <c r="F650" s="60" t="s">
        <v>1589</v>
      </c>
      <c r="P650" s="272"/>
    </row>
    <row r="651" spans="1:16" s="61" customFormat="1" ht="30" customHeight="1">
      <c r="A651" s="57">
        <v>52</v>
      </c>
      <c r="B651" s="63" t="s">
        <v>1656</v>
      </c>
      <c r="C651" s="124">
        <v>180</v>
      </c>
      <c r="D651" s="60"/>
      <c r="E651" s="79" t="s">
        <v>1588</v>
      </c>
      <c r="F651" s="60" t="s">
        <v>1589</v>
      </c>
      <c r="P651" s="272"/>
    </row>
    <row r="652" spans="1:16" s="61" customFormat="1" ht="30" customHeight="1">
      <c r="A652" s="57">
        <v>53</v>
      </c>
      <c r="B652" s="63" t="s">
        <v>595</v>
      </c>
      <c r="C652" s="124">
        <v>180</v>
      </c>
      <c r="D652" s="60"/>
      <c r="E652" s="79" t="s">
        <v>1588</v>
      </c>
      <c r="F652" s="60" t="s">
        <v>1589</v>
      </c>
      <c r="P652" s="272"/>
    </row>
    <row r="653" spans="1:16" s="61" customFormat="1" ht="30" customHeight="1">
      <c r="A653" s="57">
        <v>54</v>
      </c>
      <c r="B653" s="63" t="s">
        <v>139</v>
      </c>
      <c r="C653" s="124">
        <v>180</v>
      </c>
      <c r="D653" s="60"/>
      <c r="E653" s="79" t="s">
        <v>1588</v>
      </c>
      <c r="F653" s="60" t="s">
        <v>1589</v>
      </c>
      <c r="P653" s="272"/>
    </row>
    <row r="654" spans="1:16" s="61" customFormat="1" ht="30" customHeight="1">
      <c r="A654" s="57">
        <v>55</v>
      </c>
      <c r="B654" s="63" t="s">
        <v>1657</v>
      </c>
      <c r="C654" s="124">
        <v>180</v>
      </c>
      <c r="D654" s="60"/>
      <c r="E654" s="79" t="s">
        <v>1588</v>
      </c>
      <c r="F654" s="60" t="s">
        <v>1589</v>
      </c>
      <c r="P654" s="272"/>
    </row>
    <row r="655" spans="1:16" s="61" customFormat="1" ht="30" customHeight="1">
      <c r="A655" s="57">
        <v>56</v>
      </c>
      <c r="B655" s="63" t="s">
        <v>463</v>
      </c>
      <c r="C655" s="124">
        <v>180</v>
      </c>
      <c r="D655" s="60"/>
      <c r="E655" s="79" t="s">
        <v>1588</v>
      </c>
      <c r="F655" s="60" t="s">
        <v>1589</v>
      </c>
      <c r="P655" s="272"/>
    </row>
    <row r="656" spans="1:16" s="61" customFormat="1" ht="30" customHeight="1">
      <c r="A656" s="57">
        <v>57</v>
      </c>
      <c r="B656" s="63" t="s">
        <v>925</v>
      </c>
      <c r="C656" s="124">
        <v>180</v>
      </c>
      <c r="D656" s="60"/>
      <c r="E656" s="79" t="s">
        <v>1588</v>
      </c>
      <c r="F656" s="60" t="s">
        <v>1589</v>
      </c>
      <c r="P656" s="272"/>
    </row>
    <row r="657" spans="1:16" s="61" customFormat="1" ht="30" customHeight="1">
      <c r="A657" s="57">
        <v>58</v>
      </c>
      <c r="B657" s="63" t="s">
        <v>1658</v>
      </c>
      <c r="C657" s="124">
        <v>180</v>
      </c>
      <c r="D657" s="60"/>
      <c r="E657" s="79" t="s">
        <v>1588</v>
      </c>
      <c r="F657" s="60" t="s">
        <v>1589</v>
      </c>
      <c r="P657" s="272"/>
    </row>
    <row r="658" spans="1:16" s="61" customFormat="1" ht="30" customHeight="1">
      <c r="A658" s="57">
        <v>59</v>
      </c>
      <c r="B658" s="63" t="s">
        <v>519</v>
      </c>
      <c r="C658" s="124">
        <v>180</v>
      </c>
      <c r="D658" s="60"/>
      <c r="E658" s="79" t="s">
        <v>1588</v>
      </c>
      <c r="F658" s="60" t="s">
        <v>1589</v>
      </c>
      <c r="P658" s="272"/>
    </row>
    <row r="659" spans="1:16" s="61" customFormat="1" ht="30" customHeight="1">
      <c r="A659" s="57">
        <v>60</v>
      </c>
      <c r="B659" s="63" t="s">
        <v>1019</v>
      </c>
      <c r="C659" s="124">
        <v>180</v>
      </c>
      <c r="D659" s="60"/>
      <c r="E659" s="79" t="s">
        <v>1588</v>
      </c>
      <c r="F659" s="60" t="s">
        <v>1589</v>
      </c>
      <c r="P659" s="272"/>
    </row>
    <row r="660" spans="1:16" s="61" customFormat="1" ht="30" customHeight="1">
      <c r="A660" s="57">
        <v>61</v>
      </c>
      <c r="B660" s="63" t="s">
        <v>1659</v>
      </c>
      <c r="C660" s="124">
        <v>180</v>
      </c>
      <c r="D660" s="60"/>
      <c r="E660" s="79" t="s">
        <v>1588</v>
      </c>
      <c r="F660" s="60" t="s">
        <v>1589</v>
      </c>
      <c r="P660" s="272"/>
    </row>
    <row r="661" spans="1:16" s="61" customFormat="1" ht="30" customHeight="1">
      <c r="A661" s="57">
        <v>62</v>
      </c>
      <c r="B661" s="63" t="s">
        <v>841</v>
      </c>
      <c r="C661" s="124">
        <v>180</v>
      </c>
      <c r="D661" s="60"/>
      <c r="E661" s="79" t="s">
        <v>1588</v>
      </c>
      <c r="F661" s="60" t="s">
        <v>1589</v>
      </c>
      <c r="P661" s="272"/>
    </row>
    <row r="662" spans="1:16" s="61" customFormat="1" ht="30" customHeight="1">
      <c r="A662" s="57">
        <v>63</v>
      </c>
      <c r="B662" s="63" t="s">
        <v>1660</v>
      </c>
      <c r="C662" s="124">
        <v>180</v>
      </c>
      <c r="D662" s="60"/>
      <c r="E662" s="79" t="s">
        <v>1588</v>
      </c>
      <c r="F662" s="60" t="s">
        <v>1589</v>
      </c>
      <c r="P662" s="272"/>
    </row>
    <row r="663" spans="1:16" s="61" customFormat="1" ht="30" customHeight="1">
      <c r="A663" s="57">
        <v>64</v>
      </c>
      <c r="B663" s="63" t="s">
        <v>1661</v>
      </c>
      <c r="C663" s="124">
        <v>180</v>
      </c>
      <c r="D663" s="60"/>
      <c r="E663" s="79" t="s">
        <v>1588</v>
      </c>
      <c r="F663" s="60" t="s">
        <v>1589</v>
      </c>
      <c r="P663" s="272"/>
    </row>
    <row r="664" spans="1:16" s="61" customFormat="1" ht="30" customHeight="1">
      <c r="A664" s="57">
        <v>65</v>
      </c>
      <c r="B664" s="63" t="s">
        <v>311</v>
      </c>
      <c r="C664" s="124">
        <v>180</v>
      </c>
      <c r="D664" s="60"/>
      <c r="E664" s="79" t="s">
        <v>1588</v>
      </c>
      <c r="F664" s="60" t="s">
        <v>1589</v>
      </c>
      <c r="P664" s="272"/>
    </row>
    <row r="665" spans="1:16" s="61" customFormat="1" ht="30" customHeight="1">
      <c r="A665" s="57">
        <v>66</v>
      </c>
      <c r="B665" s="63" t="s">
        <v>415</v>
      </c>
      <c r="C665" s="124">
        <v>180</v>
      </c>
      <c r="D665" s="60"/>
      <c r="E665" s="79" t="s">
        <v>1588</v>
      </c>
      <c r="F665" s="60" t="s">
        <v>1589</v>
      </c>
      <c r="P665" s="272"/>
    </row>
    <row r="666" spans="1:16" s="61" customFormat="1" ht="30" customHeight="1">
      <c r="A666" s="57">
        <v>67</v>
      </c>
      <c r="B666" s="63" t="s">
        <v>1662</v>
      </c>
      <c r="C666" s="124">
        <v>180</v>
      </c>
      <c r="D666" s="60"/>
      <c r="E666" s="79" t="s">
        <v>1588</v>
      </c>
      <c r="F666" s="60" t="s">
        <v>1589</v>
      </c>
      <c r="P666" s="272"/>
    </row>
    <row r="667" spans="1:16" s="61" customFormat="1" ht="30" customHeight="1">
      <c r="A667" s="57">
        <v>68</v>
      </c>
      <c r="B667" s="63" t="s">
        <v>384</v>
      </c>
      <c r="C667" s="124">
        <v>180</v>
      </c>
      <c r="D667" s="60"/>
      <c r="E667" s="79" t="s">
        <v>1588</v>
      </c>
      <c r="F667" s="60" t="s">
        <v>1589</v>
      </c>
      <c r="P667" s="272"/>
    </row>
    <row r="668" spans="1:16" s="61" customFormat="1" ht="30" customHeight="1">
      <c r="A668" s="57">
        <v>69</v>
      </c>
      <c r="B668" s="63" t="s">
        <v>819</v>
      </c>
      <c r="C668" s="124">
        <v>180</v>
      </c>
      <c r="D668" s="60"/>
      <c r="E668" s="79" t="s">
        <v>1588</v>
      </c>
      <c r="F668" s="60" t="s">
        <v>1589</v>
      </c>
      <c r="P668" s="272"/>
    </row>
    <row r="669" spans="1:16" s="61" customFormat="1" ht="30" customHeight="1">
      <c r="A669" s="57">
        <v>70</v>
      </c>
      <c r="B669" s="63" t="s">
        <v>1663</v>
      </c>
      <c r="C669" s="124">
        <v>180</v>
      </c>
      <c r="D669" s="60"/>
      <c r="E669" s="79" t="s">
        <v>1588</v>
      </c>
      <c r="F669" s="60" t="s">
        <v>1589</v>
      </c>
      <c r="P669" s="272"/>
    </row>
    <row r="670" spans="1:16" s="61" customFormat="1" ht="30" customHeight="1">
      <c r="A670" s="57">
        <v>71</v>
      </c>
      <c r="B670" s="63" t="s">
        <v>1664</v>
      </c>
      <c r="C670" s="124">
        <v>180</v>
      </c>
      <c r="D670" s="60"/>
      <c r="E670" s="79" t="s">
        <v>1588</v>
      </c>
      <c r="F670" s="60" t="s">
        <v>1589</v>
      </c>
      <c r="P670" s="272"/>
    </row>
    <row r="671" spans="1:16" s="61" customFormat="1" ht="30" customHeight="1">
      <c r="A671" s="57">
        <v>72</v>
      </c>
      <c r="B671" s="63" t="s">
        <v>920</v>
      </c>
      <c r="C671" s="124">
        <v>180</v>
      </c>
      <c r="D671" s="60"/>
      <c r="E671" s="79" t="s">
        <v>1588</v>
      </c>
      <c r="F671" s="60" t="s">
        <v>1589</v>
      </c>
      <c r="K671" s="77"/>
      <c r="P671" s="272"/>
    </row>
    <row r="672" spans="1:16" s="61" customFormat="1" ht="30" customHeight="1">
      <c r="A672" s="57">
        <v>73</v>
      </c>
      <c r="B672" s="63" t="s">
        <v>1665</v>
      </c>
      <c r="C672" s="124">
        <v>180</v>
      </c>
      <c r="D672" s="60"/>
      <c r="E672" s="79" t="s">
        <v>1588</v>
      </c>
      <c r="F672" s="60" t="s">
        <v>1589</v>
      </c>
      <c r="P672" s="272"/>
    </row>
    <row r="673" spans="1:16" s="61" customFormat="1" ht="30" customHeight="1">
      <c r="A673" s="57">
        <v>74</v>
      </c>
      <c r="B673" s="63" t="s">
        <v>1666</v>
      </c>
      <c r="C673" s="124">
        <v>180</v>
      </c>
      <c r="D673" s="60"/>
      <c r="E673" s="79" t="s">
        <v>1588</v>
      </c>
      <c r="F673" s="60" t="s">
        <v>1589</v>
      </c>
      <c r="P673" s="272"/>
    </row>
    <row r="674" spans="1:16" s="61" customFormat="1" ht="30" customHeight="1">
      <c r="A674" s="57">
        <v>75</v>
      </c>
      <c r="B674" s="63" t="s">
        <v>1667</v>
      </c>
      <c r="C674" s="124">
        <v>180</v>
      </c>
      <c r="D674" s="60"/>
      <c r="E674" s="79" t="s">
        <v>1588</v>
      </c>
      <c r="F674" s="60" t="s">
        <v>1589</v>
      </c>
      <c r="P674" s="272"/>
    </row>
    <row r="675" spans="1:16" s="61" customFormat="1" ht="30" customHeight="1">
      <c r="A675" s="57">
        <v>76</v>
      </c>
      <c r="B675" s="63" t="s">
        <v>1668</v>
      </c>
      <c r="C675" s="124">
        <v>180</v>
      </c>
      <c r="D675" s="60"/>
      <c r="E675" s="79" t="s">
        <v>1588</v>
      </c>
      <c r="F675" s="60" t="s">
        <v>1589</v>
      </c>
      <c r="K675" s="77"/>
      <c r="P675" s="272"/>
    </row>
    <row r="676" spans="1:16" s="61" customFormat="1" ht="30" customHeight="1">
      <c r="A676" s="57">
        <v>77</v>
      </c>
      <c r="B676" s="63" t="s">
        <v>466</v>
      </c>
      <c r="C676" s="124">
        <v>180</v>
      </c>
      <c r="D676" s="60"/>
      <c r="E676" s="79" t="s">
        <v>1588</v>
      </c>
      <c r="F676" s="60" t="s">
        <v>1589</v>
      </c>
      <c r="P676" s="272"/>
    </row>
    <row r="677" spans="1:16" s="61" customFormat="1" ht="30" customHeight="1">
      <c r="A677" s="57">
        <v>78</v>
      </c>
      <c r="B677" s="63" t="s">
        <v>436</v>
      </c>
      <c r="C677" s="124">
        <v>180</v>
      </c>
      <c r="D677" s="60"/>
      <c r="E677" s="79" t="s">
        <v>1588</v>
      </c>
      <c r="F677" s="60" t="s">
        <v>1589</v>
      </c>
      <c r="K677" s="77"/>
      <c r="P677" s="272"/>
    </row>
    <row r="678" spans="1:16" s="61" customFormat="1" ht="30" customHeight="1">
      <c r="A678" s="57">
        <v>79</v>
      </c>
      <c r="B678" s="63" t="s">
        <v>239</v>
      </c>
      <c r="C678" s="124">
        <v>180</v>
      </c>
      <c r="D678" s="60"/>
      <c r="E678" s="79" t="s">
        <v>1588</v>
      </c>
      <c r="F678" s="60" t="s">
        <v>1589</v>
      </c>
      <c r="P678" s="272"/>
    </row>
    <row r="679" spans="1:16" s="61" customFormat="1" ht="30" customHeight="1">
      <c r="A679" s="57">
        <v>80</v>
      </c>
      <c r="B679" s="63" t="s">
        <v>1669</v>
      </c>
      <c r="C679" s="124">
        <v>180</v>
      </c>
      <c r="D679" s="60"/>
      <c r="E679" s="79" t="s">
        <v>1588</v>
      </c>
      <c r="F679" s="60" t="s">
        <v>1589</v>
      </c>
      <c r="P679" s="272"/>
    </row>
    <row r="680" spans="1:16" s="61" customFormat="1" ht="30" customHeight="1">
      <c r="A680" s="57">
        <v>81</v>
      </c>
      <c r="B680" s="63" t="s">
        <v>715</v>
      </c>
      <c r="C680" s="124">
        <v>180</v>
      </c>
      <c r="D680" s="60"/>
      <c r="E680" s="79" t="s">
        <v>1588</v>
      </c>
      <c r="F680" s="60" t="s">
        <v>1589</v>
      </c>
      <c r="P680" s="272"/>
    </row>
    <row r="681" spans="1:16" s="61" customFormat="1" ht="30" customHeight="1">
      <c r="A681" s="57">
        <v>82</v>
      </c>
      <c r="B681" s="63" t="s">
        <v>1670</v>
      </c>
      <c r="C681" s="124">
        <v>180</v>
      </c>
      <c r="D681" s="60"/>
      <c r="E681" s="79" t="s">
        <v>1588</v>
      </c>
      <c r="F681" s="60" t="s">
        <v>1589</v>
      </c>
      <c r="P681" s="272"/>
    </row>
    <row r="682" spans="1:16" s="61" customFormat="1" ht="30" customHeight="1">
      <c r="A682" s="57">
        <v>83</v>
      </c>
      <c r="B682" s="63" t="s">
        <v>1671</v>
      </c>
      <c r="C682" s="124">
        <v>180</v>
      </c>
      <c r="D682" s="60"/>
      <c r="E682" s="79" t="s">
        <v>1588</v>
      </c>
      <c r="F682" s="60" t="s">
        <v>1589</v>
      </c>
      <c r="P682" s="272"/>
    </row>
    <row r="683" spans="1:16" s="61" customFormat="1" ht="30" customHeight="1">
      <c r="A683" s="57">
        <v>84</v>
      </c>
      <c r="B683" s="63" t="s">
        <v>1672</v>
      </c>
      <c r="C683" s="124">
        <v>180</v>
      </c>
      <c r="D683" s="60"/>
      <c r="E683" s="79" t="s">
        <v>1588</v>
      </c>
      <c r="F683" s="60" t="s">
        <v>1589</v>
      </c>
      <c r="P683" s="272"/>
    </row>
    <row r="684" spans="1:16" s="61" customFormat="1" ht="30" customHeight="1">
      <c r="A684" s="57">
        <v>85</v>
      </c>
      <c r="B684" s="63" t="s">
        <v>1000</v>
      </c>
      <c r="C684" s="124">
        <v>180</v>
      </c>
      <c r="D684" s="60"/>
      <c r="E684" s="79" t="s">
        <v>1588</v>
      </c>
      <c r="F684" s="60" t="s">
        <v>1589</v>
      </c>
      <c r="P684" s="272"/>
    </row>
    <row r="685" spans="1:16" s="61" customFormat="1" ht="30" customHeight="1">
      <c r="A685" s="57">
        <v>86</v>
      </c>
      <c r="B685" s="63" t="s">
        <v>1673</v>
      </c>
      <c r="C685" s="124">
        <v>180</v>
      </c>
      <c r="D685" s="60"/>
      <c r="E685" s="79" t="s">
        <v>1588</v>
      </c>
      <c r="F685" s="60" t="s">
        <v>1589</v>
      </c>
      <c r="P685" s="272"/>
    </row>
    <row r="686" spans="1:16" s="61" customFormat="1" ht="30" customHeight="1">
      <c r="A686" s="57">
        <v>87</v>
      </c>
      <c r="B686" s="63" t="s">
        <v>1674</v>
      </c>
      <c r="C686" s="124">
        <v>180</v>
      </c>
      <c r="D686" s="60"/>
      <c r="E686" s="79" t="s">
        <v>1588</v>
      </c>
      <c r="F686" s="60" t="s">
        <v>1589</v>
      </c>
      <c r="P686" s="272"/>
    </row>
    <row r="687" spans="1:16" s="61" customFormat="1" ht="30" customHeight="1">
      <c r="A687" s="57">
        <v>88</v>
      </c>
      <c r="B687" s="63" t="s">
        <v>1675</v>
      </c>
      <c r="C687" s="124">
        <v>180</v>
      </c>
      <c r="D687" s="60"/>
      <c r="E687" s="79" t="s">
        <v>1588</v>
      </c>
      <c r="F687" s="60" t="s">
        <v>1589</v>
      </c>
      <c r="P687" s="272"/>
    </row>
    <row r="688" spans="1:16" s="61" customFormat="1" ht="30" customHeight="1">
      <c r="A688" s="57">
        <v>89</v>
      </c>
      <c r="B688" s="63" t="s">
        <v>719</v>
      </c>
      <c r="C688" s="124">
        <v>180</v>
      </c>
      <c r="D688" s="60"/>
      <c r="E688" s="79" t="s">
        <v>1588</v>
      </c>
      <c r="F688" s="60" t="s">
        <v>1589</v>
      </c>
      <c r="P688" s="272"/>
    </row>
    <row r="689" spans="1:16" s="61" customFormat="1" ht="30" customHeight="1">
      <c r="A689" s="57">
        <v>90</v>
      </c>
      <c r="B689" s="63" t="s">
        <v>1676</v>
      </c>
      <c r="C689" s="124">
        <v>180</v>
      </c>
      <c r="D689" s="60"/>
      <c r="E689" s="79" t="s">
        <v>1588</v>
      </c>
      <c r="F689" s="60" t="s">
        <v>1589</v>
      </c>
      <c r="P689" s="272"/>
    </row>
    <row r="690" spans="1:16" s="61" customFormat="1" ht="30" customHeight="1">
      <c r="A690" s="57">
        <v>91</v>
      </c>
      <c r="B690" s="63" t="s">
        <v>827</v>
      </c>
      <c r="C690" s="124">
        <v>180</v>
      </c>
      <c r="D690" s="60"/>
      <c r="E690" s="79" t="s">
        <v>1588</v>
      </c>
      <c r="F690" s="60" t="s">
        <v>1589</v>
      </c>
      <c r="P690" s="272"/>
    </row>
    <row r="691" spans="1:16" s="61" customFormat="1" ht="30" customHeight="1">
      <c r="A691" s="57">
        <v>92</v>
      </c>
      <c r="B691" s="63" t="s">
        <v>637</v>
      </c>
      <c r="C691" s="124">
        <v>180</v>
      </c>
      <c r="D691" s="60"/>
      <c r="E691" s="79" t="s">
        <v>1588</v>
      </c>
      <c r="F691" s="60" t="s">
        <v>1589</v>
      </c>
      <c r="P691" s="272"/>
    </row>
    <row r="692" spans="1:16" s="61" customFormat="1" ht="30" customHeight="1">
      <c r="A692" s="57">
        <v>93</v>
      </c>
      <c r="B692" s="63" t="s">
        <v>439</v>
      </c>
      <c r="C692" s="124">
        <v>180</v>
      </c>
      <c r="D692" s="60"/>
      <c r="E692" s="79" t="s">
        <v>1588</v>
      </c>
      <c r="F692" s="60" t="s">
        <v>1589</v>
      </c>
      <c r="P692" s="272"/>
    </row>
    <row r="693" spans="1:16" s="61" customFormat="1" ht="30" customHeight="1">
      <c r="A693" s="57">
        <v>94</v>
      </c>
      <c r="B693" s="63" t="s">
        <v>117</v>
      </c>
      <c r="C693" s="124">
        <v>180</v>
      </c>
      <c r="D693" s="60"/>
      <c r="E693" s="79" t="s">
        <v>1588</v>
      </c>
      <c r="F693" s="60" t="s">
        <v>1589</v>
      </c>
      <c r="P693" s="272"/>
    </row>
    <row r="694" spans="1:16" s="61" customFormat="1" ht="30" customHeight="1">
      <c r="A694" s="57">
        <v>95</v>
      </c>
      <c r="B694" s="63" t="s">
        <v>1677</v>
      </c>
      <c r="C694" s="124">
        <v>180</v>
      </c>
      <c r="D694" s="60"/>
      <c r="E694" s="79" t="s">
        <v>1588</v>
      </c>
      <c r="F694" s="60" t="s">
        <v>1589</v>
      </c>
      <c r="P694" s="272"/>
    </row>
    <row r="695" spans="1:16" s="61" customFormat="1" ht="30" customHeight="1">
      <c r="A695" s="57">
        <v>96</v>
      </c>
      <c r="B695" s="63" t="s">
        <v>316</v>
      </c>
      <c r="C695" s="124">
        <v>180</v>
      </c>
      <c r="D695" s="60"/>
      <c r="E695" s="79" t="s">
        <v>1588</v>
      </c>
      <c r="F695" s="60" t="s">
        <v>1589</v>
      </c>
      <c r="P695" s="272"/>
    </row>
    <row r="696" spans="1:16" s="61" customFormat="1" ht="30" customHeight="1">
      <c r="A696" s="57">
        <v>97</v>
      </c>
      <c r="B696" s="63" t="s">
        <v>189</v>
      </c>
      <c r="C696" s="124">
        <v>180</v>
      </c>
      <c r="D696" s="60"/>
      <c r="E696" s="79" t="s">
        <v>1588</v>
      </c>
      <c r="F696" s="60" t="s">
        <v>1589</v>
      </c>
      <c r="P696" s="272"/>
    </row>
    <row r="697" spans="1:16" s="61" customFormat="1" ht="30" customHeight="1">
      <c r="A697" s="57">
        <v>98</v>
      </c>
      <c r="B697" s="63" t="s">
        <v>1678</v>
      </c>
      <c r="C697" s="124">
        <v>180</v>
      </c>
      <c r="D697" s="60"/>
      <c r="E697" s="79" t="s">
        <v>1588</v>
      </c>
      <c r="F697" s="60" t="s">
        <v>1589</v>
      </c>
      <c r="P697" s="272"/>
    </row>
    <row r="698" spans="1:16" s="61" customFormat="1" ht="30" customHeight="1">
      <c r="A698" s="57">
        <v>99</v>
      </c>
      <c r="B698" s="63" t="s">
        <v>1679</v>
      </c>
      <c r="C698" s="124">
        <v>180</v>
      </c>
      <c r="D698" s="60"/>
      <c r="E698" s="79" t="s">
        <v>1588</v>
      </c>
      <c r="F698" s="60" t="s">
        <v>1589</v>
      </c>
      <c r="P698" s="272"/>
    </row>
    <row r="699" spans="1:16" s="61" customFormat="1" ht="30" customHeight="1">
      <c r="A699" s="57">
        <v>100</v>
      </c>
      <c r="B699" s="63" t="s">
        <v>1680</v>
      </c>
      <c r="C699" s="124">
        <v>180</v>
      </c>
      <c r="D699" s="60"/>
      <c r="E699" s="79" t="s">
        <v>1588</v>
      </c>
      <c r="F699" s="60" t="s">
        <v>1589</v>
      </c>
      <c r="P699" s="272"/>
    </row>
    <row r="700" spans="1:16" s="61" customFormat="1" ht="30" customHeight="1">
      <c r="A700" s="57">
        <v>101</v>
      </c>
      <c r="B700" s="63" t="s">
        <v>330</v>
      </c>
      <c r="C700" s="124">
        <v>180</v>
      </c>
      <c r="D700" s="60"/>
      <c r="E700" s="79" t="s">
        <v>1588</v>
      </c>
      <c r="F700" s="60" t="s">
        <v>1589</v>
      </c>
      <c r="P700" s="272"/>
    </row>
    <row r="701" spans="1:16" s="61" customFormat="1" ht="30" customHeight="1">
      <c r="A701" s="57">
        <v>102</v>
      </c>
      <c r="B701" s="63" t="s">
        <v>1681</v>
      </c>
      <c r="C701" s="124">
        <v>180</v>
      </c>
      <c r="D701" s="60"/>
      <c r="E701" s="79" t="s">
        <v>1588</v>
      </c>
      <c r="F701" s="60" t="s">
        <v>1589</v>
      </c>
      <c r="P701" s="272"/>
    </row>
    <row r="702" spans="1:16" s="61" customFormat="1" ht="30" customHeight="1">
      <c r="A702" s="57">
        <v>103</v>
      </c>
      <c r="B702" s="63" t="s">
        <v>1682</v>
      </c>
      <c r="C702" s="124">
        <v>180</v>
      </c>
      <c r="D702" s="60"/>
      <c r="E702" s="79" t="s">
        <v>1588</v>
      </c>
      <c r="F702" s="60" t="s">
        <v>1589</v>
      </c>
      <c r="P702" s="272"/>
    </row>
    <row r="703" spans="1:16" s="61" customFormat="1" ht="30" customHeight="1">
      <c r="A703" s="57">
        <v>104</v>
      </c>
      <c r="B703" s="63" t="s">
        <v>548</v>
      </c>
      <c r="C703" s="124">
        <v>180</v>
      </c>
      <c r="D703" s="60"/>
      <c r="E703" s="79" t="s">
        <v>1588</v>
      </c>
      <c r="F703" s="60" t="s">
        <v>1589</v>
      </c>
      <c r="P703" s="272"/>
    </row>
    <row r="704" spans="1:16" s="61" customFormat="1" ht="30" customHeight="1">
      <c r="A704" s="57">
        <v>105</v>
      </c>
      <c r="B704" s="63" t="s">
        <v>157</v>
      </c>
      <c r="C704" s="124">
        <v>180</v>
      </c>
      <c r="D704" s="60"/>
      <c r="E704" s="79" t="s">
        <v>1588</v>
      </c>
      <c r="F704" s="60" t="s">
        <v>1589</v>
      </c>
      <c r="P704" s="272"/>
    </row>
    <row r="705" spans="1:16" s="61" customFormat="1" ht="30" customHeight="1">
      <c r="A705" s="57">
        <v>106</v>
      </c>
      <c r="B705" s="63" t="s">
        <v>1683</v>
      </c>
      <c r="C705" s="124">
        <v>180</v>
      </c>
      <c r="D705" s="60"/>
      <c r="E705" s="79" t="s">
        <v>1588</v>
      </c>
      <c r="F705" s="60" t="s">
        <v>1589</v>
      </c>
      <c r="P705" s="272"/>
    </row>
    <row r="706" spans="1:16" s="61" customFormat="1" ht="30" customHeight="1">
      <c r="A706" s="57">
        <v>107</v>
      </c>
      <c r="B706" s="63" t="s">
        <v>1684</v>
      </c>
      <c r="C706" s="124">
        <v>180</v>
      </c>
      <c r="D706" s="60"/>
      <c r="E706" s="79" t="s">
        <v>1588</v>
      </c>
      <c r="F706" s="60" t="s">
        <v>1589</v>
      </c>
      <c r="P706" s="272"/>
    </row>
    <row r="707" spans="1:16" s="61" customFormat="1" ht="30" customHeight="1">
      <c r="A707" s="57">
        <v>108</v>
      </c>
      <c r="B707" s="63" t="s">
        <v>683</v>
      </c>
      <c r="C707" s="124">
        <v>180</v>
      </c>
      <c r="D707" s="60"/>
      <c r="E707" s="79" t="s">
        <v>1588</v>
      </c>
      <c r="F707" s="60" t="s">
        <v>1589</v>
      </c>
      <c r="P707" s="272"/>
    </row>
    <row r="708" spans="1:16" s="61" customFormat="1" ht="30" customHeight="1">
      <c r="A708" s="57">
        <v>109</v>
      </c>
      <c r="B708" s="63" t="s">
        <v>891</v>
      </c>
      <c r="C708" s="124">
        <v>180</v>
      </c>
      <c r="D708" s="60"/>
      <c r="E708" s="79" t="s">
        <v>1588</v>
      </c>
      <c r="F708" s="60" t="s">
        <v>1589</v>
      </c>
      <c r="P708" s="272"/>
    </row>
    <row r="709" spans="1:16" s="61" customFormat="1" ht="30" customHeight="1">
      <c r="A709" s="57">
        <v>110</v>
      </c>
      <c r="B709" s="63" t="s">
        <v>332</v>
      </c>
      <c r="C709" s="124">
        <v>180</v>
      </c>
      <c r="D709" s="60"/>
      <c r="E709" s="79" t="s">
        <v>1588</v>
      </c>
      <c r="F709" s="60" t="s">
        <v>1589</v>
      </c>
      <c r="P709" s="272"/>
    </row>
    <row r="710" spans="1:16" s="61" customFormat="1" ht="30" customHeight="1">
      <c r="A710" s="57">
        <v>111</v>
      </c>
      <c r="B710" s="63" t="s">
        <v>1685</v>
      </c>
      <c r="C710" s="124">
        <v>180</v>
      </c>
      <c r="D710" s="60"/>
      <c r="E710" s="79" t="s">
        <v>1588</v>
      </c>
      <c r="F710" s="60" t="s">
        <v>1589</v>
      </c>
      <c r="P710" s="272"/>
    </row>
    <row r="711" spans="1:16" s="61" customFormat="1" ht="30" customHeight="1">
      <c r="A711" s="57">
        <v>112</v>
      </c>
      <c r="B711" s="63" t="s">
        <v>347</v>
      </c>
      <c r="C711" s="124">
        <v>180</v>
      </c>
      <c r="D711" s="60"/>
      <c r="E711" s="79" t="s">
        <v>1588</v>
      </c>
      <c r="F711" s="60" t="s">
        <v>1589</v>
      </c>
      <c r="P711" s="272"/>
    </row>
    <row r="712" spans="1:16" s="61" customFormat="1" ht="30" customHeight="1">
      <c r="A712" s="57">
        <v>113</v>
      </c>
      <c r="B712" s="63" t="s">
        <v>1686</v>
      </c>
      <c r="C712" s="124">
        <v>180</v>
      </c>
      <c r="D712" s="60"/>
      <c r="E712" s="79" t="s">
        <v>1588</v>
      </c>
      <c r="F712" s="60" t="s">
        <v>1589</v>
      </c>
      <c r="P712" s="272"/>
    </row>
    <row r="713" spans="1:16" s="61" customFormat="1" ht="30" customHeight="1">
      <c r="A713" s="57">
        <v>114</v>
      </c>
      <c r="B713" s="63" t="s">
        <v>994</v>
      </c>
      <c r="C713" s="124">
        <v>180</v>
      </c>
      <c r="D713" s="60"/>
      <c r="E713" s="79" t="s">
        <v>1588</v>
      </c>
      <c r="F713" s="60" t="s">
        <v>1589</v>
      </c>
      <c r="P713" s="272"/>
    </row>
    <row r="714" spans="1:16" s="61" customFormat="1" ht="30" customHeight="1">
      <c r="A714" s="57">
        <v>115</v>
      </c>
      <c r="B714" s="63" t="s">
        <v>554</v>
      </c>
      <c r="C714" s="124">
        <v>180</v>
      </c>
      <c r="D714" s="60"/>
      <c r="E714" s="79" t="s">
        <v>1588</v>
      </c>
      <c r="F714" s="60" t="s">
        <v>1589</v>
      </c>
      <c r="P714" s="272"/>
    </row>
    <row r="715" spans="1:16" s="61" customFormat="1" ht="30" customHeight="1">
      <c r="A715" s="57">
        <v>116</v>
      </c>
      <c r="B715" s="63" t="s">
        <v>317</v>
      </c>
      <c r="C715" s="124">
        <v>180</v>
      </c>
      <c r="D715" s="60"/>
      <c r="E715" s="79" t="s">
        <v>1588</v>
      </c>
      <c r="F715" s="60" t="s">
        <v>1589</v>
      </c>
      <c r="P715" s="272"/>
    </row>
    <row r="716" spans="1:16" s="61" customFormat="1" ht="30" customHeight="1">
      <c r="A716" s="57">
        <v>117</v>
      </c>
      <c r="B716" s="63" t="s">
        <v>887</v>
      </c>
      <c r="C716" s="124">
        <v>180</v>
      </c>
      <c r="D716" s="60"/>
      <c r="E716" s="79" t="s">
        <v>1588</v>
      </c>
      <c r="F716" s="60" t="s">
        <v>1589</v>
      </c>
      <c r="P716" s="272"/>
    </row>
    <row r="717" spans="1:16" s="61" customFormat="1" ht="30" customHeight="1">
      <c r="A717" s="57">
        <v>118</v>
      </c>
      <c r="B717" s="63" t="s">
        <v>555</v>
      </c>
      <c r="C717" s="124">
        <v>180</v>
      </c>
      <c r="D717" s="60"/>
      <c r="E717" s="79" t="s">
        <v>1588</v>
      </c>
      <c r="F717" s="60" t="s">
        <v>1589</v>
      </c>
      <c r="P717" s="272"/>
    </row>
    <row r="718" spans="1:16" s="61" customFormat="1" ht="30" customHeight="1">
      <c r="A718" s="57">
        <v>119</v>
      </c>
      <c r="B718" s="63" t="s">
        <v>1687</v>
      </c>
      <c r="C718" s="124">
        <v>180</v>
      </c>
      <c r="D718" s="60"/>
      <c r="E718" s="79" t="s">
        <v>1588</v>
      </c>
      <c r="F718" s="60" t="s">
        <v>1589</v>
      </c>
      <c r="P718" s="272"/>
    </row>
    <row r="719" spans="1:16" s="61" customFormat="1" ht="30" customHeight="1">
      <c r="A719" s="57">
        <v>120</v>
      </c>
      <c r="B719" s="63" t="s">
        <v>566</v>
      </c>
      <c r="C719" s="124">
        <v>180</v>
      </c>
      <c r="D719" s="60"/>
      <c r="E719" s="79" t="s">
        <v>1588</v>
      </c>
      <c r="F719" s="60" t="s">
        <v>1589</v>
      </c>
      <c r="P719" s="272"/>
    </row>
    <row r="720" spans="1:16" s="61" customFormat="1" ht="30" customHeight="1">
      <c r="A720" s="57">
        <v>121</v>
      </c>
      <c r="B720" s="63" t="s">
        <v>1688</v>
      </c>
      <c r="C720" s="124">
        <v>180</v>
      </c>
      <c r="D720" s="60"/>
      <c r="E720" s="79" t="s">
        <v>1588</v>
      </c>
      <c r="F720" s="60" t="s">
        <v>1589</v>
      </c>
      <c r="P720" s="272"/>
    </row>
    <row r="721" spans="1:16" s="61" customFormat="1" ht="30" customHeight="1">
      <c r="A721" s="57">
        <v>122</v>
      </c>
      <c r="B721" s="63" t="s">
        <v>435</v>
      </c>
      <c r="C721" s="124">
        <v>180</v>
      </c>
      <c r="D721" s="60"/>
      <c r="E721" s="79" t="s">
        <v>1588</v>
      </c>
      <c r="F721" s="60" t="s">
        <v>1589</v>
      </c>
      <c r="P721" s="272"/>
    </row>
    <row r="722" spans="1:16" s="61" customFormat="1" ht="30" customHeight="1">
      <c r="A722" s="57">
        <v>123</v>
      </c>
      <c r="B722" s="63" t="s">
        <v>1689</v>
      </c>
      <c r="C722" s="124">
        <v>180</v>
      </c>
      <c r="D722" s="60"/>
      <c r="E722" s="79" t="s">
        <v>1588</v>
      </c>
      <c r="F722" s="60" t="s">
        <v>1589</v>
      </c>
      <c r="P722" s="272"/>
    </row>
    <row r="723" spans="1:16" s="61" customFormat="1" ht="30" customHeight="1">
      <c r="A723" s="57">
        <v>124</v>
      </c>
      <c r="B723" s="63" t="s">
        <v>1690</v>
      </c>
      <c r="C723" s="124">
        <v>180</v>
      </c>
      <c r="D723" s="60"/>
      <c r="E723" s="79" t="s">
        <v>1588</v>
      </c>
      <c r="F723" s="60" t="s">
        <v>1589</v>
      </c>
      <c r="P723" s="272"/>
    </row>
    <row r="724" spans="1:16" s="61" customFormat="1" ht="30" customHeight="1">
      <c r="A724" s="57">
        <v>125</v>
      </c>
      <c r="B724" s="63" t="s">
        <v>650</v>
      </c>
      <c r="C724" s="124">
        <v>180</v>
      </c>
      <c r="D724" s="60"/>
      <c r="E724" s="79" t="s">
        <v>1588</v>
      </c>
      <c r="F724" s="60" t="s">
        <v>1589</v>
      </c>
      <c r="P724" s="272"/>
    </row>
    <row r="725" spans="1:16" s="61" customFormat="1" ht="30" customHeight="1">
      <c r="A725" s="57">
        <v>126</v>
      </c>
      <c r="B725" s="63" t="s">
        <v>1691</v>
      </c>
      <c r="C725" s="124">
        <v>180</v>
      </c>
      <c r="D725" s="60"/>
      <c r="E725" s="79" t="s">
        <v>1588</v>
      </c>
      <c r="F725" s="60" t="s">
        <v>1589</v>
      </c>
      <c r="P725" s="272"/>
    </row>
    <row r="726" spans="1:16" s="61" customFormat="1" ht="30" customHeight="1">
      <c r="A726" s="57">
        <v>127</v>
      </c>
      <c r="B726" s="63" t="s">
        <v>1692</v>
      </c>
      <c r="C726" s="124">
        <v>180</v>
      </c>
      <c r="D726" s="60"/>
      <c r="E726" s="79" t="s">
        <v>1588</v>
      </c>
      <c r="F726" s="60" t="s">
        <v>1589</v>
      </c>
      <c r="P726" s="272"/>
    </row>
    <row r="727" spans="1:16" s="61" customFormat="1" ht="30" customHeight="1">
      <c r="A727" s="57">
        <v>128</v>
      </c>
      <c r="B727" s="63" t="s">
        <v>687</v>
      </c>
      <c r="C727" s="124">
        <v>180</v>
      </c>
      <c r="D727" s="60"/>
      <c r="E727" s="79" t="s">
        <v>1588</v>
      </c>
      <c r="F727" s="60" t="s">
        <v>1589</v>
      </c>
      <c r="P727" s="272"/>
    </row>
    <row r="728" spans="1:16" s="61" customFormat="1" ht="30" customHeight="1">
      <c r="A728" s="57">
        <v>129</v>
      </c>
      <c r="B728" s="63" t="s">
        <v>54</v>
      </c>
      <c r="C728" s="124">
        <v>180</v>
      </c>
      <c r="D728" s="60"/>
      <c r="E728" s="79" t="s">
        <v>1588</v>
      </c>
      <c r="F728" s="60" t="s">
        <v>1589</v>
      </c>
      <c r="P728" s="272"/>
    </row>
    <row r="729" spans="1:16" s="61" customFormat="1" ht="30" customHeight="1">
      <c r="A729" s="57">
        <v>130</v>
      </c>
      <c r="B729" s="63" t="s">
        <v>1693</v>
      </c>
      <c r="C729" s="124">
        <v>180</v>
      </c>
      <c r="D729" s="60"/>
      <c r="E729" s="79" t="s">
        <v>1588</v>
      </c>
      <c r="F729" s="60" t="s">
        <v>1589</v>
      </c>
      <c r="P729" s="272"/>
    </row>
    <row r="730" spans="1:16" s="61" customFormat="1" ht="30" customHeight="1">
      <c r="A730" s="57">
        <v>131</v>
      </c>
      <c r="B730" s="63" t="s">
        <v>943</v>
      </c>
      <c r="C730" s="124">
        <v>180</v>
      </c>
      <c r="D730" s="60"/>
      <c r="E730" s="79" t="s">
        <v>1588</v>
      </c>
      <c r="F730" s="60" t="s">
        <v>1589</v>
      </c>
      <c r="P730" s="272"/>
    </row>
    <row r="731" spans="1:16" s="61" customFormat="1" ht="30" customHeight="1">
      <c r="A731" s="57">
        <v>132</v>
      </c>
      <c r="B731" s="63" t="s">
        <v>210</v>
      </c>
      <c r="C731" s="124">
        <v>180</v>
      </c>
      <c r="D731" s="60"/>
      <c r="E731" s="79" t="s">
        <v>1588</v>
      </c>
      <c r="F731" s="60" t="s">
        <v>1589</v>
      </c>
      <c r="P731" s="272"/>
    </row>
    <row r="732" spans="1:16" s="61" customFormat="1" ht="30" customHeight="1">
      <c r="A732" s="57">
        <v>133</v>
      </c>
      <c r="B732" s="63" t="s">
        <v>1694</v>
      </c>
      <c r="C732" s="124">
        <v>180</v>
      </c>
      <c r="D732" s="60"/>
      <c r="E732" s="79" t="s">
        <v>1588</v>
      </c>
      <c r="F732" s="60" t="s">
        <v>1589</v>
      </c>
      <c r="P732" s="272"/>
    </row>
    <row r="733" spans="1:16" s="61" customFormat="1" ht="30" customHeight="1">
      <c r="A733" s="57">
        <v>134</v>
      </c>
      <c r="B733" s="63" t="s">
        <v>1695</v>
      </c>
      <c r="C733" s="124">
        <v>180</v>
      </c>
      <c r="D733" s="60"/>
      <c r="E733" s="79" t="s">
        <v>1588</v>
      </c>
      <c r="F733" s="60" t="s">
        <v>1589</v>
      </c>
      <c r="P733" s="272"/>
    </row>
    <row r="734" spans="1:16" s="61" customFormat="1" ht="30" customHeight="1">
      <c r="A734" s="57">
        <v>135</v>
      </c>
      <c r="B734" s="63" t="s">
        <v>1696</v>
      </c>
      <c r="C734" s="124">
        <v>180</v>
      </c>
      <c r="D734" s="60"/>
      <c r="E734" s="79" t="s">
        <v>1588</v>
      </c>
      <c r="F734" s="60" t="s">
        <v>1589</v>
      </c>
      <c r="P734" s="272"/>
    </row>
    <row r="735" spans="1:16" s="61" customFormat="1" ht="30" customHeight="1">
      <c r="A735" s="57">
        <v>136</v>
      </c>
      <c r="B735" s="63" t="s">
        <v>589</v>
      </c>
      <c r="C735" s="124">
        <v>180</v>
      </c>
      <c r="D735" s="60"/>
      <c r="E735" s="79" t="s">
        <v>1588</v>
      </c>
      <c r="F735" s="60" t="s">
        <v>1589</v>
      </c>
      <c r="P735" s="272"/>
    </row>
    <row r="736" spans="1:16" s="61" customFormat="1" ht="30" customHeight="1">
      <c r="A736" s="57">
        <v>137</v>
      </c>
      <c r="B736" s="63" t="s">
        <v>1697</v>
      </c>
      <c r="C736" s="124">
        <v>180</v>
      </c>
      <c r="D736" s="60"/>
      <c r="E736" s="79" t="s">
        <v>1588</v>
      </c>
      <c r="F736" s="60" t="s">
        <v>1589</v>
      </c>
      <c r="P736" s="272"/>
    </row>
    <row r="737" spans="1:16" s="61" customFormat="1" ht="30" customHeight="1">
      <c r="A737" s="57">
        <v>138</v>
      </c>
      <c r="B737" s="63" t="s">
        <v>903</v>
      </c>
      <c r="C737" s="124">
        <v>180</v>
      </c>
      <c r="D737" s="60"/>
      <c r="E737" s="79" t="s">
        <v>1588</v>
      </c>
      <c r="F737" s="60" t="s">
        <v>1589</v>
      </c>
      <c r="P737" s="272"/>
    </row>
    <row r="738" spans="1:16" s="61" customFormat="1" ht="30" customHeight="1">
      <c r="A738" s="57">
        <v>139</v>
      </c>
      <c r="B738" s="63" t="s">
        <v>824</v>
      </c>
      <c r="C738" s="124">
        <v>180</v>
      </c>
      <c r="D738" s="60"/>
      <c r="E738" s="79" t="s">
        <v>1588</v>
      </c>
      <c r="F738" s="60" t="s">
        <v>1589</v>
      </c>
      <c r="P738" s="272"/>
    </row>
    <row r="739" spans="1:16" s="61" customFormat="1" ht="30" customHeight="1">
      <c r="A739" s="57">
        <v>140</v>
      </c>
      <c r="B739" s="63" t="s">
        <v>366</v>
      </c>
      <c r="C739" s="124">
        <v>180</v>
      </c>
      <c r="D739" s="60"/>
      <c r="E739" s="79" t="s">
        <v>1588</v>
      </c>
      <c r="F739" s="60" t="s">
        <v>1589</v>
      </c>
      <c r="P739" s="272"/>
    </row>
    <row r="740" spans="1:16" s="61" customFormat="1" ht="30" customHeight="1">
      <c r="A740" s="57">
        <v>141</v>
      </c>
      <c r="B740" s="63" t="s">
        <v>1698</v>
      </c>
      <c r="C740" s="124">
        <v>180</v>
      </c>
      <c r="D740" s="60"/>
      <c r="E740" s="79" t="s">
        <v>1588</v>
      </c>
      <c r="F740" s="60" t="s">
        <v>1589</v>
      </c>
      <c r="P740" s="272"/>
    </row>
    <row r="741" spans="1:16" s="61" customFormat="1" ht="30" customHeight="1">
      <c r="A741" s="57">
        <v>142</v>
      </c>
      <c r="B741" s="63" t="s">
        <v>1699</v>
      </c>
      <c r="C741" s="124">
        <v>180</v>
      </c>
      <c r="D741" s="60"/>
      <c r="E741" s="79" t="s">
        <v>1588</v>
      </c>
      <c r="F741" s="60" t="s">
        <v>1589</v>
      </c>
      <c r="P741" s="272"/>
    </row>
    <row r="742" spans="1:16" s="61" customFormat="1" ht="30" customHeight="1">
      <c r="A742" s="57">
        <v>143</v>
      </c>
      <c r="B742" s="63" t="s">
        <v>327</v>
      </c>
      <c r="C742" s="124">
        <v>180</v>
      </c>
      <c r="D742" s="60"/>
      <c r="E742" s="79" t="s">
        <v>1588</v>
      </c>
      <c r="F742" s="60" t="s">
        <v>1589</v>
      </c>
      <c r="P742" s="272"/>
    </row>
    <row r="743" spans="1:16" s="61" customFormat="1" ht="30" customHeight="1">
      <c r="A743" s="57">
        <v>144</v>
      </c>
      <c r="B743" s="63" t="s">
        <v>354</v>
      </c>
      <c r="C743" s="124">
        <v>180</v>
      </c>
      <c r="D743" s="60"/>
      <c r="E743" s="79" t="s">
        <v>1588</v>
      </c>
      <c r="F743" s="60" t="s">
        <v>1589</v>
      </c>
      <c r="P743" s="272"/>
    </row>
    <row r="744" spans="1:16" s="61" customFormat="1" ht="30" customHeight="1">
      <c r="A744" s="57">
        <v>145</v>
      </c>
      <c r="B744" s="63" t="s">
        <v>1700</v>
      </c>
      <c r="C744" s="124">
        <v>180</v>
      </c>
      <c r="D744" s="60"/>
      <c r="E744" s="79" t="s">
        <v>1588</v>
      </c>
      <c r="F744" s="60" t="s">
        <v>1589</v>
      </c>
      <c r="P744" s="272"/>
    </row>
    <row r="745" spans="1:16" s="61" customFormat="1" ht="30" customHeight="1">
      <c r="A745" s="57">
        <v>146</v>
      </c>
      <c r="B745" s="63" t="s">
        <v>1701</v>
      </c>
      <c r="C745" s="124">
        <v>180</v>
      </c>
      <c r="D745" s="60"/>
      <c r="E745" s="79" t="s">
        <v>1588</v>
      </c>
      <c r="F745" s="60" t="s">
        <v>1589</v>
      </c>
      <c r="P745" s="272"/>
    </row>
    <row r="746" spans="1:16" s="61" customFormat="1" ht="30" customHeight="1">
      <c r="A746" s="57">
        <v>147</v>
      </c>
      <c r="B746" s="63" t="s">
        <v>1702</v>
      </c>
      <c r="C746" s="124">
        <v>180</v>
      </c>
      <c r="D746" s="60"/>
      <c r="E746" s="79" t="s">
        <v>1588</v>
      </c>
      <c r="F746" s="60" t="s">
        <v>1589</v>
      </c>
      <c r="P746" s="272"/>
    </row>
    <row r="747" spans="1:16" s="61" customFormat="1" ht="30" customHeight="1">
      <c r="A747" s="57">
        <v>148</v>
      </c>
      <c r="B747" s="63" t="s">
        <v>1703</v>
      </c>
      <c r="C747" s="124">
        <v>180</v>
      </c>
      <c r="D747" s="60"/>
      <c r="E747" s="79" t="s">
        <v>1588</v>
      </c>
      <c r="F747" s="60" t="s">
        <v>1589</v>
      </c>
      <c r="P747" s="272"/>
    </row>
    <row r="748" spans="1:16" s="61" customFormat="1" ht="30" customHeight="1">
      <c r="A748" s="57">
        <v>149</v>
      </c>
      <c r="B748" s="63" t="s">
        <v>448</v>
      </c>
      <c r="C748" s="124">
        <v>180</v>
      </c>
      <c r="D748" s="60"/>
      <c r="E748" s="79" t="s">
        <v>1588</v>
      </c>
      <c r="F748" s="60" t="s">
        <v>1589</v>
      </c>
      <c r="P748" s="272"/>
    </row>
    <row r="749" spans="1:16" s="61" customFormat="1" ht="30" customHeight="1">
      <c r="A749" s="57">
        <v>150</v>
      </c>
      <c r="B749" s="63" t="s">
        <v>1704</v>
      </c>
      <c r="C749" s="124">
        <v>180</v>
      </c>
      <c r="D749" s="60"/>
      <c r="E749" s="79" t="s">
        <v>1588</v>
      </c>
      <c r="F749" s="60" t="s">
        <v>1589</v>
      </c>
      <c r="P749" s="272"/>
    </row>
    <row r="750" spans="1:16" s="61" customFormat="1" ht="30" customHeight="1">
      <c r="A750" s="57">
        <v>151</v>
      </c>
      <c r="B750" s="63" t="s">
        <v>1705</v>
      </c>
      <c r="C750" s="124">
        <v>180</v>
      </c>
      <c r="D750" s="60"/>
      <c r="E750" s="79" t="s">
        <v>1588</v>
      </c>
      <c r="F750" s="60" t="s">
        <v>1589</v>
      </c>
      <c r="P750" s="272"/>
    </row>
    <row r="751" spans="1:16" s="61" customFormat="1" ht="30" customHeight="1">
      <c r="A751" s="57">
        <v>152</v>
      </c>
      <c r="B751" s="63" t="s">
        <v>1706</v>
      </c>
      <c r="C751" s="124">
        <v>180</v>
      </c>
      <c r="D751" s="60"/>
      <c r="E751" s="79" t="s">
        <v>1588</v>
      </c>
      <c r="F751" s="60" t="s">
        <v>1589</v>
      </c>
      <c r="P751" s="272"/>
    </row>
    <row r="752" spans="1:16" s="61" customFormat="1" ht="30" customHeight="1">
      <c r="A752" s="57">
        <v>153</v>
      </c>
      <c r="B752" s="63" t="s">
        <v>640</v>
      </c>
      <c r="C752" s="124">
        <v>180</v>
      </c>
      <c r="D752" s="60"/>
      <c r="E752" s="79" t="s">
        <v>1588</v>
      </c>
      <c r="F752" s="60" t="s">
        <v>1589</v>
      </c>
      <c r="P752" s="272"/>
    </row>
    <row r="753" spans="1:16" s="61" customFormat="1" ht="30" customHeight="1">
      <c r="A753" s="57">
        <v>154</v>
      </c>
      <c r="B753" s="63" t="s">
        <v>1707</v>
      </c>
      <c r="C753" s="124">
        <v>180</v>
      </c>
      <c r="D753" s="60"/>
      <c r="E753" s="79" t="s">
        <v>1588</v>
      </c>
      <c r="F753" s="60" t="s">
        <v>1589</v>
      </c>
      <c r="P753" s="272"/>
    </row>
    <row r="754" spans="1:16" s="61" customFormat="1" ht="30" customHeight="1">
      <c r="A754" s="57">
        <v>155</v>
      </c>
      <c r="B754" s="63" t="s">
        <v>1708</v>
      </c>
      <c r="C754" s="124">
        <v>180</v>
      </c>
      <c r="D754" s="60"/>
      <c r="E754" s="79" t="s">
        <v>1588</v>
      </c>
      <c r="F754" s="60" t="s">
        <v>1589</v>
      </c>
      <c r="P754" s="272"/>
    </row>
    <row r="755" spans="1:16" s="61" customFormat="1" ht="30" customHeight="1">
      <c r="A755" s="57">
        <v>156</v>
      </c>
      <c r="B755" s="63" t="s">
        <v>362</v>
      </c>
      <c r="C755" s="124">
        <v>180</v>
      </c>
      <c r="D755" s="60"/>
      <c r="E755" s="79" t="s">
        <v>1588</v>
      </c>
      <c r="F755" s="60" t="s">
        <v>1589</v>
      </c>
      <c r="P755" s="272"/>
    </row>
    <row r="756" spans="1:16" s="61" customFormat="1" ht="30" customHeight="1">
      <c r="A756" s="57">
        <v>157</v>
      </c>
      <c r="B756" s="63" t="s">
        <v>1709</v>
      </c>
      <c r="C756" s="124">
        <v>180</v>
      </c>
      <c r="D756" s="60"/>
      <c r="E756" s="79" t="s">
        <v>1588</v>
      </c>
      <c r="F756" s="60" t="s">
        <v>1589</v>
      </c>
      <c r="P756" s="272"/>
    </row>
    <row r="757" spans="1:16" s="61" customFormat="1" ht="30" customHeight="1">
      <c r="A757" s="57">
        <v>158</v>
      </c>
      <c r="B757" s="63" t="s">
        <v>178</v>
      </c>
      <c r="C757" s="124">
        <v>180</v>
      </c>
      <c r="D757" s="60"/>
      <c r="E757" s="79" t="s">
        <v>1588</v>
      </c>
      <c r="F757" s="60" t="s">
        <v>1589</v>
      </c>
      <c r="P757" s="272"/>
    </row>
    <row r="758" spans="1:16" s="61" customFormat="1" ht="30" customHeight="1">
      <c r="A758" s="57">
        <v>159</v>
      </c>
      <c r="B758" s="63" t="s">
        <v>1710</v>
      </c>
      <c r="C758" s="124">
        <v>180</v>
      </c>
      <c r="D758" s="60"/>
      <c r="E758" s="79" t="s">
        <v>1588</v>
      </c>
      <c r="F758" s="60" t="s">
        <v>1589</v>
      </c>
      <c r="P758" s="272"/>
    </row>
    <row r="759" spans="1:16" s="61" customFormat="1" ht="30" customHeight="1">
      <c r="A759" s="57">
        <v>160</v>
      </c>
      <c r="B759" s="63" t="s">
        <v>356</v>
      </c>
      <c r="C759" s="124">
        <v>180</v>
      </c>
      <c r="D759" s="60"/>
      <c r="E759" s="79" t="s">
        <v>1588</v>
      </c>
      <c r="F759" s="60" t="s">
        <v>1589</v>
      </c>
      <c r="P759" s="272"/>
    </row>
    <row r="760" spans="1:16" s="61" customFormat="1" ht="30" customHeight="1">
      <c r="A760" s="57">
        <v>161</v>
      </c>
      <c r="B760" s="63" t="s">
        <v>1711</v>
      </c>
      <c r="C760" s="124">
        <v>180</v>
      </c>
      <c r="D760" s="60"/>
      <c r="E760" s="79" t="s">
        <v>1588</v>
      </c>
      <c r="F760" s="60" t="s">
        <v>1589</v>
      </c>
      <c r="P760" s="272"/>
    </row>
    <row r="761" spans="1:16" s="61" customFormat="1" ht="30" customHeight="1">
      <c r="A761" s="57">
        <v>162</v>
      </c>
      <c r="B761" s="63" t="s">
        <v>1009</v>
      </c>
      <c r="C761" s="124">
        <v>180</v>
      </c>
      <c r="D761" s="60"/>
      <c r="E761" s="79" t="s">
        <v>1588</v>
      </c>
      <c r="F761" s="60" t="s">
        <v>1589</v>
      </c>
      <c r="P761" s="272"/>
    </row>
    <row r="762" spans="1:16" s="61" customFormat="1" ht="30" customHeight="1">
      <c r="A762" s="57">
        <v>163</v>
      </c>
      <c r="B762" s="63" t="s">
        <v>1712</v>
      </c>
      <c r="C762" s="124">
        <v>180</v>
      </c>
      <c r="D762" s="60"/>
      <c r="E762" s="79" t="s">
        <v>1588</v>
      </c>
      <c r="F762" s="60" t="s">
        <v>1589</v>
      </c>
      <c r="P762" s="272"/>
    </row>
    <row r="763" spans="1:16" s="61" customFormat="1" ht="30" customHeight="1">
      <c r="A763" s="57">
        <v>164</v>
      </c>
      <c r="B763" s="63" t="s">
        <v>1713</v>
      </c>
      <c r="C763" s="124">
        <v>180</v>
      </c>
      <c r="D763" s="60"/>
      <c r="E763" s="79" t="s">
        <v>1588</v>
      </c>
      <c r="F763" s="60" t="s">
        <v>1589</v>
      </c>
      <c r="P763" s="272"/>
    </row>
    <row r="764" spans="1:16" s="61" customFormat="1" ht="30" customHeight="1">
      <c r="A764" s="57">
        <v>165</v>
      </c>
      <c r="B764" s="63" t="s">
        <v>454</v>
      </c>
      <c r="C764" s="124">
        <v>180</v>
      </c>
      <c r="D764" s="60"/>
      <c r="E764" s="79" t="s">
        <v>1588</v>
      </c>
      <c r="F764" s="60" t="s">
        <v>1589</v>
      </c>
      <c r="P764" s="272"/>
    </row>
    <row r="765" spans="1:16" s="61" customFormat="1" ht="30" customHeight="1">
      <c r="A765" s="57">
        <v>166</v>
      </c>
      <c r="B765" s="63" t="s">
        <v>557</v>
      </c>
      <c r="C765" s="124">
        <v>215</v>
      </c>
      <c r="D765" s="60"/>
      <c r="E765" s="79" t="s">
        <v>1588</v>
      </c>
      <c r="F765" s="60" t="s">
        <v>1589</v>
      </c>
      <c r="P765" s="272"/>
    </row>
    <row r="766" spans="1:16" s="61" customFormat="1" ht="30" customHeight="1">
      <c r="A766" s="57">
        <v>167</v>
      </c>
      <c r="B766" s="63" t="s">
        <v>1714</v>
      </c>
      <c r="C766" s="124">
        <v>215</v>
      </c>
      <c r="D766" s="60"/>
      <c r="E766" s="79" t="s">
        <v>1588</v>
      </c>
      <c r="F766" s="60" t="s">
        <v>1589</v>
      </c>
      <c r="P766" s="272"/>
    </row>
    <row r="767" spans="1:16" s="61" customFormat="1" ht="30" customHeight="1">
      <c r="A767" s="57">
        <v>168</v>
      </c>
      <c r="B767" s="63" t="s">
        <v>1039</v>
      </c>
      <c r="C767" s="124">
        <f>220+125</f>
        <v>345</v>
      </c>
      <c r="D767" s="60"/>
      <c r="E767" s="79" t="s">
        <v>1588</v>
      </c>
      <c r="F767" s="60" t="s">
        <v>1589</v>
      </c>
      <c r="P767" s="272"/>
    </row>
    <row r="768" spans="1:16" s="61" customFormat="1" ht="30" customHeight="1">
      <c r="A768" s="57">
        <v>169</v>
      </c>
      <c r="B768" s="63" t="s">
        <v>1715</v>
      </c>
      <c r="C768" s="124">
        <v>220</v>
      </c>
      <c r="D768" s="59"/>
      <c r="E768" s="79" t="s">
        <v>1588</v>
      </c>
      <c r="F768" s="60" t="s">
        <v>1589</v>
      </c>
      <c r="P768" s="272"/>
    </row>
    <row r="769" spans="1:16" s="61" customFormat="1" ht="30" customHeight="1">
      <c r="A769" s="57">
        <v>170</v>
      </c>
      <c r="B769" s="63" t="s">
        <v>84</v>
      </c>
      <c r="C769" s="124">
        <v>220</v>
      </c>
      <c r="D769" s="89"/>
      <c r="E769" s="79" t="s">
        <v>1588</v>
      </c>
      <c r="F769" s="60" t="s">
        <v>1589</v>
      </c>
      <c r="P769" s="272"/>
    </row>
    <row r="770" spans="1:16" s="61" customFormat="1" ht="30" customHeight="1">
      <c r="A770" s="57">
        <v>171</v>
      </c>
      <c r="B770" s="63" t="s">
        <v>1716</v>
      </c>
      <c r="C770" s="124">
        <v>220</v>
      </c>
      <c r="D770" s="60"/>
      <c r="E770" s="79" t="s">
        <v>1588</v>
      </c>
      <c r="F770" s="60" t="s">
        <v>1589</v>
      </c>
      <c r="P770" s="272"/>
    </row>
    <row r="771" spans="1:16" s="61" customFormat="1" ht="30" customHeight="1">
      <c r="A771" s="57">
        <v>172</v>
      </c>
      <c r="B771" s="63" t="s">
        <v>91</v>
      </c>
      <c r="C771" s="124">
        <v>220</v>
      </c>
      <c r="D771" s="60"/>
      <c r="E771" s="79" t="s">
        <v>1588</v>
      </c>
      <c r="F771" s="60" t="s">
        <v>1589</v>
      </c>
      <c r="P771" s="272"/>
    </row>
    <row r="772" spans="1:16" s="61" customFormat="1" ht="30" customHeight="1">
      <c r="A772" s="57">
        <v>173</v>
      </c>
      <c r="B772" s="63" t="s">
        <v>1717</v>
      </c>
      <c r="C772" s="124">
        <v>220</v>
      </c>
      <c r="D772" s="60"/>
      <c r="E772" s="79" t="s">
        <v>1588</v>
      </c>
      <c r="F772" s="60" t="s">
        <v>1589</v>
      </c>
      <c r="P772" s="272"/>
    </row>
    <row r="773" spans="1:16" s="61" customFormat="1" ht="30" customHeight="1">
      <c r="A773" s="57">
        <v>174</v>
      </c>
      <c r="B773" s="63" t="s">
        <v>1718</v>
      </c>
      <c r="C773" s="124">
        <v>345</v>
      </c>
      <c r="D773" s="60"/>
      <c r="E773" s="79" t="s">
        <v>1588</v>
      </c>
      <c r="F773" s="60" t="s">
        <v>1589</v>
      </c>
      <c r="P773" s="272"/>
    </row>
    <row r="774" spans="1:16" s="61" customFormat="1" ht="30" customHeight="1">
      <c r="A774" s="57">
        <v>175</v>
      </c>
      <c r="B774" s="63" t="s">
        <v>1719</v>
      </c>
      <c r="C774" s="124">
        <v>220</v>
      </c>
      <c r="D774" s="60"/>
      <c r="E774" s="79" t="s">
        <v>1588</v>
      </c>
      <c r="F774" s="60" t="s">
        <v>1589</v>
      </c>
      <c r="P774" s="272"/>
    </row>
    <row r="775" spans="1:16" s="61" customFormat="1" ht="30" customHeight="1">
      <c r="A775" s="57">
        <v>176</v>
      </c>
      <c r="B775" s="63" t="s">
        <v>1720</v>
      </c>
      <c r="C775" s="124">
        <v>220</v>
      </c>
      <c r="D775" s="60"/>
      <c r="E775" s="79" t="s">
        <v>1588</v>
      </c>
      <c r="F775" s="60" t="s">
        <v>1589</v>
      </c>
      <c r="H775" s="88"/>
      <c r="P775" s="272"/>
    </row>
    <row r="776" spans="1:16" s="61" customFormat="1" ht="30" customHeight="1">
      <c r="A776" s="57">
        <v>177</v>
      </c>
      <c r="B776" s="63" t="s">
        <v>199</v>
      </c>
      <c r="C776" s="124">
        <v>220</v>
      </c>
      <c r="D776" s="60"/>
      <c r="E776" s="79" t="s">
        <v>1588</v>
      </c>
      <c r="F776" s="60" t="s">
        <v>1589</v>
      </c>
      <c r="P776" s="272"/>
    </row>
    <row r="777" spans="1:16" s="61" customFormat="1" ht="30" customHeight="1">
      <c r="A777" s="57">
        <v>178</v>
      </c>
      <c r="B777" s="63" t="s">
        <v>1721</v>
      </c>
      <c r="C777" s="124">
        <v>220</v>
      </c>
      <c r="D777" s="60"/>
      <c r="E777" s="79" t="s">
        <v>1588</v>
      </c>
      <c r="F777" s="60" t="s">
        <v>1589</v>
      </c>
      <c r="P777" s="272"/>
    </row>
    <row r="778" spans="1:16" s="61" customFormat="1" ht="30" customHeight="1">
      <c r="A778" s="57">
        <v>179</v>
      </c>
      <c r="B778" s="63" t="s">
        <v>1722</v>
      </c>
      <c r="C778" s="124">
        <v>220</v>
      </c>
      <c r="D778" s="60"/>
      <c r="E778" s="79" t="s">
        <v>1588</v>
      </c>
      <c r="F778" s="60" t="s">
        <v>1589</v>
      </c>
      <c r="P778" s="272"/>
    </row>
    <row r="779" spans="1:16" s="61" customFormat="1" ht="30" customHeight="1">
      <c r="A779" s="57">
        <v>180</v>
      </c>
      <c r="B779" s="63" t="s">
        <v>561</v>
      </c>
      <c r="C779" s="124">
        <v>220</v>
      </c>
      <c r="D779" s="60"/>
      <c r="E779" s="79" t="s">
        <v>1588</v>
      </c>
      <c r="F779" s="60" t="s">
        <v>1589</v>
      </c>
      <c r="P779" s="272"/>
    </row>
    <row r="780" spans="1:16" s="61" customFormat="1" ht="30" customHeight="1">
      <c r="A780" s="57">
        <v>181</v>
      </c>
      <c r="B780" s="63" t="s">
        <v>1723</v>
      </c>
      <c r="C780" s="124">
        <v>220</v>
      </c>
      <c r="D780" s="60"/>
      <c r="E780" s="79" t="s">
        <v>1588</v>
      </c>
      <c r="F780" s="60" t="s">
        <v>1589</v>
      </c>
      <c r="P780" s="272"/>
    </row>
    <row r="781" spans="1:16" s="61" customFormat="1" ht="30" customHeight="1">
      <c r="A781" s="57">
        <v>182</v>
      </c>
      <c r="B781" s="63" t="s">
        <v>716</v>
      </c>
      <c r="C781" s="124">
        <v>220</v>
      </c>
      <c r="D781" s="60"/>
      <c r="E781" s="79" t="s">
        <v>1588</v>
      </c>
      <c r="F781" s="60" t="s">
        <v>1589</v>
      </c>
      <c r="P781" s="272"/>
    </row>
    <row r="782" spans="1:16" s="61" customFormat="1" ht="30" customHeight="1">
      <c r="A782" s="57">
        <v>183</v>
      </c>
      <c r="B782" s="63" t="s">
        <v>1724</v>
      </c>
      <c r="C782" s="124">
        <v>220</v>
      </c>
      <c r="D782" s="60"/>
      <c r="E782" s="79" t="s">
        <v>1588</v>
      </c>
      <c r="F782" s="60" t="s">
        <v>1589</v>
      </c>
      <c r="P782" s="272"/>
    </row>
    <row r="783" spans="1:16" s="61" customFormat="1" ht="30" customHeight="1">
      <c r="A783" s="57">
        <v>184</v>
      </c>
      <c r="B783" s="63" t="s">
        <v>1725</v>
      </c>
      <c r="C783" s="124">
        <v>220</v>
      </c>
      <c r="D783" s="60"/>
      <c r="E783" s="79" t="s">
        <v>1588</v>
      </c>
      <c r="F783" s="60" t="s">
        <v>1589</v>
      </c>
      <c r="P783" s="272"/>
    </row>
    <row r="784" spans="1:16" s="61" customFormat="1" ht="30" customHeight="1">
      <c r="A784" s="57">
        <v>185</v>
      </c>
      <c r="B784" s="63" t="s">
        <v>1726</v>
      </c>
      <c r="C784" s="124">
        <v>220</v>
      </c>
      <c r="D784" s="60"/>
      <c r="E784" s="79" t="s">
        <v>1588</v>
      </c>
      <c r="F784" s="60" t="s">
        <v>1589</v>
      </c>
      <c r="P784" s="272"/>
    </row>
    <row r="785" spans="1:16" s="61" customFormat="1" ht="30" customHeight="1">
      <c r="A785" s="57">
        <v>186</v>
      </c>
      <c r="B785" s="63" t="s">
        <v>1727</v>
      </c>
      <c r="C785" s="124">
        <v>220</v>
      </c>
      <c r="D785" s="60"/>
      <c r="E785" s="79" t="s">
        <v>1588</v>
      </c>
      <c r="F785" s="60" t="s">
        <v>1589</v>
      </c>
      <c r="P785" s="272"/>
    </row>
    <row r="786" spans="1:16" s="61" customFormat="1" ht="30" customHeight="1">
      <c r="A786" s="57">
        <v>187</v>
      </c>
      <c r="B786" s="63" t="s">
        <v>1728</v>
      </c>
      <c r="C786" s="124">
        <v>220</v>
      </c>
      <c r="D786" s="60"/>
      <c r="E786" s="79" t="s">
        <v>1588</v>
      </c>
      <c r="F786" s="60" t="s">
        <v>1589</v>
      </c>
      <c r="P786" s="272"/>
    </row>
    <row r="787" spans="1:16" s="61" customFormat="1" ht="30" customHeight="1">
      <c r="A787" s="57">
        <v>188</v>
      </c>
      <c r="B787" s="63" t="s">
        <v>1729</v>
      </c>
      <c r="C787" s="124">
        <v>220</v>
      </c>
      <c r="D787" s="60"/>
      <c r="E787" s="79" t="s">
        <v>1588</v>
      </c>
      <c r="F787" s="60" t="s">
        <v>1589</v>
      </c>
      <c r="P787" s="272"/>
    </row>
    <row r="788" spans="1:16" s="61" customFormat="1" ht="30" customHeight="1">
      <c r="A788" s="57">
        <v>189</v>
      </c>
      <c r="B788" s="63" t="s">
        <v>1730</v>
      </c>
      <c r="C788" s="124">
        <v>220</v>
      </c>
      <c r="D788" s="60"/>
      <c r="E788" s="79" t="s">
        <v>1588</v>
      </c>
      <c r="F788" s="60" t="s">
        <v>1589</v>
      </c>
      <c r="P788" s="272"/>
    </row>
    <row r="789" spans="1:16" s="61" customFormat="1" ht="30" customHeight="1">
      <c r="A789" s="57">
        <v>190</v>
      </c>
      <c r="B789" s="63" t="s">
        <v>1731</v>
      </c>
      <c r="C789" s="124">
        <v>220</v>
      </c>
      <c r="D789" s="60"/>
      <c r="E789" s="79" t="s">
        <v>1588</v>
      </c>
      <c r="F789" s="60" t="s">
        <v>1589</v>
      </c>
      <c r="P789" s="272"/>
    </row>
    <row r="790" spans="1:16" s="61" customFormat="1" ht="30" customHeight="1">
      <c r="A790" s="57">
        <v>191</v>
      </c>
      <c r="B790" s="63" t="s">
        <v>1732</v>
      </c>
      <c r="C790" s="124">
        <v>220</v>
      </c>
      <c r="D790" s="60"/>
      <c r="E790" s="79" t="s">
        <v>1588</v>
      </c>
      <c r="F790" s="60" t="s">
        <v>1589</v>
      </c>
      <c r="P790" s="272"/>
    </row>
    <row r="791" spans="1:16" s="61" customFormat="1" ht="30" customHeight="1">
      <c r="A791" s="57">
        <v>192</v>
      </c>
      <c r="B791" s="63" t="s">
        <v>1733</v>
      </c>
      <c r="C791" s="124">
        <v>220</v>
      </c>
      <c r="D791" s="60"/>
      <c r="E791" s="79" t="s">
        <v>1588</v>
      </c>
      <c r="F791" s="60" t="s">
        <v>1589</v>
      </c>
      <c r="P791" s="272"/>
    </row>
    <row r="792" spans="1:16" s="61" customFormat="1" ht="30" customHeight="1">
      <c r="A792" s="57">
        <v>193</v>
      </c>
      <c r="B792" s="63" t="s">
        <v>1734</v>
      </c>
      <c r="C792" s="124">
        <v>220</v>
      </c>
      <c r="D792" s="60"/>
      <c r="E792" s="79" t="s">
        <v>1588</v>
      </c>
      <c r="F792" s="60" t="s">
        <v>1589</v>
      </c>
      <c r="P792" s="272"/>
    </row>
    <row r="793" spans="1:16" s="61" customFormat="1" ht="30" customHeight="1">
      <c r="A793" s="57">
        <v>194</v>
      </c>
      <c r="B793" s="63" t="s">
        <v>531</v>
      </c>
      <c r="C793" s="124">
        <v>220</v>
      </c>
      <c r="D793" s="60"/>
      <c r="E793" s="79" t="s">
        <v>1588</v>
      </c>
      <c r="F793" s="60" t="s">
        <v>1589</v>
      </c>
      <c r="P793" s="272"/>
    </row>
    <row r="794" spans="1:16" s="61" customFormat="1" ht="30" customHeight="1">
      <c r="A794" s="57">
        <v>195</v>
      </c>
      <c r="B794" s="63" t="s">
        <v>1735</v>
      </c>
      <c r="C794" s="124">
        <v>220</v>
      </c>
      <c r="D794" s="60"/>
      <c r="E794" s="79" t="s">
        <v>1588</v>
      </c>
      <c r="F794" s="60" t="s">
        <v>1589</v>
      </c>
      <c r="P794" s="272"/>
    </row>
    <row r="795" spans="1:16" s="61" customFormat="1" ht="30" customHeight="1">
      <c r="A795" s="57">
        <v>196</v>
      </c>
      <c r="B795" s="63" t="s">
        <v>1736</v>
      </c>
      <c r="C795" s="124">
        <v>220</v>
      </c>
      <c r="D795" s="60"/>
      <c r="E795" s="79" t="s">
        <v>1588</v>
      </c>
      <c r="F795" s="60" t="s">
        <v>1589</v>
      </c>
      <c r="P795" s="272"/>
    </row>
    <row r="796" spans="1:16" s="61" customFormat="1" ht="30" customHeight="1">
      <c r="A796" s="57">
        <v>197</v>
      </c>
      <c r="B796" s="63" t="s">
        <v>1737</v>
      </c>
      <c r="C796" s="124">
        <v>220</v>
      </c>
      <c r="D796" s="60"/>
      <c r="E796" s="79" t="s">
        <v>1588</v>
      </c>
      <c r="F796" s="60" t="s">
        <v>1589</v>
      </c>
      <c r="P796" s="272"/>
    </row>
    <row r="797" spans="1:16" s="61" customFormat="1" ht="30" customHeight="1">
      <c r="A797" s="57">
        <v>198</v>
      </c>
      <c r="B797" s="63" t="s">
        <v>870</v>
      </c>
      <c r="C797" s="124">
        <v>220</v>
      </c>
      <c r="D797" s="60"/>
      <c r="E797" s="79" t="s">
        <v>1588</v>
      </c>
      <c r="F797" s="60" t="s">
        <v>1589</v>
      </c>
      <c r="P797" s="272"/>
    </row>
    <row r="798" spans="1:16" s="61" customFormat="1" ht="30" customHeight="1">
      <c r="A798" s="57">
        <v>199</v>
      </c>
      <c r="B798" s="63" t="s">
        <v>1738</v>
      </c>
      <c r="C798" s="124">
        <v>220</v>
      </c>
      <c r="D798" s="60"/>
      <c r="E798" s="79" t="s">
        <v>1588</v>
      </c>
      <c r="F798" s="60" t="s">
        <v>1589</v>
      </c>
      <c r="P798" s="272"/>
    </row>
    <row r="799" spans="1:16" s="61" customFormat="1" ht="30" customHeight="1">
      <c r="A799" s="57">
        <v>200</v>
      </c>
      <c r="B799" s="63" t="s">
        <v>516</v>
      </c>
      <c r="C799" s="124">
        <v>220</v>
      </c>
      <c r="D799" s="60"/>
      <c r="E799" s="79" t="s">
        <v>1588</v>
      </c>
      <c r="F799" s="60" t="s">
        <v>1589</v>
      </c>
      <c r="P799" s="272"/>
    </row>
    <row r="800" spans="1:16" s="61" customFormat="1" ht="30" customHeight="1">
      <c r="A800" s="57">
        <v>201</v>
      </c>
      <c r="B800" s="63" t="s">
        <v>63</v>
      </c>
      <c r="C800" s="124">
        <v>220</v>
      </c>
      <c r="D800" s="60"/>
      <c r="E800" s="79" t="s">
        <v>1588</v>
      </c>
      <c r="F800" s="60" t="s">
        <v>1589</v>
      </c>
      <c r="P800" s="272"/>
    </row>
    <row r="801" spans="1:16" s="61" customFormat="1" ht="30" customHeight="1">
      <c r="A801" s="57">
        <v>202</v>
      </c>
      <c r="B801" s="63" t="s">
        <v>816</v>
      </c>
      <c r="C801" s="124">
        <v>220</v>
      </c>
      <c r="D801" s="60"/>
      <c r="E801" s="79" t="s">
        <v>1588</v>
      </c>
      <c r="F801" s="60" t="s">
        <v>1589</v>
      </c>
      <c r="P801" s="272"/>
    </row>
    <row r="802" spans="1:16" s="61" customFormat="1" ht="30" customHeight="1">
      <c r="A802" s="57">
        <v>203</v>
      </c>
      <c r="B802" s="63" t="s">
        <v>1739</v>
      </c>
      <c r="C802" s="124">
        <v>220</v>
      </c>
      <c r="D802" s="60"/>
      <c r="E802" s="79" t="s">
        <v>1588</v>
      </c>
      <c r="F802" s="60" t="s">
        <v>1589</v>
      </c>
      <c r="P802" s="272"/>
    </row>
    <row r="803" spans="1:16" s="61" customFormat="1" ht="30" customHeight="1">
      <c r="A803" s="57">
        <v>204</v>
      </c>
      <c r="B803" s="63" t="s">
        <v>1740</v>
      </c>
      <c r="C803" s="124">
        <v>220</v>
      </c>
      <c r="D803" s="60"/>
      <c r="E803" s="79" t="s">
        <v>1588</v>
      </c>
      <c r="F803" s="60" t="s">
        <v>1589</v>
      </c>
      <c r="P803" s="272"/>
    </row>
    <row r="804" spans="1:16" s="61" customFormat="1" ht="30" customHeight="1">
      <c r="A804" s="57">
        <v>205</v>
      </c>
      <c r="B804" s="63" t="s">
        <v>1741</v>
      </c>
      <c r="C804" s="124">
        <v>220</v>
      </c>
      <c r="D804" s="60"/>
      <c r="E804" s="79" t="s">
        <v>1588</v>
      </c>
      <c r="F804" s="60" t="s">
        <v>1589</v>
      </c>
      <c r="P804" s="272"/>
    </row>
    <row r="805" spans="1:16" s="61" customFormat="1" ht="30" customHeight="1">
      <c r="A805" s="57">
        <v>206</v>
      </c>
      <c r="B805" s="63" t="s">
        <v>344</v>
      </c>
      <c r="C805" s="124">
        <v>220</v>
      </c>
      <c r="D805" s="60"/>
      <c r="E805" s="79" t="s">
        <v>1588</v>
      </c>
      <c r="F805" s="60" t="s">
        <v>1589</v>
      </c>
      <c r="P805" s="272"/>
    </row>
    <row r="806" spans="1:16" s="61" customFormat="1" ht="30" customHeight="1">
      <c r="A806" s="57">
        <v>207</v>
      </c>
      <c r="B806" s="63" t="s">
        <v>1742</v>
      </c>
      <c r="C806" s="124">
        <v>220</v>
      </c>
      <c r="D806" s="60"/>
      <c r="E806" s="79" t="s">
        <v>1588</v>
      </c>
      <c r="F806" s="60" t="s">
        <v>1589</v>
      </c>
      <c r="P806" s="272"/>
    </row>
    <row r="807" spans="1:16" s="61" customFormat="1" ht="30" customHeight="1">
      <c r="A807" s="57">
        <v>208</v>
      </c>
      <c r="B807" s="63" t="s">
        <v>935</v>
      </c>
      <c r="C807" s="124">
        <v>220</v>
      </c>
      <c r="D807" s="60"/>
      <c r="E807" s="79" t="s">
        <v>1588</v>
      </c>
      <c r="F807" s="60" t="s">
        <v>1589</v>
      </c>
      <c r="P807" s="272"/>
    </row>
    <row r="808" spans="1:16" s="61" customFormat="1" ht="30" customHeight="1">
      <c r="A808" s="57">
        <v>209</v>
      </c>
      <c r="B808" s="63" t="s">
        <v>602</v>
      </c>
      <c r="C808" s="124">
        <v>220</v>
      </c>
      <c r="D808" s="60"/>
      <c r="E808" s="79" t="s">
        <v>1588</v>
      </c>
      <c r="F808" s="60" t="s">
        <v>1589</v>
      </c>
      <c r="P808" s="272"/>
    </row>
    <row r="809" spans="1:16" s="61" customFormat="1" ht="30" customHeight="1">
      <c r="A809" s="57">
        <v>210</v>
      </c>
      <c r="B809" s="63" t="s">
        <v>918</v>
      </c>
      <c r="C809" s="124">
        <v>220</v>
      </c>
      <c r="D809" s="60"/>
      <c r="E809" s="79" t="s">
        <v>1588</v>
      </c>
      <c r="F809" s="60" t="s">
        <v>1589</v>
      </c>
      <c r="P809" s="272"/>
    </row>
    <row r="810" spans="1:16" s="61" customFormat="1" ht="30" customHeight="1">
      <c r="A810" s="57">
        <v>211</v>
      </c>
      <c r="B810" s="63" t="s">
        <v>1743</v>
      </c>
      <c r="C810" s="124">
        <v>220</v>
      </c>
      <c r="D810" s="60"/>
      <c r="E810" s="79" t="s">
        <v>1588</v>
      </c>
      <c r="F810" s="60" t="s">
        <v>1589</v>
      </c>
      <c r="P810" s="272"/>
    </row>
    <row r="811" spans="1:16" s="61" customFormat="1" ht="30" customHeight="1">
      <c r="A811" s="57">
        <v>212</v>
      </c>
      <c r="B811" s="63" t="s">
        <v>274</v>
      </c>
      <c r="C811" s="124">
        <v>220</v>
      </c>
      <c r="D811" s="60"/>
      <c r="E811" s="79" t="s">
        <v>1588</v>
      </c>
      <c r="F811" s="60" t="s">
        <v>1589</v>
      </c>
      <c r="P811" s="272"/>
    </row>
    <row r="812" spans="1:16" s="61" customFormat="1" ht="30" customHeight="1">
      <c r="A812" s="57">
        <v>213</v>
      </c>
      <c r="B812" s="63" t="s">
        <v>1744</v>
      </c>
      <c r="C812" s="124">
        <v>220</v>
      </c>
      <c r="D812" s="60"/>
      <c r="E812" s="79" t="s">
        <v>1588</v>
      </c>
      <c r="F812" s="60" t="s">
        <v>1589</v>
      </c>
      <c r="P812" s="272"/>
    </row>
    <row r="813" spans="1:16" s="61" customFormat="1" ht="30" customHeight="1">
      <c r="A813" s="57">
        <v>214</v>
      </c>
      <c r="B813" s="63" t="s">
        <v>302</v>
      </c>
      <c r="C813" s="124">
        <v>220</v>
      </c>
      <c r="D813" s="60"/>
      <c r="E813" s="79" t="s">
        <v>1588</v>
      </c>
      <c r="F813" s="60" t="s">
        <v>1589</v>
      </c>
      <c r="P813" s="272"/>
    </row>
    <row r="814" spans="1:16" s="61" customFormat="1" ht="30" customHeight="1">
      <c r="A814" s="57">
        <v>215</v>
      </c>
      <c r="B814" s="63" t="s">
        <v>505</v>
      </c>
      <c r="C814" s="124">
        <v>220</v>
      </c>
      <c r="D814" s="60"/>
      <c r="E814" s="79" t="s">
        <v>1588</v>
      </c>
      <c r="F814" s="60" t="s">
        <v>1589</v>
      </c>
      <c r="P814" s="272"/>
    </row>
    <row r="815" spans="1:16" s="61" customFormat="1" ht="30" customHeight="1">
      <c r="A815" s="57">
        <v>216</v>
      </c>
      <c r="B815" s="63" t="s">
        <v>1745</v>
      </c>
      <c r="C815" s="124">
        <v>220</v>
      </c>
      <c r="D815" s="60"/>
      <c r="E815" s="79" t="s">
        <v>1588</v>
      </c>
      <c r="F815" s="60" t="s">
        <v>1589</v>
      </c>
      <c r="P815" s="272"/>
    </row>
    <row r="816" spans="1:16" s="61" customFormat="1" ht="30" customHeight="1">
      <c r="A816" s="57">
        <v>217</v>
      </c>
      <c r="B816" s="63" t="s">
        <v>1746</v>
      </c>
      <c r="C816" s="124">
        <v>220</v>
      </c>
      <c r="D816" s="60"/>
      <c r="E816" s="79" t="s">
        <v>1588</v>
      </c>
      <c r="F816" s="60" t="s">
        <v>1589</v>
      </c>
      <c r="P816" s="272"/>
    </row>
    <row r="817" spans="1:16" s="61" customFormat="1" ht="30" customHeight="1">
      <c r="A817" s="57">
        <v>218</v>
      </c>
      <c r="B817" s="63" t="s">
        <v>876</v>
      </c>
      <c r="C817" s="124">
        <v>220</v>
      </c>
      <c r="D817" s="60"/>
      <c r="E817" s="79" t="s">
        <v>1588</v>
      </c>
      <c r="F817" s="60" t="s">
        <v>1589</v>
      </c>
      <c r="P817" s="272"/>
    </row>
    <row r="818" spans="1:16" s="61" customFormat="1" ht="30" customHeight="1">
      <c r="A818" s="57">
        <v>219</v>
      </c>
      <c r="B818" s="63" t="s">
        <v>1747</v>
      </c>
      <c r="C818" s="124">
        <v>220</v>
      </c>
      <c r="D818" s="60"/>
      <c r="E818" s="79" t="s">
        <v>1588</v>
      </c>
      <c r="F818" s="60" t="s">
        <v>1589</v>
      </c>
      <c r="P818" s="272"/>
    </row>
    <row r="819" spans="1:16" s="61" customFormat="1" ht="30" customHeight="1">
      <c r="A819" s="57">
        <v>220</v>
      </c>
      <c r="B819" s="63" t="s">
        <v>1748</v>
      </c>
      <c r="C819" s="124">
        <v>220</v>
      </c>
      <c r="D819" s="60"/>
      <c r="E819" s="79" t="s">
        <v>1588</v>
      </c>
      <c r="F819" s="60" t="s">
        <v>1589</v>
      </c>
      <c r="P819" s="272"/>
    </row>
    <row r="820" spans="1:16" s="61" customFormat="1" ht="30" customHeight="1">
      <c r="A820" s="57">
        <v>221</v>
      </c>
      <c r="B820" s="63" t="s">
        <v>1749</v>
      </c>
      <c r="C820" s="124">
        <v>220</v>
      </c>
      <c r="D820" s="60"/>
      <c r="E820" s="79" t="s">
        <v>1588</v>
      </c>
      <c r="F820" s="60" t="s">
        <v>1589</v>
      </c>
      <c r="P820" s="272"/>
    </row>
    <row r="821" spans="1:16" s="61" customFormat="1" ht="30" customHeight="1">
      <c r="A821" s="57">
        <v>222</v>
      </c>
      <c r="B821" s="63" t="s">
        <v>169</v>
      </c>
      <c r="C821" s="124">
        <v>220</v>
      </c>
      <c r="D821" s="60"/>
      <c r="E821" s="79" t="s">
        <v>1588</v>
      </c>
      <c r="F821" s="60" t="s">
        <v>1589</v>
      </c>
      <c r="P821" s="272"/>
    </row>
    <row r="822" spans="1:16" s="61" customFormat="1" ht="30" customHeight="1">
      <c r="A822" s="57">
        <v>223</v>
      </c>
      <c r="B822" s="63" t="s">
        <v>857</v>
      </c>
      <c r="C822" s="124">
        <v>220</v>
      </c>
      <c r="D822" s="60"/>
      <c r="E822" s="79" t="s">
        <v>1588</v>
      </c>
      <c r="F822" s="60" t="s">
        <v>1589</v>
      </c>
      <c r="P822" s="272"/>
    </row>
    <row r="823" spans="1:16" s="61" customFormat="1" ht="30" customHeight="1">
      <c r="A823" s="57">
        <v>224</v>
      </c>
      <c r="B823" s="63" t="s">
        <v>1750</v>
      </c>
      <c r="C823" s="124">
        <v>220</v>
      </c>
      <c r="D823" s="60"/>
      <c r="E823" s="79" t="s">
        <v>1588</v>
      </c>
      <c r="F823" s="60" t="s">
        <v>1589</v>
      </c>
      <c r="P823" s="272"/>
    </row>
    <row r="824" spans="1:16" s="61" customFormat="1" ht="30" customHeight="1">
      <c r="A824" s="57">
        <v>225</v>
      </c>
      <c r="B824" s="63" t="s">
        <v>449</v>
      </c>
      <c r="C824" s="124">
        <v>220</v>
      </c>
      <c r="D824" s="60"/>
      <c r="E824" s="79" t="s">
        <v>1588</v>
      </c>
      <c r="F824" s="60" t="s">
        <v>1589</v>
      </c>
      <c r="P824" s="272"/>
    </row>
    <row r="825" spans="1:16" s="61" customFormat="1" ht="30" customHeight="1">
      <c r="A825" s="57">
        <v>226</v>
      </c>
      <c r="B825" s="63" t="s">
        <v>74</v>
      </c>
      <c r="C825" s="124">
        <v>220</v>
      </c>
      <c r="D825" s="60"/>
      <c r="E825" s="79" t="s">
        <v>1588</v>
      </c>
      <c r="F825" s="60" t="s">
        <v>1589</v>
      </c>
      <c r="P825" s="272"/>
    </row>
    <row r="826" spans="1:16" s="61" customFormat="1" ht="30" customHeight="1">
      <c r="A826" s="57">
        <v>227</v>
      </c>
      <c r="B826" s="63" t="s">
        <v>1751</v>
      </c>
      <c r="C826" s="124">
        <v>220</v>
      </c>
      <c r="D826" s="60"/>
      <c r="E826" s="79" t="s">
        <v>1588</v>
      </c>
      <c r="F826" s="60" t="s">
        <v>1589</v>
      </c>
      <c r="P826" s="272"/>
    </row>
    <row r="827" spans="1:16" s="61" customFormat="1" ht="30" customHeight="1">
      <c r="A827" s="57">
        <v>228</v>
      </c>
      <c r="B827" s="63" t="s">
        <v>1752</v>
      </c>
      <c r="C827" s="124">
        <v>220</v>
      </c>
      <c r="D827" s="60"/>
      <c r="E827" s="79" t="s">
        <v>1588</v>
      </c>
      <c r="F827" s="60" t="s">
        <v>1589</v>
      </c>
      <c r="P827" s="272"/>
    </row>
    <row r="828" spans="1:16" s="61" customFormat="1" ht="30" customHeight="1">
      <c r="A828" s="57">
        <v>229</v>
      </c>
      <c r="B828" s="63" t="s">
        <v>1753</v>
      </c>
      <c r="C828" s="124">
        <v>220</v>
      </c>
      <c r="D828" s="60"/>
      <c r="E828" s="79" t="s">
        <v>1588</v>
      </c>
      <c r="F828" s="60" t="s">
        <v>1589</v>
      </c>
      <c r="P828" s="272"/>
    </row>
    <row r="829" spans="1:16" s="61" customFormat="1" ht="30" customHeight="1">
      <c r="A829" s="57">
        <v>230</v>
      </c>
      <c r="B829" s="63" t="s">
        <v>1754</v>
      </c>
      <c r="C829" s="124">
        <v>220</v>
      </c>
      <c r="D829" s="60"/>
      <c r="E829" s="79" t="s">
        <v>1588</v>
      </c>
      <c r="F829" s="60" t="s">
        <v>1589</v>
      </c>
      <c r="P829" s="272"/>
    </row>
    <row r="830" spans="1:16" s="61" customFormat="1" ht="30" customHeight="1">
      <c r="A830" s="57">
        <v>231</v>
      </c>
      <c r="B830" s="63" t="s">
        <v>1755</v>
      </c>
      <c r="C830" s="124">
        <v>220</v>
      </c>
      <c r="D830" s="60"/>
      <c r="E830" s="79" t="s">
        <v>1588</v>
      </c>
      <c r="F830" s="60" t="s">
        <v>1589</v>
      </c>
      <c r="P830" s="272"/>
    </row>
    <row r="831" spans="1:16" s="61" customFormat="1" ht="30" customHeight="1">
      <c r="A831" s="57">
        <v>232</v>
      </c>
      <c r="B831" s="63" t="s">
        <v>1756</v>
      </c>
      <c r="C831" s="124">
        <v>220</v>
      </c>
      <c r="D831" s="60"/>
      <c r="E831" s="79" t="s">
        <v>1588</v>
      </c>
      <c r="F831" s="60" t="s">
        <v>1589</v>
      </c>
      <c r="P831" s="272"/>
    </row>
    <row r="832" spans="1:16" s="61" customFormat="1" ht="30" customHeight="1">
      <c r="A832" s="57">
        <v>233</v>
      </c>
      <c r="B832" s="63" t="s">
        <v>1757</v>
      </c>
      <c r="C832" s="124">
        <v>220</v>
      </c>
      <c r="D832" s="60"/>
      <c r="E832" s="79" t="s">
        <v>1588</v>
      </c>
      <c r="F832" s="60" t="s">
        <v>1589</v>
      </c>
      <c r="P832" s="272"/>
    </row>
    <row r="833" spans="1:16" s="61" customFormat="1" ht="30" customHeight="1">
      <c r="A833" s="57">
        <v>234</v>
      </c>
      <c r="B833" s="63" t="s">
        <v>338</v>
      </c>
      <c r="C833" s="124">
        <v>220</v>
      </c>
      <c r="D833" s="60"/>
      <c r="E833" s="79" t="s">
        <v>1588</v>
      </c>
      <c r="F833" s="60" t="s">
        <v>1589</v>
      </c>
      <c r="P833" s="272"/>
    </row>
    <row r="834" spans="1:16" s="61" customFormat="1" ht="30" customHeight="1">
      <c r="A834" s="57">
        <v>235</v>
      </c>
      <c r="B834" s="63" t="s">
        <v>1758</v>
      </c>
      <c r="C834" s="124">
        <v>220</v>
      </c>
      <c r="D834" s="60"/>
      <c r="E834" s="79" t="s">
        <v>1588</v>
      </c>
      <c r="F834" s="60" t="s">
        <v>1589</v>
      </c>
      <c r="P834" s="272"/>
    </row>
    <row r="835" spans="1:16" s="61" customFormat="1" ht="30" customHeight="1">
      <c r="A835" s="57">
        <v>236</v>
      </c>
      <c r="B835" s="63" t="s">
        <v>1759</v>
      </c>
      <c r="C835" s="124">
        <v>220</v>
      </c>
      <c r="D835" s="60"/>
      <c r="E835" s="79" t="s">
        <v>1588</v>
      </c>
      <c r="F835" s="60" t="s">
        <v>1589</v>
      </c>
      <c r="P835" s="272"/>
    </row>
    <row r="836" spans="1:16" s="61" customFormat="1" ht="30" customHeight="1">
      <c r="A836" s="57">
        <v>237</v>
      </c>
      <c r="B836" s="63" t="s">
        <v>954</v>
      </c>
      <c r="C836" s="124">
        <v>220</v>
      </c>
      <c r="D836" s="60"/>
      <c r="E836" s="79" t="s">
        <v>1588</v>
      </c>
      <c r="F836" s="60" t="s">
        <v>1589</v>
      </c>
      <c r="P836" s="272"/>
    </row>
    <row r="837" spans="1:16" s="61" customFormat="1" ht="30" customHeight="1">
      <c r="A837" s="57">
        <v>238</v>
      </c>
      <c r="B837" s="63" t="s">
        <v>1760</v>
      </c>
      <c r="C837" s="124">
        <v>220</v>
      </c>
      <c r="D837" s="60"/>
      <c r="E837" s="79" t="s">
        <v>1588</v>
      </c>
      <c r="F837" s="60" t="s">
        <v>1589</v>
      </c>
      <c r="P837" s="272"/>
    </row>
    <row r="838" spans="1:16" s="61" customFormat="1" ht="30" customHeight="1">
      <c r="A838" s="57">
        <v>239</v>
      </c>
      <c r="B838" s="63" t="s">
        <v>1761</v>
      </c>
      <c r="C838" s="124">
        <v>220</v>
      </c>
      <c r="D838" s="60"/>
      <c r="E838" s="79" t="s">
        <v>1588</v>
      </c>
      <c r="F838" s="60" t="s">
        <v>1589</v>
      </c>
      <c r="P838" s="272"/>
    </row>
    <row r="839" spans="1:16" s="61" customFormat="1" ht="30" customHeight="1">
      <c r="A839" s="57">
        <v>240</v>
      </c>
      <c r="B839" s="63" t="s">
        <v>82</v>
      </c>
      <c r="C839" s="124">
        <v>220</v>
      </c>
      <c r="D839" s="60"/>
      <c r="E839" s="79" t="s">
        <v>1588</v>
      </c>
      <c r="F839" s="60" t="s">
        <v>1589</v>
      </c>
      <c r="P839" s="272"/>
    </row>
    <row r="840" spans="1:16" s="61" customFormat="1" ht="30" customHeight="1">
      <c r="A840" s="57">
        <v>241</v>
      </c>
      <c r="B840" s="63" t="s">
        <v>1762</v>
      </c>
      <c r="C840" s="124">
        <v>220</v>
      </c>
      <c r="D840" s="60"/>
      <c r="E840" s="79" t="s">
        <v>1588</v>
      </c>
      <c r="F840" s="60" t="s">
        <v>1589</v>
      </c>
      <c r="P840" s="272"/>
    </row>
    <row r="841" spans="1:16" s="61" customFormat="1" ht="30" customHeight="1">
      <c r="A841" s="57">
        <v>242</v>
      </c>
      <c r="B841" s="63" t="s">
        <v>1763</v>
      </c>
      <c r="C841" s="124">
        <v>220</v>
      </c>
      <c r="D841" s="60"/>
      <c r="E841" s="79" t="s">
        <v>1588</v>
      </c>
      <c r="F841" s="60" t="s">
        <v>1589</v>
      </c>
      <c r="P841" s="272"/>
    </row>
    <row r="842" spans="1:16" s="61" customFormat="1" ht="30" customHeight="1">
      <c r="A842" s="57">
        <v>243</v>
      </c>
      <c r="B842" s="63" t="s">
        <v>1764</v>
      </c>
      <c r="C842" s="124">
        <v>220</v>
      </c>
      <c r="D842" s="60"/>
      <c r="E842" s="79" t="s">
        <v>1588</v>
      </c>
      <c r="F842" s="60" t="s">
        <v>1589</v>
      </c>
      <c r="P842" s="272"/>
    </row>
    <row r="843" spans="1:16" s="61" customFormat="1" ht="30" customHeight="1">
      <c r="A843" s="57">
        <v>244</v>
      </c>
      <c r="B843" s="63" t="s">
        <v>1765</v>
      </c>
      <c r="C843" s="124">
        <v>220</v>
      </c>
      <c r="D843" s="60"/>
      <c r="E843" s="79" t="s">
        <v>1588</v>
      </c>
      <c r="F843" s="60" t="s">
        <v>1589</v>
      </c>
      <c r="P843" s="272"/>
    </row>
    <row r="844" spans="1:16" s="61" customFormat="1" ht="30" customHeight="1">
      <c r="A844" s="57">
        <v>245</v>
      </c>
      <c r="B844" s="63" t="s">
        <v>967</v>
      </c>
      <c r="C844" s="124">
        <v>220</v>
      </c>
      <c r="D844" s="60"/>
      <c r="E844" s="79" t="s">
        <v>1588</v>
      </c>
      <c r="F844" s="60" t="s">
        <v>1589</v>
      </c>
      <c r="P844" s="272"/>
    </row>
    <row r="845" spans="1:16" s="61" customFormat="1" ht="30" customHeight="1">
      <c r="A845" s="57">
        <v>246</v>
      </c>
      <c r="B845" s="63" t="s">
        <v>722</v>
      </c>
      <c r="C845" s="124">
        <v>220</v>
      </c>
      <c r="D845" s="60"/>
      <c r="E845" s="79" t="s">
        <v>1588</v>
      </c>
      <c r="F845" s="60" t="s">
        <v>1589</v>
      </c>
      <c r="P845" s="272"/>
    </row>
    <row r="846" spans="1:16" s="61" customFormat="1" ht="30" customHeight="1">
      <c r="A846" s="57">
        <v>247</v>
      </c>
      <c r="B846" s="63" t="s">
        <v>1766</v>
      </c>
      <c r="C846" s="124">
        <v>220</v>
      </c>
      <c r="D846" s="60"/>
      <c r="E846" s="79" t="s">
        <v>1588</v>
      </c>
      <c r="F846" s="60" t="s">
        <v>1589</v>
      </c>
      <c r="P846" s="272"/>
    </row>
    <row r="847" spans="1:16" s="61" customFormat="1" ht="30" customHeight="1">
      <c r="A847" s="57">
        <v>248</v>
      </c>
      <c r="B847" s="63" t="s">
        <v>145</v>
      </c>
      <c r="C847" s="124">
        <v>220</v>
      </c>
      <c r="D847" s="60"/>
      <c r="E847" s="79" t="s">
        <v>1588</v>
      </c>
      <c r="F847" s="60" t="s">
        <v>1589</v>
      </c>
      <c r="P847" s="272"/>
    </row>
    <row r="848" spans="1:16" s="61" customFormat="1" ht="30" customHeight="1">
      <c r="A848" s="57">
        <v>249</v>
      </c>
      <c r="B848" s="63" t="s">
        <v>1767</v>
      </c>
      <c r="C848" s="124">
        <v>220</v>
      </c>
      <c r="D848" s="60"/>
      <c r="E848" s="79" t="s">
        <v>1588</v>
      </c>
      <c r="F848" s="60" t="s">
        <v>1589</v>
      </c>
      <c r="P848" s="272"/>
    </row>
    <row r="849" spans="1:16" s="61" customFormat="1" ht="30" customHeight="1">
      <c r="A849" s="57">
        <v>250</v>
      </c>
      <c r="B849" s="63" t="s">
        <v>872</v>
      </c>
      <c r="C849" s="124">
        <v>220</v>
      </c>
      <c r="D849" s="60"/>
      <c r="E849" s="79" t="s">
        <v>1588</v>
      </c>
      <c r="F849" s="60" t="s">
        <v>1589</v>
      </c>
      <c r="P849" s="272"/>
    </row>
    <row r="850" spans="1:16" s="61" customFormat="1" ht="30" customHeight="1">
      <c r="A850" s="57">
        <v>251</v>
      </c>
      <c r="B850" s="63" t="s">
        <v>1768</v>
      </c>
      <c r="C850" s="124">
        <v>220</v>
      </c>
      <c r="D850" s="60"/>
      <c r="E850" s="79" t="s">
        <v>1588</v>
      </c>
      <c r="F850" s="60" t="s">
        <v>1589</v>
      </c>
      <c r="P850" s="272"/>
    </row>
    <row r="851" spans="1:16" s="61" customFormat="1" ht="30" customHeight="1">
      <c r="A851" s="57">
        <v>252</v>
      </c>
      <c r="B851" s="63" t="s">
        <v>1769</v>
      </c>
      <c r="C851" s="124">
        <v>220</v>
      </c>
      <c r="D851" s="60"/>
      <c r="E851" s="79" t="s">
        <v>1588</v>
      </c>
      <c r="F851" s="60" t="s">
        <v>1589</v>
      </c>
      <c r="P851" s="272"/>
    </row>
    <row r="852" spans="1:16" s="61" customFormat="1" ht="30" customHeight="1">
      <c r="A852" s="57">
        <v>253</v>
      </c>
      <c r="B852" s="63" t="s">
        <v>1770</v>
      </c>
      <c r="C852" s="124">
        <v>220</v>
      </c>
      <c r="D852" s="60"/>
      <c r="E852" s="79" t="s">
        <v>1588</v>
      </c>
      <c r="F852" s="60" t="s">
        <v>1589</v>
      </c>
      <c r="P852" s="272"/>
    </row>
    <row r="853" spans="1:16" s="61" customFormat="1" ht="30" customHeight="1">
      <c r="A853" s="57">
        <v>254</v>
      </c>
      <c r="B853" s="63" t="s">
        <v>1771</v>
      </c>
      <c r="C853" s="124">
        <v>220</v>
      </c>
      <c r="D853" s="60"/>
      <c r="E853" s="79" t="s">
        <v>1588</v>
      </c>
      <c r="F853" s="60" t="s">
        <v>1589</v>
      </c>
      <c r="P853" s="272"/>
    </row>
    <row r="854" spans="1:16" s="61" customFormat="1" ht="30" customHeight="1">
      <c r="A854" s="57">
        <v>255</v>
      </c>
      <c r="B854" s="63" t="s">
        <v>788</v>
      </c>
      <c r="C854" s="124">
        <v>220</v>
      </c>
      <c r="D854" s="60"/>
      <c r="E854" s="79" t="s">
        <v>1588</v>
      </c>
      <c r="F854" s="60" t="s">
        <v>1589</v>
      </c>
      <c r="P854" s="272"/>
    </row>
    <row r="855" spans="1:16" s="61" customFormat="1" ht="30" customHeight="1">
      <c r="A855" s="57">
        <v>256</v>
      </c>
      <c r="B855" s="63" t="s">
        <v>1772</v>
      </c>
      <c r="C855" s="124">
        <v>220</v>
      </c>
      <c r="D855" s="60"/>
      <c r="E855" s="79" t="s">
        <v>1588</v>
      </c>
      <c r="F855" s="60" t="s">
        <v>1589</v>
      </c>
      <c r="P855" s="272"/>
    </row>
    <row r="856" spans="1:16" s="61" customFormat="1" ht="30" customHeight="1">
      <c r="A856" s="57">
        <v>257</v>
      </c>
      <c r="B856" s="63" t="s">
        <v>1773</v>
      </c>
      <c r="C856" s="124">
        <v>220</v>
      </c>
      <c r="D856" s="60"/>
      <c r="E856" s="79" t="s">
        <v>1588</v>
      </c>
      <c r="F856" s="60" t="s">
        <v>1589</v>
      </c>
      <c r="P856" s="272"/>
    </row>
    <row r="857" spans="1:16" s="61" customFormat="1" ht="30" customHeight="1">
      <c r="A857" s="57">
        <v>258</v>
      </c>
      <c r="B857" s="63" t="s">
        <v>576</v>
      </c>
      <c r="C857" s="124">
        <v>220</v>
      </c>
      <c r="D857" s="60"/>
      <c r="E857" s="79" t="s">
        <v>1588</v>
      </c>
      <c r="F857" s="60" t="s">
        <v>1589</v>
      </c>
      <c r="P857" s="272"/>
    </row>
    <row r="858" spans="1:16" s="61" customFormat="1" ht="30" customHeight="1">
      <c r="A858" s="57">
        <v>259</v>
      </c>
      <c r="B858" s="63" t="s">
        <v>1774</v>
      </c>
      <c r="C858" s="124">
        <v>220</v>
      </c>
      <c r="D858" s="60"/>
      <c r="E858" s="79" t="s">
        <v>1588</v>
      </c>
      <c r="F858" s="60" t="s">
        <v>1589</v>
      </c>
      <c r="P858" s="272"/>
    </row>
    <row r="859" spans="1:16" s="61" customFormat="1" ht="30" customHeight="1">
      <c r="A859" s="57">
        <v>260</v>
      </c>
      <c r="B859" s="63" t="s">
        <v>963</v>
      </c>
      <c r="C859" s="124">
        <v>220</v>
      </c>
      <c r="D859" s="60"/>
      <c r="E859" s="79" t="s">
        <v>1588</v>
      </c>
      <c r="F859" s="60" t="s">
        <v>1589</v>
      </c>
      <c r="P859" s="272"/>
    </row>
    <row r="860" spans="1:16" s="61" customFormat="1" ht="30" customHeight="1">
      <c r="A860" s="57">
        <v>261</v>
      </c>
      <c r="B860" s="63" t="s">
        <v>236</v>
      </c>
      <c r="C860" s="124">
        <v>220</v>
      </c>
      <c r="D860" s="60"/>
      <c r="E860" s="79" t="s">
        <v>1588</v>
      </c>
      <c r="F860" s="60" t="s">
        <v>1589</v>
      </c>
      <c r="P860" s="272"/>
    </row>
    <row r="861" spans="1:16" s="61" customFormat="1" ht="30" customHeight="1">
      <c r="A861" s="57">
        <v>262</v>
      </c>
      <c r="B861" s="63" t="s">
        <v>858</v>
      </c>
      <c r="C861" s="124">
        <v>220</v>
      </c>
      <c r="D861" s="60"/>
      <c r="E861" s="79" t="s">
        <v>1588</v>
      </c>
      <c r="F861" s="60" t="s">
        <v>1589</v>
      </c>
      <c r="P861" s="272"/>
    </row>
    <row r="862" spans="1:16" s="61" customFormat="1" ht="30" customHeight="1">
      <c r="A862" s="57">
        <v>263</v>
      </c>
      <c r="B862" s="63" t="s">
        <v>649</v>
      </c>
      <c r="C862" s="124">
        <v>220</v>
      </c>
      <c r="D862" s="60"/>
      <c r="E862" s="79" t="s">
        <v>1588</v>
      </c>
      <c r="F862" s="60" t="s">
        <v>1589</v>
      </c>
      <c r="P862" s="272"/>
    </row>
    <row r="863" spans="1:16" s="61" customFormat="1" ht="30" customHeight="1">
      <c r="A863" s="57">
        <v>264</v>
      </c>
      <c r="B863" s="63" t="s">
        <v>1775</v>
      </c>
      <c r="C863" s="124">
        <v>220</v>
      </c>
      <c r="D863" s="60"/>
      <c r="E863" s="79" t="s">
        <v>1588</v>
      </c>
      <c r="F863" s="60" t="s">
        <v>1589</v>
      </c>
      <c r="P863" s="272"/>
    </row>
    <row r="864" spans="1:16" s="61" customFormat="1" ht="30" customHeight="1">
      <c r="A864" s="57">
        <v>265</v>
      </c>
      <c r="B864" s="63" t="s">
        <v>590</v>
      </c>
      <c r="C864" s="124">
        <v>220</v>
      </c>
      <c r="D864" s="60"/>
      <c r="E864" s="79" t="s">
        <v>1588</v>
      </c>
      <c r="F864" s="60" t="s">
        <v>1589</v>
      </c>
      <c r="P864" s="272"/>
    </row>
    <row r="865" spans="1:16" s="61" customFormat="1" ht="30" customHeight="1">
      <c r="A865" s="57">
        <v>266</v>
      </c>
      <c r="B865" s="63" t="s">
        <v>309</v>
      </c>
      <c r="C865" s="124">
        <v>220</v>
      </c>
      <c r="D865" s="60"/>
      <c r="E865" s="79" t="s">
        <v>1588</v>
      </c>
      <c r="F865" s="60" t="s">
        <v>1589</v>
      </c>
      <c r="P865" s="272"/>
    </row>
    <row r="866" spans="1:16" s="61" customFormat="1" ht="30" customHeight="1">
      <c r="A866" s="57">
        <v>267</v>
      </c>
      <c r="B866" s="63" t="s">
        <v>171</v>
      </c>
      <c r="C866" s="124">
        <v>220</v>
      </c>
      <c r="D866" s="60"/>
      <c r="E866" s="79" t="s">
        <v>1588</v>
      </c>
      <c r="F866" s="60" t="s">
        <v>1589</v>
      </c>
      <c r="P866" s="272"/>
    </row>
    <row r="867" spans="1:16" s="61" customFormat="1" ht="30" customHeight="1">
      <c r="A867" s="57">
        <v>268</v>
      </c>
      <c r="B867" s="63" t="s">
        <v>446</v>
      </c>
      <c r="C867" s="124">
        <v>220</v>
      </c>
      <c r="D867" s="60"/>
      <c r="E867" s="79" t="s">
        <v>1588</v>
      </c>
      <c r="F867" s="60" t="s">
        <v>1589</v>
      </c>
      <c r="P867" s="272"/>
    </row>
    <row r="868" spans="1:16" s="61" customFormat="1" ht="30" customHeight="1">
      <c r="A868" s="57">
        <v>269</v>
      </c>
      <c r="B868" s="63" t="s">
        <v>1776</v>
      </c>
      <c r="C868" s="124">
        <v>220</v>
      </c>
      <c r="D868" s="60"/>
      <c r="E868" s="79" t="s">
        <v>1588</v>
      </c>
      <c r="F868" s="60" t="s">
        <v>1589</v>
      </c>
      <c r="P868" s="272"/>
    </row>
    <row r="869" spans="1:16" s="61" customFormat="1" ht="30" customHeight="1">
      <c r="A869" s="57">
        <v>270</v>
      </c>
      <c r="B869" s="63" t="s">
        <v>830</v>
      </c>
      <c r="C869" s="124">
        <v>220</v>
      </c>
      <c r="D869" s="60"/>
      <c r="E869" s="79" t="s">
        <v>1588</v>
      </c>
      <c r="F869" s="60" t="s">
        <v>1589</v>
      </c>
      <c r="P869" s="272"/>
    </row>
    <row r="870" spans="1:16" s="61" customFormat="1" ht="30" customHeight="1">
      <c r="A870" s="57">
        <v>271</v>
      </c>
      <c r="B870" s="63" t="s">
        <v>1777</v>
      </c>
      <c r="C870" s="124">
        <v>220</v>
      </c>
      <c r="D870" s="60"/>
      <c r="E870" s="79" t="s">
        <v>1588</v>
      </c>
      <c r="F870" s="60" t="s">
        <v>1589</v>
      </c>
      <c r="P870" s="272"/>
    </row>
    <row r="871" spans="1:16" s="61" customFormat="1" ht="30" customHeight="1">
      <c r="A871" s="57">
        <v>272</v>
      </c>
      <c r="B871" s="63" t="s">
        <v>1778</v>
      </c>
      <c r="C871" s="124">
        <v>220</v>
      </c>
      <c r="D871" s="60"/>
      <c r="E871" s="79" t="s">
        <v>1588</v>
      </c>
      <c r="F871" s="60" t="s">
        <v>1589</v>
      </c>
      <c r="P871" s="272"/>
    </row>
    <row r="872" spans="1:16" s="61" customFormat="1" ht="30" customHeight="1">
      <c r="A872" s="57">
        <v>273</v>
      </c>
      <c r="B872" s="63" t="s">
        <v>1779</v>
      </c>
      <c r="C872" s="124">
        <v>220</v>
      </c>
      <c r="D872" s="60"/>
      <c r="E872" s="79" t="s">
        <v>1588</v>
      </c>
      <c r="F872" s="60" t="s">
        <v>1589</v>
      </c>
      <c r="P872" s="272"/>
    </row>
    <row r="873" spans="1:16" s="61" customFormat="1" ht="30" customHeight="1">
      <c r="A873" s="57">
        <v>274</v>
      </c>
      <c r="B873" s="63" t="s">
        <v>908</v>
      </c>
      <c r="C873" s="124">
        <v>220</v>
      </c>
      <c r="D873" s="60"/>
      <c r="E873" s="79" t="s">
        <v>1588</v>
      </c>
      <c r="F873" s="60" t="s">
        <v>1589</v>
      </c>
      <c r="P873" s="272"/>
    </row>
    <row r="874" spans="1:16" s="61" customFormat="1" ht="30" customHeight="1">
      <c r="A874" s="57">
        <v>275</v>
      </c>
      <c r="B874" s="63" t="s">
        <v>290</v>
      </c>
      <c r="C874" s="124">
        <v>220</v>
      </c>
      <c r="D874" s="60"/>
      <c r="E874" s="79" t="s">
        <v>1588</v>
      </c>
      <c r="F874" s="60" t="s">
        <v>1589</v>
      </c>
      <c r="P874" s="272"/>
    </row>
    <row r="875" spans="1:16" s="61" customFormat="1" ht="30" customHeight="1">
      <c r="A875" s="57">
        <v>276</v>
      </c>
      <c r="B875" s="63" t="s">
        <v>1780</v>
      </c>
      <c r="C875" s="124">
        <v>220</v>
      </c>
      <c r="D875" s="60"/>
      <c r="E875" s="79" t="s">
        <v>1588</v>
      </c>
      <c r="F875" s="60" t="s">
        <v>1589</v>
      </c>
      <c r="P875" s="272"/>
    </row>
    <row r="876" spans="1:16" s="61" customFormat="1" ht="30" customHeight="1">
      <c r="A876" s="57">
        <v>277</v>
      </c>
      <c r="B876" s="63" t="s">
        <v>1781</v>
      </c>
      <c r="C876" s="124">
        <v>220</v>
      </c>
      <c r="D876" s="60"/>
      <c r="E876" s="79" t="s">
        <v>1588</v>
      </c>
      <c r="F876" s="60" t="s">
        <v>1589</v>
      </c>
      <c r="P876" s="272"/>
    </row>
    <row r="877" spans="1:16" s="61" customFormat="1" ht="30" customHeight="1">
      <c r="A877" s="57">
        <v>278</v>
      </c>
      <c r="B877" s="63" t="s">
        <v>385</v>
      </c>
      <c r="C877" s="124">
        <v>220</v>
      </c>
      <c r="D877" s="60"/>
      <c r="E877" s="79" t="s">
        <v>1588</v>
      </c>
      <c r="F877" s="60" t="s">
        <v>1589</v>
      </c>
      <c r="P877" s="272"/>
    </row>
    <row r="878" spans="1:16" s="61" customFormat="1" ht="30" customHeight="1">
      <c r="A878" s="57">
        <v>279</v>
      </c>
      <c r="B878" s="63" t="s">
        <v>889</v>
      </c>
      <c r="C878" s="124">
        <v>220</v>
      </c>
      <c r="D878" s="60"/>
      <c r="E878" s="79" t="s">
        <v>1588</v>
      </c>
      <c r="F878" s="60" t="s">
        <v>1589</v>
      </c>
      <c r="P878" s="272"/>
    </row>
    <row r="879" spans="1:16" s="61" customFormat="1" ht="30" customHeight="1">
      <c r="A879" s="57">
        <v>280</v>
      </c>
      <c r="B879" s="63" t="s">
        <v>1782</v>
      </c>
      <c r="C879" s="124">
        <v>220</v>
      </c>
      <c r="D879" s="60"/>
      <c r="E879" s="79" t="s">
        <v>1588</v>
      </c>
      <c r="F879" s="60" t="s">
        <v>1589</v>
      </c>
      <c r="P879" s="272"/>
    </row>
    <row r="880" spans="1:16" s="61" customFormat="1" ht="30" customHeight="1">
      <c r="A880" s="57">
        <v>281</v>
      </c>
      <c r="B880" s="63" t="s">
        <v>1783</v>
      </c>
      <c r="C880" s="124">
        <v>220</v>
      </c>
      <c r="D880" s="60"/>
      <c r="E880" s="79" t="s">
        <v>1588</v>
      </c>
      <c r="F880" s="60" t="s">
        <v>1589</v>
      </c>
      <c r="P880" s="272"/>
    </row>
    <row r="881" spans="1:16" s="61" customFormat="1" ht="30" customHeight="1">
      <c r="A881" s="57">
        <v>282</v>
      </c>
      <c r="B881" s="63" t="s">
        <v>1784</v>
      </c>
      <c r="C881" s="124">
        <v>220</v>
      </c>
      <c r="D881" s="60"/>
      <c r="E881" s="79" t="s">
        <v>1588</v>
      </c>
      <c r="F881" s="60" t="s">
        <v>1589</v>
      </c>
      <c r="P881" s="272"/>
    </row>
    <row r="882" spans="1:16" s="61" customFormat="1" ht="30" customHeight="1">
      <c r="A882" s="57">
        <v>283</v>
      </c>
      <c r="B882" s="63" t="s">
        <v>1785</v>
      </c>
      <c r="C882" s="124">
        <v>220</v>
      </c>
      <c r="D882" s="60"/>
      <c r="E882" s="79" t="s">
        <v>1588</v>
      </c>
      <c r="F882" s="60" t="s">
        <v>1589</v>
      </c>
      <c r="P882" s="272"/>
    </row>
    <row r="883" spans="1:16" s="61" customFormat="1" ht="30" customHeight="1">
      <c r="A883" s="57">
        <v>284</v>
      </c>
      <c r="B883" s="63" t="s">
        <v>1786</v>
      </c>
      <c r="C883" s="124">
        <v>220</v>
      </c>
      <c r="D883" s="60"/>
      <c r="E883" s="79" t="s">
        <v>1588</v>
      </c>
      <c r="F883" s="60" t="s">
        <v>1589</v>
      </c>
      <c r="P883" s="272"/>
    </row>
    <row r="884" spans="1:16" s="61" customFormat="1" ht="30" customHeight="1">
      <c r="A884" s="57">
        <v>285</v>
      </c>
      <c r="B884" s="63" t="s">
        <v>1787</v>
      </c>
      <c r="C884" s="124">
        <v>260</v>
      </c>
      <c r="D884" s="60"/>
      <c r="E884" s="79" t="s">
        <v>1588</v>
      </c>
      <c r="F884" s="60" t="s">
        <v>1589</v>
      </c>
      <c r="P884" s="272"/>
    </row>
    <row r="885" spans="1:16" s="61" customFormat="1" ht="30" customHeight="1">
      <c r="A885" s="57">
        <v>286</v>
      </c>
      <c r="B885" s="63" t="s">
        <v>1788</v>
      </c>
      <c r="C885" s="124">
        <v>260</v>
      </c>
      <c r="D885" s="60"/>
      <c r="E885" s="79" t="s">
        <v>1588</v>
      </c>
      <c r="F885" s="60" t="s">
        <v>1589</v>
      </c>
      <c r="P885" s="272"/>
    </row>
    <row r="886" spans="1:16" s="61" customFormat="1" ht="30" customHeight="1">
      <c r="A886" s="57">
        <v>287</v>
      </c>
      <c r="B886" s="63" t="s">
        <v>1789</v>
      </c>
      <c r="C886" s="124">
        <v>260</v>
      </c>
      <c r="D886" s="60"/>
      <c r="E886" s="79" t="s">
        <v>1588</v>
      </c>
      <c r="F886" s="60" t="s">
        <v>1589</v>
      </c>
      <c r="P886" s="272"/>
    </row>
    <row r="887" spans="1:16" s="61" customFormat="1" ht="30" customHeight="1">
      <c r="A887" s="57">
        <v>288</v>
      </c>
      <c r="B887" s="63" t="s">
        <v>1790</v>
      </c>
      <c r="C887" s="124">
        <v>260</v>
      </c>
      <c r="D887" s="60"/>
      <c r="E887" s="79" t="s">
        <v>1588</v>
      </c>
      <c r="F887" s="60" t="s">
        <v>1589</v>
      </c>
      <c r="P887" s="272"/>
    </row>
    <row r="888" spans="1:16" s="61" customFormat="1" ht="30" customHeight="1">
      <c r="A888" s="57">
        <v>289</v>
      </c>
      <c r="B888" s="63" t="s">
        <v>1791</v>
      </c>
      <c r="C888" s="124">
        <v>260</v>
      </c>
      <c r="D888" s="60"/>
      <c r="E888" s="79" t="s">
        <v>1588</v>
      </c>
      <c r="F888" s="60" t="s">
        <v>1589</v>
      </c>
      <c r="P888" s="272"/>
    </row>
    <row r="889" spans="1:16" s="61" customFormat="1" ht="30" customHeight="1">
      <c r="A889" s="57">
        <v>290</v>
      </c>
      <c r="B889" s="63" t="s">
        <v>1792</v>
      </c>
      <c r="C889" s="124">
        <v>260</v>
      </c>
      <c r="D889" s="60"/>
      <c r="E889" s="79" t="s">
        <v>1588</v>
      </c>
      <c r="F889" s="60" t="s">
        <v>1589</v>
      </c>
      <c r="P889" s="272"/>
    </row>
    <row r="890" spans="1:16" s="61" customFormat="1" ht="30" customHeight="1">
      <c r="A890" s="57">
        <v>291</v>
      </c>
      <c r="B890" s="63" t="s">
        <v>1793</v>
      </c>
      <c r="C890" s="124">
        <v>260</v>
      </c>
      <c r="D890" s="60"/>
      <c r="E890" s="79" t="s">
        <v>1588</v>
      </c>
      <c r="F890" s="60" t="s">
        <v>1589</v>
      </c>
      <c r="P890" s="272"/>
    </row>
    <row r="891" spans="1:16" s="61" customFormat="1" ht="30" customHeight="1">
      <c r="A891" s="57">
        <v>292</v>
      </c>
      <c r="B891" s="63" t="s">
        <v>869</v>
      </c>
      <c r="C891" s="124">
        <v>260</v>
      </c>
      <c r="D891" s="60"/>
      <c r="E891" s="79" t="s">
        <v>1588</v>
      </c>
      <c r="F891" s="60" t="s">
        <v>1589</v>
      </c>
      <c r="P891" s="272"/>
    </row>
    <row r="892" spans="1:16" s="61" customFormat="1" ht="30" customHeight="1">
      <c r="A892" s="57">
        <v>293</v>
      </c>
      <c r="B892" s="63" t="s">
        <v>1794</v>
      </c>
      <c r="C892" s="124">
        <v>260</v>
      </c>
      <c r="D892" s="60"/>
      <c r="E892" s="79" t="s">
        <v>1588</v>
      </c>
      <c r="F892" s="60" t="s">
        <v>1589</v>
      </c>
      <c r="P892" s="272"/>
    </row>
    <row r="893" spans="1:16" s="61" customFormat="1" ht="30" customHeight="1">
      <c r="A893" s="57">
        <v>294</v>
      </c>
      <c r="B893" s="63" t="s">
        <v>1795</v>
      </c>
      <c r="C893" s="124">
        <v>260</v>
      </c>
      <c r="D893" s="60"/>
      <c r="E893" s="79" t="s">
        <v>1588</v>
      </c>
      <c r="F893" s="60" t="s">
        <v>1589</v>
      </c>
      <c r="P893" s="272"/>
    </row>
    <row r="894" spans="1:16" s="61" customFormat="1" ht="30" customHeight="1">
      <c r="A894" s="57">
        <v>295</v>
      </c>
      <c r="B894" s="63" t="s">
        <v>1796</v>
      </c>
      <c r="C894" s="124">
        <v>260</v>
      </c>
      <c r="D894" s="60"/>
      <c r="E894" s="79" t="s">
        <v>1588</v>
      </c>
      <c r="F894" s="60" t="s">
        <v>1589</v>
      </c>
      <c r="P894" s="272"/>
    </row>
    <row r="895" spans="1:16" s="61" customFormat="1" ht="30" customHeight="1">
      <c r="A895" s="57">
        <v>296</v>
      </c>
      <c r="B895" s="63" t="s">
        <v>686</v>
      </c>
      <c r="C895" s="124">
        <v>305</v>
      </c>
      <c r="D895" s="60"/>
      <c r="E895" s="79" t="s">
        <v>1588</v>
      </c>
      <c r="F895" s="60" t="s">
        <v>1589</v>
      </c>
      <c r="P895" s="272"/>
    </row>
    <row r="896" spans="1:16" s="61" customFormat="1" ht="30" customHeight="1">
      <c r="A896" s="57">
        <v>297</v>
      </c>
      <c r="B896" s="63" t="s">
        <v>855</v>
      </c>
      <c r="C896" s="124">
        <v>305</v>
      </c>
      <c r="D896" s="60"/>
      <c r="E896" s="79" t="s">
        <v>1588</v>
      </c>
      <c r="F896" s="60" t="s">
        <v>1589</v>
      </c>
      <c r="P896" s="272"/>
    </row>
    <row r="897" spans="1:16" s="61" customFormat="1" ht="30" customHeight="1">
      <c r="A897" s="57">
        <v>298</v>
      </c>
      <c r="B897" s="63" t="s">
        <v>1797</v>
      </c>
      <c r="C897" s="124">
        <v>305</v>
      </c>
      <c r="D897" s="60"/>
      <c r="E897" s="79" t="s">
        <v>1588</v>
      </c>
      <c r="F897" s="60" t="s">
        <v>1589</v>
      </c>
      <c r="P897" s="272"/>
    </row>
    <row r="898" spans="1:16" s="61" customFormat="1" ht="30" customHeight="1">
      <c r="A898" s="57">
        <v>299</v>
      </c>
      <c r="B898" s="63" t="s">
        <v>340</v>
      </c>
      <c r="C898" s="124">
        <v>322</v>
      </c>
      <c r="D898" s="60"/>
      <c r="E898" s="79" t="s">
        <v>1588</v>
      </c>
      <c r="F898" s="60" t="s">
        <v>1589</v>
      </c>
      <c r="P898" s="272"/>
    </row>
    <row r="899" spans="1:16" s="61" customFormat="1" ht="30" customHeight="1">
      <c r="A899" s="57">
        <v>300</v>
      </c>
      <c r="B899" s="63" t="s">
        <v>864</v>
      </c>
      <c r="C899" s="124">
        <v>345</v>
      </c>
      <c r="D899" s="60"/>
      <c r="E899" s="79" t="s">
        <v>1588</v>
      </c>
      <c r="F899" s="60" t="s">
        <v>1589</v>
      </c>
      <c r="P899" s="272"/>
    </row>
    <row r="900" spans="1:16" s="61" customFormat="1" ht="30" customHeight="1">
      <c r="A900" s="57">
        <v>301</v>
      </c>
      <c r="B900" s="63" t="s">
        <v>782</v>
      </c>
      <c r="C900" s="124">
        <v>345</v>
      </c>
      <c r="D900" s="60"/>
      <c r="E900" s="79" t="s">
        <v>1588</v>
      </c>
      <c r="F900" s="60" t="s">
        <v>1589</v>
      </c>
      <c r="P900" s="272"/>
    </row>
    <row r="901" spans="1:16" s="61" customFormat="1" ht="30" customHeight="1">
      <c r="A901" s="57">
        <v>302</v>
      </c>
      <c r="B901" s="63" t="s">
        <v>1042</v>
      </c>
      <c r="C901" s="124">
        <v>345</v>
      </c>
      <c r="D901" s="60"/>
      <c r="E901" s="79" t="s">
        <v>1588</v>
      </c>
      <c r="F901" s="60" t="s">
        <v>1589</v>
      </c>
      <c r="P901" s="272"/>
    </row>
    <row r="902" spans="1:16" s="61" customFormat="1" ht="30" customHeight="1">
      <c r="A902" s="57">
        <v>303</v>
      </c>
      <c r="B902" s="63" t="s">
        <v>656</v>
      </c>
      <c r="C902" s="124">
        <v>470</v>
      </c>
      <c r="D902" s="60"/>
      <c r="E902" s="79" t="s">
        <v>1588</v>
      </c>
      <c r="F902" s="60" t="s">
        <v>1589</v>
      </c>
      <c r="P902" s="272"/>
    </row>
    <row r="903" spans="1:16" s="61" customFormat="1" ht="30" customHeight="1">
      <c r="A903" s="68"/>
      <c r="B903" s="252" t="s">
        <v>1045</v>
      </c>
      <c r="C903" s="239">
        <f>SUM(C600:C902)</f>
        <v>61654</v>
      </c>
      <c r="D903" s="105"/>
      <c r="E903" s="70"/>
      <c r="F903" s="71"/>
      <c r="P903" s="272"/>
    </row>
    <row r="904" spans="1:16" s="61" customFormat="1" ht="30" customHeight="1">
      <c r="A904" s="72"/>
      <c r="B904" s="117"/>
      <c r="C904" s="73"/>
      <c r="E904" s="75"/>
      <c r="I904" s="75"/>
      <c r="P904" s="272"/>
    </row>
    <row r="905" spans="1:16" s="61" customFormat="1" ht="30" customHeight="1">
      <c r="A905" s="68"/>
      <c r="B905" s="285" t="s">
        <v>3691</v>
      </c>
      <c r="C905" s="244"/>
      <c r="D905" s="105"/>
      <c r="E905" s="70"/>
      <c r="F905" s="71"/>
      <c r="I905" s="75"/>
      <c r="P905" s="272"/>
    </row>
    <row r="906" spans="1:16" s="61" customFormat="1" ht="30" customHeight="1">
      <c r="A906" s="57">
        <v>1</v>
      </c>
      <c r="B906" s="63" t="s">
        <v>1798</v>
      </c>
      <c r="C906" s="124">
        <v>180</v>
      </c>
      <c r="D906" s="60"/>
      <c r="E906" s="79" t="s">
        <v>1588</v>
      </c>
      <c r="F906" s="60" t="s">
        <v>1589</v>
      </c>
      <c r="G906" s="90"/>
      <c r="H906" s="77"/>
      <c r="I906" s="75"/>
      <c r="P906" s="272"/>
    </row>
    <row r="907" spans="1:16" s="61" customFormat="1" ht="30" customHeight="1">
      <c r="A907" s="57">
        <v>2</v>
      </c>
      <c r="B907" s="63" t="s">
        <v>832</v>
      </c>
      <c r="C907" s="87">
        <v>180</v>
      </c>
      <c r="D907" s="83"/>
      <c r="E907" s="87" t="s">
        <v>1588</v>
      </c>
      <c r="F907" s="83" t="s">
        <v>1589</v>
      </c>
      <c r="I907" s="75"/>
      <c r="P907" s="272"/>
    </row>
    <row r="908" spans="1:16" s="61" customFormat="1" ht="30" customHeight="1">
      <c r="A908" s="57">
        <v>3</v>
      </c>
      <c r="B908" s="63" t="s">
        <v>1799</v>
      </c>
      <c r="C908" s="124">
        <v>180</v>
      </c>
      <c r="D908" s="60"/>
      <c r="E908" s="79" t="s">
        <v>1588</v>
      </c>
      <c r="F908" s="60" t="s">
        <v>1589</v>
      </c>
      <c r="I908" s="75"/>
      <c r="P908" s="272"/>
    </row>
    <row r="909" spans="1:16" s="61" customFormat="1" ht="30" customHeight="1">
      <c r="A909" s="57">
        <v>4</v>
      </c>
      <c r="B909" s="63" t="s">
        <v>1800</v>
      </c>
      <c r="C909" s="124">
        <v>180</v>
      </c>
      <c r="D909" s="60"/>
      <c r="E909" s="79" t="s">
        <v>1588</v>
      </c>
      <c r="F909" s="60" t="s">
        <v>1589</v>
      </c>
      <c r="P909" s="272"/>
    </row>
    <row r="910" spans="1:16" s="61" customFormat="1" ht="30" customHeight="1">
      <c r="A910" s="57">
        <v>5</v>
      </c>
      <c r="B910" s="63" t="s">
        <v>1801</v>
      </c>
      <c r="C910" s="124">
        <v>180</v>
      </c>
      <c r="D910" s="60"/>
      <c r="E910" s="79" t="s">
        <v>1588</v>
      </c>
      <c r="F910" s="60" t="s">
        <v>1589</v>
      </c>
      <c r="P910" s="272"/>
    </row>
    <row r="911" spans="1:16" s="61" customFormat="1" ht="30" customHeight="1">
      <c r="A911" s="57">
        <v>6</v>
      </c>
      <c r="B911" s="63" t="s">
        <v>1802</v>
      </c>
      <c r="C911" s="124">
        <v>180</v>
      </c>
      <c r="D911" s="60"/>
      <c r="E911" s="79" t="s">
        <v>1588</v>
      </c>
      <c r="F911" s="60" t="s">
        <v>1589</v>
      </c>
      <c r="P911" s="272"/>
    </row>
    <row r="912" spans="1:16" s="61" customFormat="1" ht="30" customHeight="1">
      <c r="A912" s="57">
        <v>7</v>
      </c>
      <c r="B912" s="63" t="s">
        <v>1803</v>
      </c>
      <c r="C912" s="124">
        <v>180</v>
      </c>
      <c r="D912" s="60"/>
      <c r="E912" s="79" t="s">
        <v>1588</v>
      </c>
      <c r="F912" s="60" t="s">
        <v>1589</v>
      </c>
      <c r="G912" s="78"/>
      <c r="P912" s="272"/>
    </row>
    <row r="913" spans="1:16" s="61" customFormat="1" ht="30" customHeight="1">
      <c r="A913" s="57">
        <v>8</v>
      </c>
      <c r="B913" s="63" t="s">
        <v>1804</v>
      </c>
      <c r="C913" s="124">
        <v>180</v>
      </c>
      <c r="D913" s="60"/>
      <c r="E913" s="79" t="s">
        <v>1588</v>
      </c>
      <c r="F913" s="60" t="s">
        <v>1589</v>
      </c>
      <c r="P913" s="272"/>
    </row>
    <row r="914" spans="1:16" s="61" customFormat="1" ht="30" customHeight="1">
      <c r="A914" s="57">
        <v>9</v>
      </c>
      <c r="B914" s="63" t="s">
        <v>1805</v>
      </c>
      <c r="C914" s="124">
        <v>180</v>
      </c>
      <c r="D914" s="60"/>
      <c r="E914" s="79" t="s">
        <v>1588</v>
      </c>
      <c r="F914" s="60" t="s">
        <v>1589</v>
      </c>
      <c r="P914" s="272"/>
    </row>
    <row r="915" spans="1:16" s="61" customFormat="1" ht="30" customHeight="1">
      <c r="A915" s="57">
        <v>10</v>
      </c>
      <c r="B915" s="63" t="s">
        <v>1806</v>
      </c>
      <c r="C915" s="124">
        <v>180</v>
      </c>
      <c r="D915" s="60"/>
      <c r="E915" s="79" t="s">
        <v>1588</v>
      </c>
      <c r="F915" s="60" t="s">
        <v>1589</v>
      </c>
      <c r="H915" s="78"/>
      <c r="I915" s="78"/>
      <c r="J915" s="78"/>
      <c r="K915" s="78"/>
      <c r="P915" s="272"/>
    </row>
    <row r="916" spans="1:16" s="61" customFormat="1" ht="30" customHeight="1">
      <c r="A916" s="57">
        <v>11</v>
      </c>
      <c r="B916" s="63" t="s">
        <v>1807</v>
      </c>
      <c r="C916" s="124">
        <v>180</v>
      </c>
      <c r="D916" s="60"/>
      <c r="E916" s="79" t="s">
        <v>1588</v>
      </c>
      <c r="F916" s="60" t="s">
        <v>1589</v>
      </c>
      <c r="P916" s="272"/>
    </row>
    <row r="917" spans="1:16" s="61" customFormat="1" ht="30" customHeight="1">
      <c r="A917" s="57">
        <v>12</v>
      </c>
      <c r="B917" s="63" t="s">
        <v>1808</v>
      </c>
      <c r="C917" s="124">
        <v>180</v>
      </c>
      <c r="D917" s="60"/>
      <c r="E917" s="79" t="s">
        <v>1588</v>
      </c>
      <c r="F917" s="60" t="s">
        <v>1589</v>
      </c>
      <c r="P917" s="272"/>
    </row>
    <row r="918" spans="1:16" s="61" customFormat="1" ht="30" customHeight="1">
      <c r="A918" s="57">
        <v>13</v>
      </c>
      <c r="B918" s="63" t="s">
        <v>1809</v>
      </c>
      <c r="C918" s="124">
        <v>215</v>
      </c>
      <c r="D918" s="60"/>
      <c r="E918" s="79" t="s">
        <v>1588</v>
      </c>
      <c r="F918" s="60" t="s">
        <v>1589</v>
      </c>
      <c r="P918" s="272"/>
    </row>
    <row r="919" spans="1:16" s="61" customFormat="1" ht="30" customHeight="1">
      <c r="A919" s="57">
        <v>14</v>
      </c>
      <c r="B919" s="63" t="s">
        <v>1810</v>
      </c>
      <c r="C919" s="124">
        <v>215</v>
      </c>
      <c r="D919" s="60"/>
      <c r="E919" s="79" t="s">
        <v>1588</v>
      </c>
      <c r="F919" s="60" t="s">
        <v>1589</v>
      </c>
      <c r="P919" s="272"/>
    </row>
    <row r="920" spans="1:16" s="61" customFormat="1" ht="30" customHeight="1">
      <c r="A920" s="57">
        <v>15</v>
      </c>
      <c r="B920" s="63" t="s">
        <v>1811</v>
      </c>
      <c r="C920" s="124">
        <v>215</v>
      </c>
      <c r="D920" s="60"/>
      <c r="E920" s="79" t="s">
        <v>1588</v>
      </c>
      <c r="F920" s="60" t="s">
        <v>1589</v>
      </c>
      <c r="P920" s="272"/>
    </row>
    <row r="921" spans="1:16" s="61" customFormat="1" ht="30" customHeight="1">
      <c r="A921" s="57">
        <v>16</v>
      </c>
      <c r="B921" s="63" t="s">
        <v>1812</v>
      </c>
      <c r="C921" s="87">
        <v>305</v>
      </c>
      <c r="D921" s="83"/>
      <c r="E921" s="87" t="s">
        <v>1588</v>
      </c>
      <c r="F921" s="83" t="s">
        <v>1589</v>
      </c>
      <c r="P921" s="272"/>
    </row>
    <row r="922" spans="1:16" s="61" customFormat="1" ht="30" customHeight="1">
      <c r="A922" s="121"/>
      <c r="B922" s="251" t="s">
        <v>1045</v>
      </c>
      <c r="C922" s="240">
        <f>SUM(C906:C921)</f>
        <v>3110</v>
      </c>
      <c r="D922" s="106"/>
      <c r="E922" s="107"/>
      <c r="F922" s="108"/>
      <c r="P922" s="272"/>
    </row>
    <row r="923" spans="1:16" s="61" customFormat="1" ht="30" customHeight="1">
      <c r="A923" s="122"/>
      <c r="B923" s="253" t="s">
        <v>3692</v>
      </c>
      <c r="C923" s="286">
        <f>SUM(C903,C922)</f>
        <v>64764</v>
      </c>
      <c r="D923" s="109"/>
      <c r="E923" s="110"/>
      <c r="F923" s="111"/>
      <c r="P923" s="272"/>
    </row>
    <row r="924" spans="1:16" s="61" customFormat="1" ht="30" customHeight="1">
      <c r="A924" s="102"/>
      <c r="B924" s="78"/>
      <c r="C924" s="103"/>
      <c r="D924" s="78"/>
      <c r="E924" s="101"/>
      <c r="F924" s="78"/>
      <c r="P924" s="272"/>
    </row>
    <row r="925" spans="1:16" s="61" customFormat="1" ht="30" customHeight="1">
      <c r="A925" s="57">
        <v>1</v>
      </c>
      <c r="B925" s="528" t="s">
        <v>1590</v>
      </c>
      <c r="C925" s="91">
        <v>220</v>
      </c>
      <c r="D925" s="59"/>
      <c r="E925" s="76" t="s">
        <v>1588</v>
      </c>
      <c r="F925" s="250" t="s">
        <v>3682</v>
      </c>
      <c r="P925" s="272"/>
    </row>
    <row r="926" spans="1:16" s="78" customFormat="1" ht="30" customHeight="1">
      <c r="A926" s="72"/>
      <c r="B926" s="311" t="s">
        <v>3693</v>
      </c>
      <c r="C926" s="312">
        <f>C595+C923+C925</f>
        <v>179916</v>
      </c>
      <c r="D926" s="61"/>
      <c r="E926" s="75"/>
      <c r="F926" s="61"/>
      <c r="H926" s="61"/>
      <c r="I926" s="283"/>
      <c r="J926" s="61"/>
      <c r="K926" s="61"/>
      <c r="L926" s="61"/>
      <c r="P926" s="273"/>
    </row>
    <row r="927" spans="1:16" s="78" customFormat="1" ht="35.25" customHeight="1">
      <c r="A927" s="49"/>
      <c r="B927" s="97"/>
      <c r="C927" s="104"/>
      <c r="D927" s="49"/>
      <c r="E927" s="49"/>
      <c r="F927" s="49"/>
      <c r="H927" s="61"/>
      <c r="I927" s="61"/>
      <c r="J927" s="61"/>
      <c r="K927" s="61"/>
      <c r="P927" s="273"/>
    </row>
    <row r="928" spans="1:16" s="78" customFormat="1" ht="30" customHeight="1">
      <c r="A928" s="49"/>
      <c r="B928" s="49"/>
      <c r="C928" s="284"/>
      <c r="D928" s="49"/>
      <c r="E928" s="49"/>
      <c r="F928" s="49"/>
      <c r="H928" s="61"/>
      <c r="I928" s="61"/>
      <c r="J928" s="61"/>
      <c r="K928" s="61"/>
      <c r="P928" s="273"/>
    </row>
    <row r="929" spans="1:16" s="78" customFormat="1" ht="30" customHeight="1">
      <c r="A929" s="49"/>
      <c r="B929" s="49"/>
      <c r="C929" s="229"/>
      <c r="D929" s="49"/>
      <c r="E929" s="49"/>
      <c r="F929" s="49"/>
      <c r="P929" s="273"/>
    </row>
    <row r="930" spans="1:16" ht="30" customHeight="1">
      <c r="H930" s="78"/>
      <c r="I930" s="78"/>
      <c r="J930" s="78"/>
      <c r="K930" s="78"/>
      <c r="L930" s="78"/>
      <c r="M930" s="78"/>
      <c r="N930" s="78"/>
    </row>
    <row r="931" spans="1:16" ht="30" customHeight="1">
      <c r="H931" s="78"/>
      <c r="I931" s="78"/>
      <c r="J931" s="78"/>
      <c r="K931" s="78"/>
    </row>
    <row r="932" spans="1:16" ht="30" customHeight="1">
      <c r="H932" s="78"/>
      <c r="I932" s="78"/>
      <c r="J932" s="78"/>
      <c r="K932" s="78"/>
    </row>
    <row r="933" spans="1:16" ht="30" customHeight="1"/>
    <row r="934" spans="1:16" ht="30" customHeight="1"/>
    <row r="935" spans="1:16" ht="30" customHeight="1"/>
    <row r="936" spans="1:16" ht="30" customHeight="1"/>
    <row r="937" spans="1:16" ht="30" customHeight="1"/>
    <row r="938" spans="1:16" ht="30" customHeight="1"/>
    <row r="939" spans="1:16" ht="30" customHeight="1"/>
    <row r="940" spans="1:16" ht="30" customHeight="1"/>
    <row r="941" spans="1:16" ht="30" customHeight="1"/>
    <row r="942" spans="1:16" ht="30" customHeight="1"/>
  </sheetData>
  <mergeCells count="4">
    <mergeCell ref="A1:K1"/>
    <mergeCell ref="A3:F3"/>
    <mergeCell ref="H3:K3"/>
    <mergeCell ref="A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78CF-571C-44EF-B31E-FC028D4F6736}">
  <sheetPr>
    <pageSetUpPr fitToPage="1"/>
  </sheetPr>
  <dimension ref="B1:V1039"/>
  <sheetViews>
    <sheetView showGridLines="0" zoomScaleNormal="100" workbookViewId="0">
      <pane ySplit="2" topLeftCell="A20" activePane="bottomLeft" state="frozen"/>
      <selection pane="bottomLeft" activeCell="G20" sqref="G20"/>
    </sheetView>
  </sheetViews>
  <sheetFormatPr defaultColWidth="8.7109375" defaultRowHeight="16.5"/>
  <cols>
    <col min="1" max="1" width="8.7109375" style="2"/>
    <col min="2" max="2" width="18.5703125" style="2" customWidth="1"/>
    <col min="3" max="3" width="31.5703125" style="3" customWidth="1"/>
    <col min="4" max="4" width="15" style="2" customWidth="1"/>
    <col min="5" max="5" width="17.7109375" style="2" customWidth="1"/>
    <col min="6" max="6" width="16.140625" style="2" customWidth="1"/>
    <col min="7" max="7" width="15.7109375" style="4" customWidth="1"/>
    <col min="8" max="8" width="19" style="4" customWidth="1"/>
    <col min="9" max="9" width="18" style="2" customWidth="1"/>
    <col min="10" max="10" width="10.140625" style="2" bestFit="1" customWidth="1"/>
    <col min="11" max="11" width="18.85546875" style="4" customWidth="1"/>
    <col min="12" max="12" width="15.85546875" style="4" customWidth="1"/>
    <col min="13" max="13" width="8.7109375" style="4" customWidth="1"/>
    <col min="14" max="15" width="8.7109375" style="4"/>
    <col min="16" max="16" width="11.85546875" style="4" bestFit="1" customWidth="1"/>
    <col min="17" max="17" width="8.7109375" style="4"/>
    <col min="18" max="18" width="11.85546875" style="4" bestFit="1" customWidth="1"/>
    <col min="19" max="19" width="8.7109375" style="4"/>
    <col min="20" max="21" width="11.85546875" style="4" bestFit="1" customWidth="1"/>
    <col min="22" max="22" width="8.7109375" style="4"/>
    <col min="23" max="16384" width="8.7109375" style="2"/>
  </cols>
  <sheetData>
    <row r="1" spans="2:22" s="44" customFormat="1" ht="34.5" customHeight="1">
      <c r="B1" s="43"/>
      <c r="C1" s="701" t="s">
        <v>3714</v>
      </c>
      <c r="D1" s="701"/>
      <c r="E1" s="701"/>
      <c r="F1" s="701"/>
      <c r="G1" s="45"/>
      <c r="H1" s="4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</row>
    <row r="2" spans="2:22" s="8" customFormat="1" ht="15" customHeight="1">
      <c r="B2" s="9"/>
      <c r="C2" s="702" t="s">
        <v>3715</v>
      </c>
      <c r="D2" s="702"/>
      <c r="E2" s="702"/>
      <c r="F2" s="702"/>
      <c r="G2" s="10"/>
      <c r="H2" s="10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</row>
    <row r="3" spans="2:22" s="8" customFormat="1" ht="12.75" customHeight="1">
      <c r="B3" s="9"/>
      <c r="C3" s="19"/>
      <c r="G3" s="10"/>
      <c r="H3" s="10"/>
      <c r="I3" s="227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</row>
    <row r="4" spans="2:22" s="8" customFormat="1" ht="28.5" customHeight="1">
      <c r="B4" s="9"/>
      <c r="C4" s="703" t="s">
        <v>3710</v>
      </c>
      <c r="D4" s="704"/>
      <c r="E4" s="704"/>
      <c r="F4" s="705"/>
      <c r="G4" s="10"/>
      <c r="H4" s="10"/>
      <c r="I4" s="10"/>
      <c r="K4" s="315"/>
      <c r="L4" s="315"/>
      <c r="M4" s="315"/>
      <c r="N4" s="315"/>
      <c r="O4" s="315"/>
      <c r="P4" s="315"/>
      <c r="Q4" s="315"/>
      <c r="R4" s="315"/>
      <c r="S4" s="315"/>
      <c r="T4" s="315"/>
      <c r="U4" s="315"/>
      <c r="V4" s="315"/>
    </row>
    <row r="5" spans="2:22" s="8" customFormat="1" ht="28.5" customHeight="1">
      <c r="B5" s="9"/>
      <c r="C5" s="360" t="s">
        <v>3704</v>
      </c>
      <c r="D5" s="23" t="s">
        <v>3730</v>
      </c>
      <c r="E5" s="23" t="s">
        <v>3730</v>
      </c>
      <c r="F5" s="23" t="s">
        <v>3730</v>
      </c>
      <c r="G5" s="10"/>
      <c r="H5" s="10"/>
      <c r="I5" s="10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</row>
    <row r="6" spans="2:22" s="8" customFormat="1" ht="23.25" customHeight="1">
      <c r="B6" s="9"/>
      <c r="C6" s="374" t="s">
        <v>3705</v>
      </c>
      <c r="D6" s="417"/>
      <c r="E6" s="418"/>
      <c r="F6" s="419"/>
      <c r="G6" s="10"/>
      <c r="H6" s="10"/>
      <c r="I6" s="10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</row>
    <row r="7" spans="2:22" s="8" customFormat="1" ht="28.5" customHeight="1">
      <c r="B7" s="9"/>
      <c r="C7" s="362" t="s">
        <v>3695</v>
      </c>
      <c r="D7" s="23">
        <v>114932</v>
      </c>
      <c r="E7" s="361"/>
      <c r="F7" s="30"/>
      <c r="G7" s="10"/>
      <c r="H7" s="10"/>
      <c r="K7" s="315"/>
      <c r="L7" s="315"/>
      <c r="M7" s="315"/>
      <c r="N7" s="315"/>
      <c r="O7" s="315"/>
      <c r="P7" s="315"/>
      <c r="Q7" s="315"/>
      <c r="R7" s="315"/>
      <c r="S7" s="315"/>
      <c r="T7" s="315"/>
      <c r="U7" s="315"/>
      <c r="V7" s="315"/>
    </row>
    <row r="8" spans="2:22" s="8" customFormat="1" ht="28.5" customHeight="1">
      <c r="B8" s="9"/>
      <c r="C8" s="365" t="s">
        <v>3687</v>
      </c>
      <c r="D8" s="366">
        <v>5677</v>
      </c>
      <c r="E8" s="361"/>
      <c r="F8" s="30"/>
      <c r="G8" s="10"/>
      <c r="H8" s="10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  <c r="V8" s="315"/>
    </row>
    <row r="9" spans="2:22" s="8" customFormat="1" ht="28.5" customHeight="1">
      <c r="B9" s="9"/>
      <c r="C9" s="363" t="s">
        <v>3707</v>
      </c>
      <c r="D9" s="23"/>
      <c r="E9" s="372">
        <f>D7+D8</f>
        <v>120609</v>
      </c>
      <c r="F9" s="30"/>
      <c r="G9" s="10"/>
      <c r="H9" s="10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</row>
    <row r="10" spans="2:22" s="8" customFormat="1" ht="32.25" customHeight="1">
      <c r="B10" s="9"/>
      <c r="C10" s="369" t="s">
        <v>3706</v>
      </c>
      <c r="D10" s="30"/>
      <c r="E10" s="30">
        <v>220</v>
      </c>
      <c r="F10" s="30"/>
      <c r="G10" s="10"/>
      <c r="H10" s="10"/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315"/>
      <c r="V10" s="315"/>
    </row>
    <row r="11" spans="2:22" s="8" customFormat="1" ht="28.5" customHeight="1">
      <c r="B11" s="9"/>
      <c r="C11" s="363" t="s">
        <v>3698</v>
      </c>
      <c r="D11" s="371">
        <v>68490</v>
      </c>
      <c r="E11" s="30"/>
      <c r="F11" s="30"/>
      <c r="G11" s="10"/>
      <c r="H11" s="10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</row>
    <row r="12" spans="2:22" s="8" customFormat="1" ht="28.5" customHeight="1">
      <c r="B12" s="9"/>
      <c r="C12" s="363" t="s">
        <v>4790</v>
      </c>
      <c r="D12" s="371">
        <v>3726</v>
      </c>
      <c r="E12" s="30"/>
      <c r="F12" s="30"/>
      <c r="G12" s="10"/>
      <c r="H12" s="10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</row>
    <row r="13" spans="2:22" s="8" customFormat="1" ht="39" customHeight="1">
      <c r="B13" s="9"/>
      <c r="C13" s="368" t="s">
        <v>4792</v>
      </c>
      <c r="D13" s="531">
        <f>D11-D12</f>
        <v>64764</v>
      </c>
      <c r="E13" s="420"/>
      <c r="F13" s="30"/>
      <c r="G13" s="10"/>
      <c r="H13" s="10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5"/>
    </row>
    <row r="14" spans="2:22" s="8" customFormat="1" ht="39" customHeight="1">
      <c r="B14" s="9"/>
      <c r="C14" s="368" t="s">
        <v>4415</v>
      </c>
      <c r="D14" s="530">
        <v>60000</v>
      </c>
      <c r="E14" s="420"/>
      <c r="F14" s="30"/>
      <c r="G14" s="10"/>
      <c r="H14" s="10"/>
      <c r="K14" s="315"/>
      <c r="L14" s="315"/>
      <c r="M14" s="315"/>
      <c r="N14" s="315"/>
      <c r="O14" s="315"/>
      <c r="P14" s="315"/>
      <c r="Q14" s="315"/>
      <c r="R14" s="315"/>
      <c r="S14" s="315"/>
      <c r="T14" s="315"/>
      <c r="U14" s="315"/>
      <c r="V14" s="315"/>
    </row>
    <row r="15" spans="2:22" s="8" customFormat="1" ht="28.5" customHeight="1">
      <c r="B15" s="9"/>
      <c r="C15" s="533" t="s">
        <v>4794</v>
      </c>
      <c r="D15" s="370">
        <f>D13-D14</f>
        <v>4764</v>
      </c>
      <c r="E15" s="30"/>
      <c r="F15" s="30"/>
      <c r="G15" s="10"/>
      <c r="H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2:22" s="8" customFormat="1" ht="28.5" customHeight="1">
      <c r="B16" s="9"/>
      <c r="C16" s="413" t="s">
        <v>3708</v>
      </c>
      <c r="D16" s="414"/>
      <c r="E16" s="373"/>
      <c r="F16" s="415">
        <f>SUM(E9:E15)</f>
        <v>120829</v>
      </c>
      <c r="G16" s="10"/>
      <c r="H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2:22" ht="25.5" customHeight="1">
      <c r="B17" s="6"/>
      <c r="C17" s="706" t="s">
        <v>3709</v>
      </c>
      <c r="D17" s="707"/>
      <c r="E17" s="707"/>
      <c r="F17" s="708"/>
      <c r="G17" s="7"/>
      <c r="H17" s="7"/>
      <c r="I17" s="6"/>
      <c r="J17" s="6"/>
      <c r="K17" s="7"/>
      <c r="L17" s="7"/>
      <c r="M17" s="7"/>
      <c r="N17" s="7"/>
    </row>
    <row r="18" spans="2:22" s="8" customFormat="1" ht="32.25" customHeight="1">
      <c r="B18" s="12"/>
      <c r="C18" s="379" t="s">
        <v>3713</v>
      </c>
      <c r="D18" s="379"/>
      <c r="E18" s="379">
        <v>179916</v>
      </c>
      <c r="F18" s="416"/>
      <c r="G18" s="320"/>
      <c r="H18" s="320"/>
      <c r="I18" s="32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2:22" ht="25.5" customHeight="1">
      <c r="C19" s="364" t="s">
        <v>4416</v>
      </c>
      <c r="D19" s="26">
        <v>120000</v>
      </c>
      <c r="E19" s="26"/>
      <c r="F19" s="24"/>
    </row>
    <row r="20" spans="2:22" ht="24.75" customHeight="1">
      <c r="C20" s="364" t="s">
        <v>4416</v>
      </c>
      <c r="D20" s="376">
        <v>60000</v>
      </c>
      <c r="E20" s="24"/>
      <c r="F20" s="24"/>
    </row>
    <row r="21" spans="2:22" ht="24.75" customHeight="1">
      <c r="C21" s="378" t="s">
        <v>3712</v>
      </c>
      <c r="D21" s="24"/>
      <c r="E21" s="377">
        <f>SUM(D19:D20)</f>
        <v>180000</v>
      </c>
      <c r="F21" s="24"/>
    </row>
    <row r="22" spans="2:22" ht="36" customHeight="1">
      <c r="C22" s="532" t="s">
        <v>4793</v>
      </c>
      <c r="D22" s="380"/>
      <c r="E22" s="380"/>
      <c r="F22" s="381">
        <f>E18-E21</f>
        <v>-84</v>
      </c>
    </row>
    <row r="23" spans="2:22" s="6" customFormat="1" ht="24.75" customHeight="1">
      <c r="B23" s="2"/>
      <c r="C23" s="25"/>
      <c r="D23" s="24"/>
      <c r="E23" s="24"/>
      <c r="F23" s="24"/>
      <c r="G23" s="4"/>
      <c r="H23" s="4"/>
      <c r="I23" s="2"/>
      <c r="J23" s="2"/>
      <c r="K23" s="4"/>
      <c r="L23" s="4"/>
      <c r="M23" s="4"/>
      <c r="N23" s="4"/>
      <c r="O23" s="7"/>
      <c r="P23" s="7"/>
      <c r="Q23" s="7"/>
      <c r="R23" s="7"/>
      <c r="S23" s="7"/>
      <c r="T23" s="7"/>
      <c r="U23" s="7"/>
      <c r="V23" s="7"/>
    </row>
    <row r="24" spans="2:22" ht="16.5" customHeight="1">
      <c r="F24" s="321"/>
      <c r="G24" s="322"/>
    </row>
    <row r="25" spans="2:22" s="6" customFormat="1">
      <c r="B25" s="2"/>
      <c r="C25" s="3"/>
      <c r="D25" s="2"/>
      <c r="E25" s="2"/>
      <c r="F25" s="2"/>
      <c r="G25" s="4"/>
      <c r="H25" s="4"/>
      <c r="I25" s="2"/>
      <c r="J25" s="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47" spans="8:22">
      <c r="H47" s="10"/>
      <c r="O47" s="7"/>
      <c r="P47" s="7"/>
      <c r="Q47" s="7"/>
      <c r="R47" s="7"/>
      <c r="S47" s="7"/>
      <c r="T47" s="7"/>
      <c r="U47" s="7"/>
      <c r="V47" s="7"/>
    </row>
    <row r="75" spans="2:22" s="8" customFormat="1">
      <c r="B75" s="2"/>
      <c r="C75" s="3"/>
      <c r="D75" s="2"/>
      <c r="E75" s="2"/>
      <c r="F75" s="2"/>
      <c r="G75" s="4"/>
      <c r="H75" s="4"/>
      <c r="I75" s="2"/>
      <c r="J75" s="2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2:22" s="8" customFormat="1">
      <c r="B76" s="2"/>
      <c r="C76" s="3"/>
      <c r="D76" s="2"/>
      <c r="E76" s="2"/>
      <c r="F76" s="2"/>
      <c r="G76" s="4"/>
      <c r="H76" s="4"/>
      <c r="I76" s="2"/>
      <c r="J76" s="2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2:22" s="8" customFormat="1">
      <c r="B77" s="2"/>
      <c r="C77" s="3"/>
      <c r="D77" s="2"/>
      <c r="E77" s="2"/>
      <c r="F77" s="2"/>
      <c r="G77" s="4"/>
      <c r="H77" s="4"/>
      <c r="I77" s="2"/>
      <c r="J77" s="2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2:22" s="8" customFormat="1">
      <c r="B78" s="2"/>
      <c r="C78" s="3"/>
      <c r="D78" s="2"/>
      <c r="E78" s="2"/>
      <c r="F78" s="2"/>
      <c r="G78" s="4"/>
      <c r="H78" s="4"/>
      <c r="I78" s="2"/>
      <c r="J78" s="2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87" spans="2:22" ht="16.5" customHeight="1"/>
    <row r="88" spans="2:22" s="6" customFormat="1">
      <c r="B88" s="2"/>
      <c r="C88" s="3"/>
      <c r="D88" s="2"/>
      <c r="E88" s="2"/>
      <c r="F88" s="2"/>
      <c r="G88" s="4"/>
      <c r="H88" s="4"/>
      <c r="I88" s="2"/>
      <c r="J88" s="2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93" spans="2:22" ht="16.5" customHeight="1"/>
    <row r="94" spans="2:22" ht="33" customHeight="1"/>
    <row r="96" spans="2:22" ht="33" customHeight="1"/>
    <row r="100" spans="2:22" ht="16.5" customHeight="1"/>
    <row r="102" spans="2:22" ht="16.5" customHeight="1"/>
    <row r="103" spans="2:22" s="6" customFormat="1">
      <c r="B103" s="2"/>
      <c r="C103" s="3"/>
      <c r="D103" s="2"/>
      <c r="E103" s="2"/>
      <c r="F103" s="2"/>
      <c r="G103" s="4"/>
      <c r="H103" s="4"/>
      <c r="I103" s="2"/>
      <c r="J103" s="2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2:22">
      <c r="O104" s="7"/>
      <c r="P104" s="7"/>
      <c r="Q104" s="7"/>
      <c r="R104" s="7"/>
      <c r="S104" s="7"/>
      <c r="T104" s="7"/>
      <c r="U104" s="7"/>
      <c r="V104" s="7"/>
    </row>
    <row r="106" spans="2:22" s="6" customFormat="1">
      <c r="B106" s="2"/>
      <c r="C106" s="3"/>
      <c r="D106" s="2"/>
      <c r="E106" s="2"/>
      <c r="F106" s="2"/>
      <c r="G106" s="4"/>
      <c r="H106" s="4"/>
      <c r="I106" s="2"/>
      <c r="J106" s="2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21" spans="2:22" ht="25.5" customHeight="1"/>
    <row r="122" spans="2:22" ht="29.25" customHeight="1"/>
    <row r="124" spans="2:22" ht="33" customHeight="1"/>
    <row r="126" spans="2:22" ht="24" customHeight="1"/>
    <row r="128" spans="2:22" s="6" customFormat="1">
      <c r="B128" s="2"/>
      <c r="C128" s="3"/>
      <c r="D128" s="2"/>
      <c r="E128" s="2"/>
      <c r="F128" s="2"/>
      <c r="G128" s="4"/>
      <c r="H128" s="4"/>
      <c r="I128" s="2"/>
      <c r="J128" s="2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2:22" s="6" customFormat="1">
      <c r="B129" s="2"/>
      <c r="C129" s="3"/>
      <c r="D129" s="2"/>
      <c r="E129" s="2"/>
      <c r="F129" s="2"/>
      <c r="G129" s="4"/>
      <c r="H129" s="4"/>
      <c r="I129" s="2"/>
      <c r="J129" s="2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2" spans="2:22" s="6" customFormat="1" ht="16.5" customHeight="1">
      <c r="B132" s="2"/>
      <c r="C132" s="11"/>
      <c r="D132" s="8"/>
      <c r="E132" s="8"/>
      <c r="F132" s="8"/>
      <c r="G132" s="10"/>
      <c r="H132" s="10"/>
      <c r="I132" s="8"/>
      <c r="J132" s="8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spans="2:22" ht="21" customHeight="1">
      <c r="C133" s="11"/>
      <c r="D133" s="8"/>
      <c r="E133" s="8"/>
      <c r="F133" s="8"/>
      <c r="G133" s="10"/>
      <c r="H133" s="10"/>
      <c r="I133" s="8"/>
      <c r="J133" s="8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spans="2:22">
      <c r="C134" s="11"/>
      <c r="D134" s="8"/>
      <c r="E134" s="8"/>
      <c r="F134" s="8"/>
      <c r="G134" s="323"/>
      <c r="H134" s="10"/>
      <c r="I134" s="8"/>
      <c r="J134" s="8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spans="2:22">
      <c r="C135" s="11"/>
      <c r="D135" s="8"/>
      <c r="E135" s="8"/>
      <c r="F135" s="8"/>
      <c r="G135" s="10"/>
      <c r="H135" s="10"/>
      <c r="I135" s="8"/>
      <c r="J135" s="8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spans="2:22">
      <c r="H136" s="10"/>
    </row>
    <row r="137" spans="2:22">
      <c r="H137" s="10"/>
    </row>
    <row r="138" spans="2:22" ht="24" customHeight="1">
      <c r="H138" s="10"/>
    </row>
    <row r="139" spans="2:22" ht="18" customHeight="1">
      <c r="G139" s="324"/>
      <c r="H139" s="10"/>
    </row>
    <row r="140" spans="2:22" s="8" customFormat="1">
      <c r="B140" s="2"/>
      <c r="C140" s="3"/>
      <c r="D140" s="2"/>
      <c r="E140" s="2"/>
      <c r="F140" s="2"/>
      <c r="G140" s="4"/>
      <c r="H140" s="10"/>
      <c r="I140" s="2"/>
      <c r="J140" s="2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2:22">
      <c r="G141" s="324"/>
      <c r="H141" s="10"/>
    </row>
    <row r="142" spans="2:22" ht="33" customHeight="1">
      <c r="G142" s="325"/>
      <c r="H142" s="10"/>
    </row>
    <row r="143" spans="2:22">
      <c r="G143" s="324"/>
      <c r="H143" s="10"/>
    </row>
    <row r="144" spans="2:22" ht="33" customHeight="1">
      <c r="F144" s="14"/>
      <c r="H144" s="10"/>
    </row>
    <row r="145" spans="2:22">
      <c r="H145" s="10"/>
      <c r="O145" s="7"/>
      <c r="P145" s="7"/>
      <c r="Q145" s="7"/>
      <c r="R145" s="7"/>
      <c r="S145" s="7"/>
      <c r="T145" s="7"/>
      <c r="U145" s="7"/>
      <c r="V145" s="7"/>
    </row>
    <row r="146" spans="2:22">
      <c r="H146" s="10"/>
    </row>
    <row r="147" spans="2:22">
      <c r="G147" s="324"/>
      <c r="H147" s="10"/>
    </row>
    <row r="148" spans="2:22">
      <c r="H148" s="10"/>
    </row>
    <row r="149" spans="2:22" s="6" customFormat="1">
      <c r="B149" s="2"/>
      <c r="C149" s="3"/>
      <c r="D149" s="2"/>
      <c r="E149" s="2"/>
      <c r="F149" s="2"/>
      <c r="G149" s="324"/>
      <c r="H149" s="10"/>
      <c r="I149" s="2"/>
      <c r="J149" s="2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2:22" ht="33" customHeight="1">
      <c r="F150" s="14"/>
      <c r="H150" s="10"/>
    </row>
    <row r="151" spans="2:22" ht="16.5" customHeight="1">
      <c r="F151" s="14"/>
      <c r="H151" s="10"/>
    </row>
    <row r="152" spans="2:22">
      <c r="H152" s="10"/>
    </row>
    <row r="153" spans="2:22" ht="33" customHeight="1">
      <c r="F153" s="14"/>
      <c r="H153" s="10"/>
    </row>
    <row r="154" spans="2:22">
      <c r="H154" s="10"/>
    </row>
    <row r="155" spans="2:22" ht="33" customHeight="1">
      <c r="G155" s="324"/>
      <c r="H155" s="10"/>
    </row>
    <row r="156" spans="2:22">
      <c r="G156" s="324"/>
      <c r="H156" s="10"/>
    </row>
    <row r="157" spans="2:22" ht="33" customHeight="1">
      <c r="F157" s="321"/>
      <c r="G157" s="322"/>
      <c r="H157" s="10"/>
    </row>
    <row r="158" spans="2:22">
      <c r="G158" s="324"/>
      <c r="H158" s="10"/>
    </row>
    <row r="159" spans="2:22" ht="33" customHeight="1">
      <c r="F159" s="321"/>
      <c r="G159" s="322"/>
      <c r="H159" s="10"/>
    </row>
    <row r="160" spans="2:22">
      <c r="G160" s="324"/>
      <c r="H160" s="10"/>
      <c r="O160" s="7"/>
      <c r="P160" s="7"/>
      <c r="Q160" s="7"/>
      <c r="R160" s="7"/>
      <c r="S160" s="7"/>
      <c r="T160" s="7"/>
      <c r="U160" s="7"/>
      <c r="V160" s="7"/>
    </row>
    <row r="161" spans="7:22">
      <c r="H161" s="10"/>
    </row>
    <row r="162" spans="7:22">
      <c r="H162" s="10"/>
    </row>
    <row r="163" spans="7:22">
      <c r="G163" s="324"/>
      <c r="H163" s="10"/>
      <c r="O163" s="7"/>
      <c r="P163" s="7"/>
      <c r="Q163" s="7"/>
      <c r="R163" s="7"/>
      <c r="S163" s="7"/>
      <c r="T163" s="7"/>
      <c r="U163" s="7"/>
      <c r="V163" s="7"/>
    </row>
    <row r="164" spans="7:22">
      <c r="H164" s="10"/>
    </row>
    <row r="165" spans="7:22">
      <c r="G165" s="324"/>
      <c r="H165" s="10"/>
    </row>
    <row r="166" spans="7:22" ht="33" customHeight="1">
      <c r="H166" s="10"/>
    </row>
    <row r="167" spans="7:22">
      <c r="H167" s="10"/>
    </row>
    <row r="168" spans="7:22" ht="33" customHeight="1">
      <c r="G168" s="324"/>
      <c r="H168" s="10"/>
    </row>
    <row r="169" spans="7:22">
      <c r="G169" s="325"/>
      <c r="H169" s="10"/>
    </row>
    <row r="170" spans="7:22" ht="16.5" customHeight="1">
      <c r="G170" s="324"/>
      <c r="H170" s="10"/>
    </row>
    <row r="171" spans="7:22" ht="16.5" customHeight="1">
      <c r="H171" s="10"/>
    </row>
    <row r="172" spans="7:22">
      <c r="H172" s="10"/>
    </row>
    <row r="173" spans="7:22">
      <c r="H173" s="10"/>
    </row>
    <row r="174" spans="7:22">
      <c r="H174" s="10"/>
    </row>
    <row r="175" spans="7:22">
      <c r="G175" s="324"/>
      <c r="H175" s="10"/>
    </row>
    <row r="176" spans="7:22">
      <c r="H176" s="10"/>
    </row>
    <row r="177" spans="2:22">
      <c r="H177" s="10"/>
    </row>
    <row r="178" spans="2:22">
      <c r="G178" s="324"/>
      <c r="H178" s="10"/>
    </row>
    <row r="179" spans="2:22">
      <c r="H179" s="10"/>
    </row>
    <row r="180" spans="2:22">
      <c r="G180" s="325"/>
      <c r="H180" s="10"/>
    </row>
    <row r="181" spans="2:22" ht="33" customHeight="1">
      <c r="F181" s="321"/>
      <c r="G181" s="326"/>
      <c r="H181" s="10"/>
    </row>
    <row r="182" spans="2:22">
      <c r="H182" s="10"/>
    </row>
    <row r="183" spans="2:22">
      <c r="H183" s="10"/>
    </row>
    <row r="184" spans="2:22" s="6" customFormat="1" ht="33" customHeight="1">
      <c r="B184" s="2"/>
      <c r="C184" s="3"/>
      <c r="D184" s="2"/>
      <c r="E184" s="2"/>
      <c r="F184" s="2"/>
      <c r="G184" s="4"/>
      <c r="H184" s="10"/>
      <c r="I184" s="2"/>
      <c r="J184" s="2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2:22" ht="21.75" customHeight="1">
      <c r="H185" s="10"/>
      <c r="O185" s="7"/>
      <c r="P185" s="7"/>
      <c r="Q185" s="7"/>
      <c r="R185" s="7"/>
      <c r="S185" s="7"/>
      <c r="T185" s="7"/>
      <c r="U185" s="7"/>
      <c r="V185" s="7"/>
    </row>
    <row r="186" spans="2:22">
      <c r="H186" s="10"/>
    </row>
    <row r="187" spans="2:22">
      <c r="H187" s="10"/>
    </row>
    <row r="188" spans="2:22" ht="16.5" customHeight="1">
      <c r="F188" s="14"/>
      <c r="H188" s="10"/>
      <c r="O188" s="7"/>
      <c r="P188" s="7"/>
      <c r="Q188" s="7"/>
      <c r="R188" s="7"/>
      <c r="S188" s="7"/>
      <c r="T188" s="7"/>
      <c r="U188" s="7"/>
      <c r="V188" s="7"/>
    </row>
    <row r="189" spans="2:22" ht="16.5" customHeight="1">
      <c r="H189" s="10"/>
    </row>
    <row r="190" spans="2:22">
      <c r="G190" s="325"/>
      <c r="H190" s="10"/>
    </row>
    <row r="191" spans="2:22">
      <c r="H191" s="10"/>
    </row>
    <row r="192" spans="2:22">
      <c r="G192" s="324"/>
      <c r="H192" s="10"/>
    </row>
    <row r="193" spans="6:22">
      <c r="H193" s="10"/>
    </row>
    <row r="194" spans="6:22">
      <c r="G194" s="324"/>
      <c r="H194" s="10"/>
    </row>
    <row r="195" spans="6:22">
      <c r="G195" s="324"/>
      <c r="H195" s="10"/>
    </row>
    <row r="196" spans="6:22" ht="33" customHeight="1">
      <c r="G196" s="324"/>
      <c r="H196" s="10"/>
      <c r="O196" s="10"/>
      <c r="P196" s="10"/>
      <c r="Q196" s="10"/>
      <c r="R196" s="10"/>
      <c r="S196" s="10"/>
      <c r="T196" s="10"/>
      <c r="U196" s="10"/>
      <c r="V196" s="10"/>
    </row>
    <row r="197" spans="6:22" ht="26.1" customHeight="1">
      <c r="H197" s="10"/>
    </row>
    <row r="198" spans="6:22" ht="21" customHeight="1">
      <c r="F198" s="14"/>
      <c r="H198" s="10"/>
    </row>
    <row r="199" spans="6:22">
      <c r="H199" s="10"/>
    </row>
    <row r="200" spans="6:22">
      <c r="H200" s="10"/>
    </row>
    <row r="201" spans="6:22">
      <c r="H201" s="10"/>
    </row>
    <row r="202" spans="6:22" ht="33" customHeight="1">
      <c r="H202" s="10"/>
    </row>
    <row r="203" spans="6:22" ht="16.5" customHeight="1">
      <c r="G203" s="324"/>
      <c r="H203" s="10"/>
    </row>
    <row r="204" spans="6:22">
      <c r="H204" s="10"/>
    </row>
    <row r="205" spans="6:22" ht="16.5" customHeight="1">
      <c r="H205" s="10"/>
      <c r="O205" s="7"/>
      <c r="P205" s="7"/>
      <c r="Q205" s="7"/>
      <c r="R205" s="7"/>
      <c r="S205" s="7"/>
      <c r="T205" s="7"/>
      <c r="U205" s="7"/>
      <c r="V205" s="7"/>
    </row>
    <row r="206" spans="6:22">
      <c r="H206" s="10"/>
    </row>
    <row r="207" spans="6:22">
      <c r="H207" s="10"/>
    </row>
    <row r="208" spans="6:22">
      <c r="H208" s="10"/>
    </row>
    <row r="209" spans="6:8" ht="16.5" customHeight="1">
      <c r="H209" s="10"/>
    </row>
    <row r="210" spans="6:8">
      <c r="H210" s="10"/>
    </row>
    <row r="211" spans="6:8" ht="16.5" customHeight="1">
      <c r="H211" s="10"/>
    </row>
    <row r="212" spans="6:8">
      <c r="H212" s="10"/>
    </row>
    <row r="213" spans="6:8">
      <c r="H213" s="10"/>
    </row>
    <row r="214" spans="6:8">
      <c r="H214" s="10"/>
    </row>
    <row r="215" spans="6:8" ht="33" customHeight="1">
      <c r="H215" s="10"/>
    </row>
    <row r="216" spans="6:8">
      <c r="G216" s="324"/>
      <c r="H216" s="10"/>
    </row>
    <row r="217" spans="6:8">
      <c r="H217" s="10"/>
    </row>
    <row r="218" spans="6:8">
      <c r="H218" s="10"/>
    </row>
    <row r="219" spans="6:8">
      <c r="G219" s="324"/>
      <c r="H219" s="10"/>
    </row>
    <row r="220" spans="6:8">
      <c r="G220" s="324"/>
      <c r="H220" s="10"/>
    </row>
    <row r="221" spans="6:8">
      <c r="H221" s="10"/>
    </row>
    <row r="222" spans="6:8" ht="16.5" customHeight="1">
      <c r="F222" s="14"/>
      <c r="H222" s="10"/>
    </row>
    <row r="223" spans="6:8">
      <c r="H223" s="10"/>
    </row>
    <row r="224" spans="6:8" ht="33" customHeight="1">
      <c r="F224" s="14"/>
      <c r="H224" s="10"/>
    </row>
    <row r="225" spans="6:22">
      <c r="H225" s="10"/>
    </row>
    <row r="226" spans="6:22" ht="33" customHeight="1">
      <c r="F226" s="321"/>
      <c r="G226" s="322"/>
      <c r="H226" s="10"/>
    </row>
    <row r="227" spans="6:22" ht="16.5" customHeight="1">
      <c r="F227" s="321"/>
      <c r="G227" s="322"/>
      <c r="H227" s="10"/>
    </row>
    <row r="228" spans="6:22">
      <c r="H228" s="10"/>
    </row>
    <row r="229" spans="6:22" ht="33" customHeight="1">
      <c r="H229" s="10"/>
    </row>
    <row r="230" spans="6:22" ht="16.5" customHeight="1">
      <c r="H230" s="10"/>
    </row>
    <row r="231" spans="6:22">
      <c r="H231" s="10"/>
    </row>
    <row r="232" spans="6:22">
      <c r="H232" s="10"/>
    </row>
    <row r="233" spans="6:22" ht="16.5" customHeight="1">
      <c r="H233" s="10"/>
    </row>
    <row r="234" spans="6:22">
      <c r="H234" s="10"/>
    </row>
    <row r="235" spans="6:22">
      <c r="H235" s="10"/>
    </row>
    <row r="236" spans="6:22" ht="16.5" customHeight="1">
      <c r="H236" s="10"/>
    </row>
    <row r="237" spans="6:22">
      <c r="H237" s="10"/>
    </row>
    <row r="238" spans="6:22">
      <c r="H238" s="10"/>
    </row>
    <row r="239" spans="6:22">
      <c r="H239" s="10"/>
    </row>
    <row r="240" spans="6:22">
      <c r="F240" s="14"/>
      <c r="H240" s="10"/>
      <c r="O240" s="7"/>
      <c r="P240" s="7"/>
      <c r="Q240" s="7"/>
      <c r="R240" s="7"/>
      <c r="S240" s="7"/>
      <c r="T240" s="7"/>
      <c r="U240" s="7"/>
      <c r="V240" s="7"/>
    </row>
    <row r="241" spans="6:8">
      <c r="H241" s="10"/>
    </row>
    <row r="242" spans="6:8">
      <c r="H242" s="10"/>
    </row>
    <row r="243" spans="6:8">
      <c r="H243" s="10"/>
    </row>
    <row r="244" spans="6:8">
      <c r="H244" s="10"/>
    </row>
    <row r="245" spans="6:8" ht="33" customHeight="1">
      <c r="F245" s="14"/>
      <c r="H245" s="10"/>
    </row>
    <row r="246" spans="6:8">
      <c r="H246" s="10"/>
    </row>
    <row r="247" spans="6:8">
      <c r="H247" s="10"/>
    </row>
    <row r="248" spans="6:8">
      <c r="H248" s="10"/>
    </row>
    <row r="249" spans="6:8" ht="33" customHeight="1">
      <c r="H249" s="10"/>
    </row>
    <row r="250" spans="6:8" ht="33" customHeight="1">
      <c r="H250" s="10"/>
    </row>
    <row r="251" spans="6:8">
      <c r="H251" s="10"/>
    </row>
    <row r="252" spans="6:8">
      <c r="H252" s="10"/>
    </row>
    <row r="253" spans="6:8">
      <c r="H253" s="10"/>
    </row>
    <row r="254" spans="6:8" ht="16.5" customHeight="1">
      <c r="H254" s="10"/>
    </row>
    <row r="255" spans="6:8" ht="15.75" customHeight="1">
      <c r="H255" s="10"/>
    </row>
    <row r="256" spans="6:8">
      <c r="H256" s="10"/>
    </row>
    <row r="257" spans="6:8">
      <c r="H257" s="10"/>
    </row>
    <row r="258" spans="6:8">
      <c r="H258" s="10"/>
    </row>
    <row r="259" spans="6:8">
      <c r="H259" s="10"/>
    </row>
    <row r="260" spans="6:8">
      <c r="H260" s="10"/>
    </row>
    <row r="261" spans="6:8">
      <c r="H261" s="10"/>
    </row>
    <row r="262" spans="6:8">
      <c r="H262" s="10"/>
    </row>
    <row r="263" spans="6:8">
      <c r="H263" s="10"/>
    </row>
    <row r="264" spans="6:8">
      <c r="H264" s="10"/>
    </row>
    <row r="265" spans="6:8">
      <c r="H265" s="10"/>
    </row>
    <row r="266" spans="6:8">
      <c r="H266" s="10"/>
    </row>
    <row r="267" spans="6:8" ht="16.5" customHeight="1">
      <c r="H267" s="10"/>
    </row>
    <row r="268" spans="6:8">
      <c r="H268" s="10"/>
    </row>
    <row r="269" spans="6:8">
      <c r="H269" s="10"/>
    </row>
    <row r="270" spans="6:8" ht="16.5" customHeight="1">
      <c r="H270" s="10"/>
    </row>
    <row r="271" spans="6:8" ht="33" customHeight="1">
      <c r="F271" s="14"/>
      <c r="H271" s="10"/>
    </row>
    <row r="272" spans="6:8">
      <c r="H272" s="10"/>
    </row>
    <row r="273" spans="6:8">
      <c r="H273" s="10"/>
    </row>
    <row r="274" spans="6:8" ht="18.75" customHeight="1">
      <c r="H274" s="10"/>
    </row>
    <row r="275" spans="6:8">
      <c r="H275" s="10"/>
    </row>
    <row r="276" spans="6:8" ht="33" customHeight="1">
      <c r="H276" s="10"/>
    </row>
    <row r="277" spans="6:8">
      <c r="H277" s="10"/>
    </row>
    <row r="278" spans="6:8" ht="16.5" customHeight="1">
      <c r="H278" s="10"/>
    </row>
    <row r="279" spans="6:8" ht="33" customHeight="1">
      <c r="H279" s="10"/>
    </row>
    <row r="280" spans="6:8">
      <c r="G280" s="324"/>
      <c r="H280" s="10"/>
    </row>
    <row r="281" spans="6:8">
      <c r="H281" s="10"/>
    </row>
    <row r="282" spans="6:8">
      <c r="H282" s="10"/>
    </row>
    <row r="283" spans="6:8">
      <c r="H283" s="10"/>
    </row>
    <row r="284" spans="6:8">
      <c r="H284" s="10"/>
    </row>
    <row r="285" spans="6:8" ht="16.5" customHeight="1">
      <c r="F285" s="14"/>
      <c r="H285" s="10"/>
    </row>
    <row r="286" spans="6:8" ht="33" customHeight="1">
      <c r="F286" s="14"/>
      <c r="H286" s="10"/>
    </row>
    <row r="287" spans="6:8">
      <c r="H287" s="10"/>
    </row>
    <row r="288" spans="6:8">
      <c r="H288" s="10"/>
    </row>
    <row r="289" spans="6:8">
      <c r="H289" s="10"/>
    </row>
    <row r="290" spans="6:8">
      <c r="H290" s="10"/>
    </row>
    <row r="291" spans="6:8">
      <c r="H291" s="10"/>
    </row>
    <row r="292" spans="6:8" ht="33" customHeight="1">
      <c r="F292" s="14"/>
      <c r="H292" s="10"/>
    </row>
    <row r="293" spans="6:8">
      <c r="H293" s="10"/>
    </row>
    <row r="294" spans="6:8">
      <c r="H294" s="10"/>
    </row>
    <row r="295" spans="6:8">
      <c r="H295" s="10"/>
    </row>
    <row r="296" spans="6:8" ht="16.5" customHeight="1">
      <c r="F296" s="321"/>
      <c r="G296" s="327"/>
      <c r="H296" s="10"/>
    </row>
    <row r="297" spans="6:8" ht="16.5" customHeight="1">
      <c r="H297" s="10"/>
    </row>
    <row r="298" spans="6:8">
      <c r="G298" s="324"/>
      <c r="H298" s="10"/>
    </row>
    <row r="299" spans="6:8">
      <c r="G299" s="324"/>
      <c r="H299" s="10"/>
    </row>
    <row r="300" spans="6:8">
      <c r="H300" s="10"/>
    </row>
    <row r="301" spans="6:8">
      <c r="G301" s="324"/>
      <c r="H301" s="10"/>
    </row>
    <row r="302" spans="6:8">
      <c r="H302" s="10"/>
    </row>
    <row r="303" spans="6:8">
      <c r="G303" s="324"/>
      <c r="H303" s="10"/>
    </row>
    <row r="304" spans="6:8" ht="16.5" customHeight="1">
      <c r="F304" s="321"/>
      <c r="G304" s="322"/>
      <c r="H304" s="10"/>
    </row>
    <row r="305" spans="6:8">
      <c r="H305" s="10"/>
    </row>
    <row r="306" spans="6:8">
      <c r="H306" s="10"/>
    </row>
    <row r="307" spans="6:8" ht="33.950000000000003" customHeight="1">
      <c r="G307" s="324"/>
      <c r="H307" s="10"/>
    </row>
    <row r="308" spans="6:8">
      <c r="H308" s="10"/>
    </row>
    <row r="309" spans="6:8" ht="16.5" customHeight="1">
      <c r="F309" s="14"/>
      <c r="H309" s="10"/>
    </row>
    <row r="310" spans="6:8">
      <c r="H310" s="10"/>
    </row>
    <row r="311" spans="6:8">
      <c r="H311" s="10"/>
    </row>
    <row r="312" spans="6:8">
      <c r="H312" s="10"/>
    </row>
    <row r="313" spans="6:8">
      <c r="G313" s="324"/>
      <c r="H313" s="10"/>
    </row>
    <row r="314" spans="6:8">
      <c r="G314" s="324"/>
      <c r="H314" s="10"/>
    </row>
    <row r="315" spans="6:8">
      <c r="H315" s="10"/>
    </row>
    <row r="316" spans="6:8">
      <c r="H316" s="10"/>
    </row>
    <row r="317" spans="6:8">
      <c r="G317" s="325"/>
      <c r="H317" s="10"/>
    </row>
    <row r="318" spans="6:8">
      <c r="H318" s="10"/>
    </row>
    <row r="319" spans="6:8">
      <c r="H319" s="10"/>
    </row>
    <row r="320" spans="6:8" ht="33" customHeight="1">
      <c r="F320" s="14"/>
      <c r="H320" s="10"/>
    </row>
    <row r="321" spans="6:8">
      <c r="G321" s="324"/>
      <c r="H321" s="10"/>
    </row>
    <row r="322" spans="6:8">
      <c r="H322" s="10"/>
    </row>
    <row r="323" spans="6:8" ht="16.5" customHeight="1">
      <c r="F323" s="14"/>
      <c r="H323" s="10"/>
    </row>
    <row r="324" spans="6:8">
      <c r="H324" s="10"/>
    </row>
    <row r="325" spans="6:8">
      <c r="H325" s="10"/>
    </row>
    <row r="326" spans="6:8">
      <c r="H326" s="10"/>
    </row>
    <row r="327" spans="6:8" ht="16.5" customHeight="1">
      <c r="F327" s="14"/>
      <c r="H327" s="10"/>
    </row>
    <row r="328" spans="6:8">
      <c r="H328" s="10"/>
    </row>
    <row r="329" spans="6:8">
      <c r="H329" s="10"/>
    </row>
    <row r="330" spans="6:8">
      <c r="G330" s="324"/>
      <c r="H330" s="10"/>
    </row>
    <row r="331" spans="6:8">
      <c r="H331" s="10"/>
    </row>
    <row r="337" spans="8:9" ht="16.5" customHeight="1"/>
    <row r="338" spans="8:9" ht="33" customHeight="1"/>
    <row r="343" spans="8:9">
      <c r="I343" s="313"/>
    </row>
    <row r="344" spans="8:9" ht="16.5" customHeight="1"/>
    <row r="348" spans="8:9" ht="16.5" customHeight="1">
      <c r="H348" s="328"/>
    </row>
    <row r="356" spans="6:6" ht="33" customHeight="1"/>
    <row r="361" spans="6:6" ht="16.5" customHeight="1"/>
    <row r="365" spans="6:6" ht="16.5" customHeight="1">
      <c r="F365" s="14"/>
    </row>
    <row r="368" spans="6:6" ht="16.5" customHeight="1"/>
    <row r="372" spans="6:8" ht="16.5" customHeight="1"/>
    <row r="375" spans="6:8" ht="16.5" customHeight="1"/>
    <row r="379" spans="6:8" ht="16.5" customHeight="1"/>
    <row r="380" spans="6:8" ht="16.5" customHeight="1">
      <c r="F380" s="14"/>
      <c r="H380" s="328"/>
    </row>
    <row r="395" spans="7:8">
      <c r="G395" s="324"/>
      <c r="H395" s="10"/>
    </row>
    <row r="396" spans="7:8">
      <c r="G396" s="324"/>
      <c r="H396" s="10"/>
    </row>
    <row r="397" spans="7:8">
      <c r="G397" s="324"/>
      <c r="H397" s="10"/>
    </row>
    <row r="399" spans="7:8" ht="16.5" customHeight="1"/>
    <row r="416" ht="33" customHeight="1"/>
    <row r="417" ht="16.5" customHeight="1"/>
    <row r="422" ht="33.950000000000003" customHeight="1"/>
    <row r="432" ht="16.5" customHeight="1"/>
    <row r="434" spans="2:22" ht="33" customHeight="1">
      <c r="F434" s="14"/>
    </row>
    <row r="440" spans="2:22" ht="33" customHeight="1"/>
    <row r="442" spans="2:22" s="6" customFormat="1">
      <c r="B442" s="2"/>
      <c r="C442" s="3"/>
      <c r="D442" s="2"/>
      <c r="E442" s="2"/>
      <c r="F442" s="2"/>
      <c r="G442" s="4"/>
      <c r="H442" s="4"/>
      <c r="I442" s="2"/>
      <c r="J442" s="2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8" spans="2:22" ht="16.5" customHeight="1">
      <c r="F448" s="14"/>
    </row>
    <row r="453" spans="3:22">
      <c r="O453" s="7"/>
      <c r="P453" s="7"/>
      <c r="Q453" s="7"/>
      <c r="R453" s="7"/>
      <c r="S453" s="7"/>
      <c r="T453" s="7"/>
      <c r="U453" s="7"/>
      <c r="V453" s="7"/>
    </row>
    <row r="456" spans="3:22" ht="16.5" customHeight="1"/>
    <row r="457" spans="3:22" ht="16.5" customHeight="1">
      <c r="F457" s="321"/>
      <c r="G457" s="327"/>
    </row>
    <row r="458" spans="3:22" ht="16.5" customHeight="1">
      <c r="F458" s="321"/>
      <c r="G458" s="326"/>
    </row>
    <row r="459" spans="3:22" ht="16.5" customHeight="1">
      <c r="F459" s="14"/>
    </row>
    <row r="461" spans="3:22">
      <c r="C461" s="11"/>
      <c r="D461" s="8"/>
      <c r="E461" s="8"/>
      <c r="F461" s="8"/>
      <c r="G461" s="329"/>
      <c r="I461" s="8"/>
      <c r="J461" s="8"/>
      <c r="K461" s="10"/>
      <c r="L461" s="10"/>
      <c r="M461" s="10"/>
      <c r="N461" s="10"/>
    </row>
    <row r="462" spans="3:22">
      <c r="G462" s="325"/>
    </row>
    <row r="463" spans="3:22">
      <c r="G463" s="325"/>
    </row>
    <row r="464" spans="3:22">
      <c r="G464" s="325"/>
    </row>
    <row r="465" spans="3:22">
      <c r="G465" s="325"/>
    </row>
    <row r="466" spans="3:22" ht="16.5" customHeight="1">
      <c r="F466" s="321"/>
      <c r="G466" s="322"/>
    </row>
    <row r="467" spans="3:22">
      <c r="G467" s="325"/>
    </row>
    <row r="468" spans="3:22" ht="33" customHeight="1">
      <c r="F468" s="321"/>
      <c r="G468" s="327"/>
    </row>
    <row r="469" spans="3:22">
      <c r="G469" s="325"/>
    </row>
    <row r="471" spans="3:22" ht="16.5" customHeight="1">
      <c r="F471" s="321"/>
      <c r="G471" s="322"/>
    </row>
    <row r="472" spans="3:22" ht="16.5" customHeight="1">
      <c r="G472" s="325"/>
    </row>
    <row r="473" spans="3:22" ht="16.5" customHeight="1">
      <c r="G473" s="325"/>
    </row>
    <row r="474" spans="3:22">
      <c r="G474" s="325"/>
    </row>
    <row r="475" spans="3:22" ht="33" customHeight="1">
      <c r="F475" s="321"/>
      <c r="G475" s="327"/>
    </row>
    <row r="476" spans="3:22">
      <c r="G476" s="325"/>
    </row>
    <row r="477" spans="3:22">
      <c r="F477" s="14"/>
    </row>
    <row r="478" spans="3:22">
      <c r="G478" s="324"/>
    </row>
    <row r="479" spans="3:22" s="8" customFormat="1">
      <c r="C479" s="11"/>
      <c r="G479" s="10"/>
      <c r="H479" s="10"/>
      <c r="J479" s="282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</row>
    <row r="480" spans="3:22">
      <c r="O480" s="7"/>
      <c r="P480" s="7"/>
      <c r="Q480" s="7"/>
      <c r="R480" s="7"/>
      <c r="S480" s="7"/>
      <c r="T480" s="7"/>
      <c r="U480" s="7"/>
      <c r="V480" s="7"/>
    </row>
    <row r="482" ht="27" customHeight="1"/>
    <row r="485" ht="16.5" customHeight="1"/>
    <row r="487" ht="16.5" customHeight="1"/>
    <row r="488" ht="33" customHeight="1"/>
    <row r="489" ht="16.5" customHeight="1"/>
    <row r="490" ht="16.5" customHeight="1"/>
    <row r="492" ht="16.5" customHeight="1"/>
    <row r="494" ht="33" customHeight="1"/>
    <row r="500" ht="16.5" customHeight="1"/>
    <row r="501" ht="16.5" customHeight="1"/>
    <row r="502" ht="16.5" customHeight="1"/>
    <row r="503" ht="33" customHeight="1"/>
    <row r="505" ht="33" customHeight="1"/>
    <row r="507" ht="33" customHeight="1"/>
    <row r="508" ht="16.5" customHeight="1"/>
    <row r="509" ht="16.5" customHeight="1"/>
    <row r="511" ht="33" customHeight="1"/>
    <row r="513" spans="2:22" ht="33" customHeight="1"/>
    <row r="514" spans="2:22" ht="16.5" customHeight="1"/>
    <row r="516" spans="2:22" ht="16.5" customHeight="1"/>
    <row r="518" spans="2:22" ht="16.5" customHeight="1"/>
    <row r="519" spans="2:22" ht="16.5" customHeight="1"/>
    <row r="521" spans="2:22" s="6" customFormat="1">
      <c r="B521" s="2"/>
      <c r="C521" s="3"/>
      <c r="D521" s="2"/>
      <c r="E521" s="2"/>
      <c r="F521" s="2"/>
      <c r="G521" s="4"/>
      <c r="H521" s="4"/>
      <c r="I521" s="2"/>
      <c r="J521" s="2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4" spans="2:22">
      <c r="H524" s="328"/>
    </row>
    <row r="525" spans="2:22" ht="16.5" customHeight="1">
      <c r="G525" s="324"/>
    </row>
    <row r="527" spans="2:22" ht="16.5" customHeight="1"/>
    <row r="528" spans="2:22" ht="33" customHeight="1">
      <c r="F528" s="321"/>
      <c r="G528" s="327"/>
    </row>
    <row r="529" spans="2:22" ht="16.5" customHeight="1"/>
    <row r="530" spans="2:22" ht="16.5" customHeight="1">
      <c r="F530" s="321"/>
      <c r="G530" s="327"/>
    </row>
    <row r="531" spans="2:22" ht="16.5" customHeight="1">
      <c r="F531" s="330"/>
    </row>
    <row r="532" spans="2:22" ht="33" customHeight="1">
      <c r="F532" s="330"/>
    </row>
    <row r="533" spans="2:22" ht="16.5" customHeight="1">
      <c r="F533" s="330"/>
    </row>
    <row r="534" spans="2:22" ht="33" customHeight="1">
      <c r="G534" s="324"/>
    </row>
    <row r="535" spans="2:22">
      <c r="G535" s="324"/>
    </row>
    <row r="536" spans="2:22" ht="33" customHeight="1">
      <c r="F536" s="14"/>
    </row>
    <row r="539" spans="2:22" ht="17.100000000000001" customHeight="1">
      <c r="G539" s="325"/>
    </row>
    <row r="541" spans="2:22">
      <c r="G541" s="324"/>
    </row>
    <row r="542" spans="2:22" ht="33" customHeight="1">
      <c r="F542" s="14"/>
    </row>
    <row r="543" spans="2:22" s="6" customFormat="1" ht="25.5" customHeight="1">
      <c r="B543" s="2"/>
      <c r="C543" s="3"/>
      <c r="D543" s="2"/>
      <c r="E543" s="2"/>
      <c r="F543" s="2"/>
      <c r="G543" s="4"/>
      <c r="H543" s="4"/>
      <c r="I543" s="2"/>
      <c r="J543" s="2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2:22">
      <c r="G544" s="325"/>
    </row>
    <row r="545" spans="6:22" ht="16.5" customHeight="1">
      <c r="O545" s="7"/>
      <c r="P545" s="7"/>
      <c r="Q545" s="7"/>
      <c r="R545" s="7"/>
      <c r="S545" s="7"/>
      <c r="T545" s="7"/>
      <c r="U545" s="7"/>
      <c r="V545" s="7"/>
    </row>
    <row r="546" spans="6:22">
      <c r="G546" s="324"/>
    </row>
    <row r="547" spans="6:22" ht="16.5" customHeight="1"/>
    <row r="548" spans="6:22" ht="16.5" customHeight="1">
      <c r="F548" s="321"/>
      <c r="G548" s="326"/>
    </row>
    <row r="549" spans="6:22" ht="33" customHeight="1"/>
    <row r="550" spans="6:22" ht="16.5" customHeight="1">
      <c r="F550" s="321"/>
      <c r="G550" s="322"/>
    </row>
    <row r="551" spans="6:22" ht="16.5" customHeight="1">
      <c r="F551" s="321"/>
      <c r="G551" s="322"/>
    </row>
    <row r="552" spans="6:22" ht="16.5" customHeight="1">
      <c r="F552" s="321"/>
      <c r="G552" s="322"/>
    </row>
    <row r="553" spans="6:22" ht="33" customHeight="1"/>
    <row r="554" spans="6:22" ht="16.5" customHeight="1">
      <c r="F554" s="321"/>
      <c r="G554" s="322"/>
    </row>
    <row r="555" spans="6:22" ht="16.5" customHeight="1">
      <c r="G555" s="325"/>
    </row>
    <row r="556" spans="6:22" ht="16.5" customHeight="1">
      <c r="F556" s="14"/>
    </row>
    <row r="558" spans="6:22" ht="33" customHeight="1">
      <c r="F558" s="14"/>
    </row>
    <row r="560" spans="6:22" ht="15" customHeight="1">
      <c r="G560" s="324"/>
    </row>
    <row r="561" spans="6:22" ht="16.5" customHeight="1">
      <c r="F561" s="321"/>
      <c r="G561" s="322"/>
    </row>
    <row r="562" spans="6:22" ht="33" customHeight="1"/>
    <row r="564" spans="6:22" ht="33" customHeight="1"/>
    <row r="574" spans="6:22">
      <c r="O574" s="7"/>
      <c r="P574" s="7"/>
      <c r="Q574" s="7"/>
      <c r="R574" s="7"/>
      <c r="S574" s="7"/>
      <c r="T574" s="7"/>
      <c r="U574" s="7"/>
      <c r="V574" s="7"/>
    </row>
    <row r="580" spans="4:7" ht="23.25" customHeight="1"/>
    <row r="581" spans="4:7" ht="16.5" customHeight="1"/>
    <row r="582" spans="4:7" ht="16.5" customHeight="1"/>
    <row r="583" spans="4:7" ht="16.5" customHeight="1">
      <c r="F583" s="321"/>
      <c r="G583" s="322"/>
    </row>
    <row r="584" spans="4:7" ht="33" customHeight="1">
      <c r="F584" s="321"/>
      <c r="G584" s="327"/>
    </row>
    <row r="585" spans="4:7" ht="16.5" customHeight="1">
      <c r="F585" s="321"/>
      <c r="G585" s="327"/>
    </row>
    <row r="587" spans="4:7" ht="33" customHeight="1">
      <c r="D587" s="331"/>
      <c r="E587" s="331"/>
      <c r="F587" s="331"/>
      <c r="G587" s="332"/>
    </row>
    <row r="589" spans="4:7" ht="33" customHeight="1"/>
    <row r="590" spans="4:7" ht="33" customHeight="1"/>
    <row r="592" spans="4:7" ht="16.5" customHeight="1">
      <c r="F592" s="321"/>
      <c r="G592" s="326"/>
    </row>
    <row r="593" spans="6:7" ht="16.5" customHeight="1">
      <c r="F593" s="14"/>
    </row>
    <row r="595" spans="6:7" ht="33" customHeight="1">
      <c r="F595" s="14"/>
    </row>
    <row r="597" spans="6:7">
      <c r="G597" s="325"/>
    </row>
    <row r="605" spans="6:7">
      <c r="G605" s="325"/>
    </row>
    <row r="608" spans="6:7" ht="16.5" customHeight="1"/>
    <row r="612" spans="2:22" s="6" customFormat="1">
      <c r="B612" s="2"/>
      <c r="C612" s="3"/>
      <c r="D612" s="2"/>
      <c r="E612" s="2"/>
      <c r="F612" s="2"/>
      <c r="G612" s="4"/>
      <c r="H612" s="4"/>
      <c r="I612" s="2"/>
      <c r="J612" s="2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9" spans="2:22" ht="16.5" customHeight="1"/>
    <row r="634" spans="6:6" ht="16.5" customHeight="1"/>
    <row r="635" spans="6:6" ht="16.5" customHeight="1"/>
    <row r="637" spans="6:6" ht="16.5" customHeight="1"/>
    <row r="638" spans="6:6" ht="33" customHeight="1">
      <c r="F638" s="14"/>
    </row>
    <row r="639" spans="6:6" ht="33" customHeight="1"/>
    <row r="640" spans="6:6" ht="27.75" customHeight="1"/>
    <row r="642" spans="6:8" ht="21" customHeight="1"/>
    <row r="643" spans="6:8" ht="33" customHeight="1"/>
    <row r="645" spans="6:8" ht="41.25" customHeight="1"/>
    <row r="646" spans="6:8" ht="33" customHeight="1">
      <c r="F646" s="14"/>
      <c r="H646" s="328"/>
    </row>
    <row r="647" spans="6:8" ht="33" customHeight="1">
      <c r="H647" s="328"/>
    </row>
    <row r="649" spans="6:8" ht="16.5" customHeight="1"/>
    <row r="655" spans="6:8" ht="24" customHeight="1"/>
    <row r="657" spans="2:22" ht="16.5" customHeight="1"/>
    <row r="658" spans="2:22" ht="16.5" customHeight="1">
      <c r="F658" s="321"/>
      <c r="G658" s="322"/>
    </row>
    <row r="659" spans="2:22" ht="33" customHeight="1"/>
    <row r="660" spans="2:22" ht="29.25" customHeight="1">
      <c r="F660" s="321"/>
      <c r="G660" s="326"/>
    </row>
    <row r="661" spans="2:22">
      <c r="G661" s="325"/>
    </row>
    <row r="662" spans="2:22" ht="33" customHeight="1">
      <c r="F662" s="321"/>
      <c r="G662" s="322"/>
    </row>
    <row r="663" spans="2:22" ht="33" customHeight="1">
      <c r="F663" s="14"/>
    </row>
    <row r="664" spans="2:22">
      <c r="G664" s="325"/>
    </row>
    <row r="665" spans="2:22" ht="33" customHeight="1"/>
    <row r="666" spans="2:22" s="6" customFormat="1" ht="16.5" customHeight="1">
      <c r="B666" s="2"/>
      <c r="C666" s="3"/>
      <c r="D666" s="2"/>
      <c r="E666" s="2"/>
      <c r="F666" s="2"/>
      <c r="G666" s="4"/>
      <c r="H666" s="4"/>
      <c r="I666" s="2"/>
      <c r="J666" s="2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2:22" s="6" customFormat="1" ht="33" customHeight="1">
      <c r="B667" s="2"/>
      <c r="C667" s="3"/>
      <c r="D667" s="2"/>
      <c r="E667" s="2"/>
      <c r="F667" s="2"/>
      <c r="G667" s="4"/>
      <c r="H667" s="4"/>
      <c r="I667" s="2"/>
      <c r="J667" s="2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2:22" ht="16.5" customHeight="1">
      <c r="F668" s="14"/>
    </row>
    <row r="669" spans="2:22" ht="33" customHeight="1">
      <c r="F669" s="14"/>
    </row>
    <row r="670" spans="2:22" ht="16.5" customHeight="1">
      <c r="F670" s="321"/>
      <c r="G670" s="326"/>
    </row>
    <row r="671" spans="2:22">
      <c r="G671" s="324"/>
    </row>
    <row r="672" spans="2:22" ht="16.5" customHeight="1">
      <c r="F672" s="14"/>
    </row>
    <row r="677" spans="6:7" ht="16.5" customHeight="1"/>
    <row r="678" spans="6:7" ht="33" customHeight="1">
      <c r="G678" s="325"/>
    </row>
    <row r="679" spans="6:7">
      <c r="G679" s="325"/>
    </row>
    <row r="680" spans="6:7" ht="33" customHeight="1">
      <c r="F680" s="321"/>
      <c r="G680" s="322"/>
    </row>
    <row r="682" spans="6:7" ht="16.5" customHeight="1">
      <c r="G682" s="324"/>
    </row>
    <row r="684" spans="6:7" ht="28.5" customHeight="1">
      <c r="G684" s="325"/>
    </row>
    <row r="685" spans="6:7" ht="16.5" customHeight="1">
      <c r="F685" s="321"/>
      <c r="G685" s="327"/>
    </row>
    <row r="686" spans="6:7">
      <c r="G686" s="325"/>
    </row>
    <row r="687" spans="6:7">
      <c r="G687" s="324"/>
    </row>
    <row r="688" spans="6:7" ht="33" customHeight="1">
      <c r="F688" s="14"/>
    </row>
    <row r="689" spans="6:22" ht="16.5" customHeight="1">
      <c r="O689" s="7"/>
      <c r="P689" s="7"/>
      <c r="Q689" s="7"/>
      <c r="R689" s="7"/>
      <c r="S689" s="7"/>
      <c r="T689" s="7"/>
      <c r="U689" s="7"/>
      <c r="V689" s="7"/>
    </row>
    <row r="690" spans="6:22">
      <c r="O690" s="7"/>
      <c r="P690" s="7"/>
      <c r="Q690" s="7"/>
      <c r="R690" s="7"/>
      <c r="S690" s="7"/>
      <c r="T690" s="7"/>
      <c r="U690" s="7"/>
      <c r="V690" s="7"/>
    </row>
    <row r="691" spans="6:22">
      <c r="G691" s="325"/>
    </row>
    <row r="692" spans="6:22" ht="33" customHeight="1">
      <c r="F692" s="14"/>
    </row>
    <row r="704" spans="6:22" ht="26.25" customHeight="1"/>
    <row r="715" ht="44.25" customHeight="1"/>
    <row r="717" ht="66" customHeight="1"/>
    <row r="718" ht="17.25" customHeight="1"/>
    <row r="725" spans="6:7" ht="16.5" customHeight="1"/>
    <row r="726" spans="6:7" ht="35.25" customHeight="1"/>
    <row r="728" spans="6:7" ht="16.5" customHeight="1">
      <c r="F728" s="14"/>
    </row>
    <row r="729" spans="6:7" ht="16.5" customHeight="1"/>
    <row r="735" spans="6:7" ht="16.5" customHeight="1">
      <c r="G735" s="324"/>
    </row>
    <row r="736" spans="6:7">
      <c r="G736" s="324"/>
    </row>
    <row r="737" spans="2:22">
      <c r="G737" s="324"/>
    </row>
    <row r="738" spans="2:22">
      <c r="O738" s="7"/>
      <c r="P738" s="7"/>
      <c r="Q738" s="7"/>
      <c r="R738" s="7"/>
      <c r="S738" s="7"/>
      <c r="T738" s="7"/>
      <c r="U738" s="7"/>
      <c r="V738" s="7"/>
    </row>
    <row r="741" spans="2:22" s="6" customFormat="1" ht="16.5" customHeight="1">
      <c r="B741" s="2"/>
      <c r="C741" s="3"/>
      <c r="D741" s="2"/>
      <c r="E741" s="2"/>
      <c r="F741" s="14"/>
      <c r="G741" s="4"/>
      <c r="H741" s="4"/>
      <c r="I741" s="2"/>
      <c r="J741" s="2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3" spans="2:22">
      <c r="O743" s="7"/>
      <c r="P743" s="7"/>
      <c r="Q743" s="7"/>
      <c r="R743" s="7"/>
      <c r="S743" s="7"/>
      <c r="T743" s="7"/>
      <c r="U743" s="7"/>
      <c r="V743" s="7"/>
    </row>
    <row r="745" spans="2:22" ht="16.5" customHeight="1"/>
    <row r="747" spans="2:22" ht="33" customHeight="1">
      <c r="F747" s="14"/>
      <c r="G747" s="324"/>
    </row>
    <row r="763" spans="8:8">
      <c r="H763" s="328"/>
    </row>
    <row r="768" spans="8:8" ht="26.25" customHeight="1"/>
    <row r="770" spans="2:22" ht="16.5" customHeight="1"/>
    <row r="775" spans="2:22" ht="16.5" customHeight="1"/>
    <row r="777" spans="2:22" ht="16.5" customHeight="1"/>
    <row r="778" spans="2:22" ht="16.5" customHeight="1"/>
    <row r="779" spans="2:22" ht="33" customHeight="1"/>
    <row r="780" spans="2:22" ht="16.5" customHeight="1"/>
    <row r="781" spans="2:22" ht="16.5" customHeight="1"/>
    <row r="782" spans="2:22" ht="16.5" customHeight="1">
      <c r="F782" s="14"/>
    </row>
    <row r="783" spans="2:22" s="6" customFormat="1" ht="49.5" customHeight="1">
      <c r="B783" s="2"/>
      <c r="C783" s="3"/>
      <c r="D783" s="2"/>
      <c r="E783" s="2"/>
      <c r="F783" s="2"/>
      <c r="G783" s="4"/>
      <c r="H783" s="4"/>
      <c r="I783" s="2"/>
      <c r="J783" s="2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2:22" ht="49.5" customHeight="1"/>
    <row r="785" spans="4:22" ht="16.5" customHeight="1">
      <c r="D785" s="333"/>
      <c r="E785" s="333"/>
      <c r="F785" s="333"/>
      <c r="G785" s="334"/>
    </row>
    <row r="786" spans="4:22" ht="16.5" customHeight="1"/>
    <row r="787" spans="4:22" ht="33" customHeight="1">
      <c r="G787" s="325"/>
      <c r="I787" s="4"/>
      <c r="O787" s="7"/>
      <c r="P787" s="7"/>
      <c r="Q787" s="7"/>
      <c r="R787" s="7"/>
      <c r="S787" s="7"/>
      <c r="T787" s="7"/>
      <c r="U787" s="7"/>
      <c r="V787" s="7"/>
    </row>
    <row r="789" spans="4:22" ht="16.5" customHeight="1">
      <c r="F789" s="321"/>
      <c r="G789" s="327"/>
    </row>
    <row r="790" spans="4:22" ht="33" customHeight="1">
      <c r="G790" s="325"/>
    </row>
    <row r="791" spans="4:22" ht="16.5" customHeight="1">
      <c r="F791" s="321"/>
      <c r="G791" s="327"/>
    </row>
    <row r="792" spans="4:22" ht="16.5" customHeight="1">
      <c r="F792" s="321"/>
      <c r="G792" s="322"/>
    </row>
    <row r="793" spans="4:22" ht="16.5" customHeight="1">
      <c r="F793" s="321"/>
      <c r="G793" s="322"/>
    </row>
    <row r="794" spans="4:22">
      <c r="F794" s="321"/>
      <c r="G794" s="322"/>
    </row>
    <row r="795" spans="4:22" ht="16.5" customHeight="1">
      <c r="F795" s="321"/>
      <c r="G795" s="327"/>
    </row>
    <row r="796" spans="4:22" ht="33" customHeight="1"/>
    <row r="797" spans="4:22" ht="16.5" customHeight="1">
      <c r="F797" s="321"/>
      <c r="G797" s="322"/>
    </row>
    <row r="798" spans="4:22">
      <c r="F798" s="321"/>
      <c r="G798" s="322"/>
    </row>
    <row r="799" spans="4:22" ht="16.5" customHeight="1">
      <c r="F799" s="321"/>
      <c r="G799" s="327"/>
    </row>
    <row r="800" spans="4:22" ht="33" customHeight="1">
      <c r="G800" s="325"/>
    </row>
    <row r="801" spans="6:22" ht="33" customHeight="1">
      <c r="F801" s="330"/>
    </row>
    <row r="802" spans="6:22">
      <c r="G802" s="325"/>
    </row>
    <row r="803" spans="6:22" ht="16.5" customHeight="1"/>
    <row r="804" spans="6:22" ht="16.5" customHeight="1">
      <c r="F804" s="321"/>
      <c r="G804" s="327"/>
    </row>
    <row r="805" spans="6:22">
      <c r="G805" s="325"/>
    </row>
    <row r="806" spans="6:22" ht="16.5" customHeight="1"/>
    <row r="807" spans="6:22" ht="33" customHeight="1">
      <c r="G807" s="325"/>
    </row>
    <row r="808" spans="6:22" ht="16.5" customHeight="1">
      <c r="F808" s="321"/>
      <c r="G808" s="327"/>
    </row>
    <row r="809" spans="6:22" ht="33" customHeight="1">
      <c r="F809" s="321"/>
      <c r="G809" s="327"/>
    </row>
    <row r="810" spans="6:22" ht="33" customHeight="1">
      <c r="F810" s="14"/>
    </row>
    <row r="812" spans="6:22" ht="16.5" customHeight="1">
      <c r="F812" s="321"/>
      <c r="G812" s="322"/>
    </row>
    <row r="813" spans="6:22">
      <c r="G813" s="325"/>
    </row>
    <row r="815" spans="6:22" ht="33" customHeight="1">
      <c r="G815" s="325"/>
      <c r="O815" s="7"/>
      <c r="P815" s="7"/>
      <c r="Q815" s="7"/>
      <c r="R815" s="7"/>
      <c r="S815" s="7"/>
      <c r="T815" s="7"/>
      <c r="U815" s="7"/>
      <c r="V815" s="7"/>
    </row>
    <row r="816" spans="6:22" ht="16.5" customHeight="1">
      <c r="G816" s="325"/>
    </row>
    <row r="817" spans="2:22" ht="33" customHeight="1">
      <c r="F817" s="321"/>
      <c r="G817" s="327"/>
      <c r="O817" s="7"/>
      <c r="P817" s="7"/>
      <c r="Q817" s="7"/>
      <c r="R817" s="7"/>
      <c r="S817" s="7"/>
      <c r="T817" s="7"/>
      <c r="U817" s="7"/>
      <c r="V817" s="7"/>
    </row>
    <row r="818" spans="2:22" ht="16.5" customHeight="1">
      <c r="F818" s="321"/>
      <c r="G818" s="322"/>
    </row>
    <row r="819" spans="2:22" s="6" customFormat="1" ht="33" customHeight="1">
      <c r="B819" s="2"/>
      <c r="C819" s="3"/>
      <c r="D819" s="2"/>
      <c r="E819" s="2"/>
      <c r="F819" s="2"/>
      <c r="G819" s="325"/>
      <c r="H819" s="4"/>
      <c r="I819" s="2"/>
      <c r="J819" s="2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2:22" ht="16.5" customHeight="1">
      <c r="F820" s="321"/>
      <c r="G820" s="327"/>
    </row>
    <row r="821" spans="2:22" ht="33" customHeight="1">
      <c r="F821" s="14"/>
      <c r="O821" s="7"/>
      <c r="P821" s="7"/>
      <c r="Q821" s="7"/>
      <c r="R821" s="7"/>
      <c r="S821" s="7"/>
      <c r="T821" s="7"/>
      <c r="U821" s="7"/>
      <c r="V821" s="7"/>
    </row>
    <row r="822" spans="2:22" s="6" customFormat="1" ht="16.5" customHeight="1">
      <c r="B822" s="2"/>
      <c r="C822" s="3"/>
      <c r="D822" s="2"/>
      <c r="E822" s="2"/>
      <c r="F822" s="2"/>
      <c r="G822" s="4"/>
      <c r="H822" s="4"/>
      <c r="I822" s="2"/>
      <c r="J822" s="2"/>
      <c r="K822" s="4"/>
      <c r="L822" s="4"/>
      <c r="M822" s="4"/>
      <c r="N822" s="4"/>
      <c r="O822" s="7"/>
      <c r="P822" s="7"/>
      <c r="Q822" s="7"/>
      <c r="R822" s="7"/>
      <c r="S822" s="7"/>
      <c r="T822" s="7"/>
      <c r="U822" s="7"/>
      <c r="V822" s="7"/>
    </row>
    <row r="823" spans="2:22" ht="16.5" customHeight="1">
      <c r="O823" s="7"/>
      <c r="P823" s="7"/>
      <c r="Q823" s="7"/>
      <c r="R823" s="7"/>
      <c r="S823" s="7"/>
      <c r="T823" s="7"/>
      <c r="U823" s="7"/>
      <c r="V823" s="7"/>
    </row>
    <row r="824" spans="2:22" ht="16.5" customHeight="1">
      <c r="D824" s="321"/>
      <c r="E824" s="321"/>
      <c r="F824" s="321"/>
      <c r="G824" s="327"/>
      <c r="O824" s="7"/>
      <c r="P824" s="7"/>
      <c r="Q824" s="7"/>
      <c r="R824" s="7"/>
      <c r="S824" s="7"/>
      <c r="T824" s="7"/>
      <c r="U824" s="7"/>
      <c r="V824" s="7"/>
    </row>
    <row r="825" spans="2:22" ht="16.5" customHeight="1">
      <c r="I825" s="4"/>
    </row>
    <row r="826" spans="2:22">
      <c r="G826" s="324"/>
    </row>
    <row r="827" spans="2:22" ht="16.5" customHeight="1">
      <c r="G827" s="324"/>
    </row>
    <row r="828" spans="2:22" s="6" customFormat="1" ht="33" customHeight="1">
      <c r="B828" s="2"/>
      <c r="C828" s="3"/>
      <c r="D828" s="2"/>
      <c r="E828" s="2"/>
      <c r="F828" s="2"/>
      <c r="G828" s="324"/>
      <c r="H828" s="4"/>
      <c r="I828" s="2"/>
      <c r="J828" s="2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2:22" s="6" customFormat="1" ht="16.5" customHeight="1">
      <c r="B829" s="2"/>
      <c r="C829" s="3"/>
      <c r="D829" s="321"/>
      <c r="E829" s="321"/>
      <c r="F829" s="321"/>
      <c r="G829" s="327"/>
      <c r="H829" s="4"/>
      <c r="I829" s="2"/>
      <c r="J829" s="2"/>
      <c r="K829" s="4"/>
      <c r="L829" s="4"/>
      <c r="M829" s="4"/>
      <c r="N829" s="4"/>
      <c r="O829" s="7"/>
      <c r="P829" s="7"/>
      <c r="Q829" s="7"/>
      <c r="R829" s="7"/>
      <c r="S829" s="7"/>
      <c r="T829" s="7"/>
      <c r="U829" s="7"/>
      <c r="V829" s="7"/>
    </row>
    <row r="830" spans="2:22" s="6" customFormat="1" ht="16.5" customHeight="1">
      <c r="B830" s="2"/>
      <c r="C830" s="3"/>
      <c r="D830" s="2"/>
      <c r="E830" s="2"/>
      <c r="F830" s="2"/>
      <c r="G830" s="4"/>
      <c r="H830" s="4"/>
      <c r="I830" s="2"/>
      <c r="J830" s="2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2:22" s="6" customFormat="1" ht="16.5" customHeight="1">
      <c r="B831" s="2"/>
      <c r="C831" s="3"/>
      <c r="D831" s="2"/>
      <c r="E831" s="2"/>
      <c r="F831" s="2"/>
      <c r="G831" s="4"/>
      <c r="H831" s="4"/>
      <c r="I831" s="2"/>
      <c r="J831" s="2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2:22" s="6" customFormat="1" ht="33" customHeight="1">
      <c r="B832" s="2"/>
      <c r="C832" s="3"/>
      <c r="D832" s="2"/>
      <c r="E832" s="2"/>
      <c r="F832" s="2"/>
      <c r="G832" s="4"/>
      <c r="H832" s="4"/>
      <c r="I832" s="2"/>
      <c r="J832" s="2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5" spans="2:22" ht="16.5" customHeight="1">
      <c r="F835" s="321"/>
      <c r="G835" s="322"/>
    </row>
    <row r="836" spans="2:22" ht="33" customHeight="1">
      <c r="G836" s="324"/>
    </row>
    <row r="837" spans="2:22">
      <c r="G837" s="335"/>
    </row>
    <row r="838" spans="2:22" ht="33" customHeight="1">
      <c r="F838" s="321"/>
      <c r="G838" s="322"/>
    </row>
    <row r="839" spans="2:22" ht="33" customHeight="1">
      <c r="D839" s="331"/>
      <c r="E839" s="331"/>
      <c r="F839" s="331"/>
      <c r="G839" s="332"/>
    </row>
    <row r="840" spans="2:22">
      <c r="G840" s="325"/>
    </row>
    <row r="842" spans="2:22" ht="33" customHeight="1"/>
    <row r="843" spans="2:22" ht="16.5" customHeight="1">
      <c r="O843" s="7"/>
      <c r="P843" s="7"/>
      <c r="Q843" s="7"/>
      <c r="R843" s="7"/>
      <c r="S843" s="7"/>
      <c r="T843" s="7"/>
      <c r="U843" s="7"/>
      <c r="V843" s="7"/>
    </row>
    <row r="846" spans="2:22">
      <c r="I846" s="4"/>
    </row>
    <row r="848" spans="2:22" s="6" customFormat="1">
      <c r="B848" s="2"/>
      <c r="C848" s="3"/>
      <c r="D848" s="2"/>
      <c r="E848" s="2"/>
      <c r="F848" s="2"/>
      <c r="G848" s="4"/>
      <c r="H848" s="4"/>
      <c r="I848" s="2"/>
      <c r="J848" s="2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2:22">
      <c r="G849" s="325"/>
    </row>
    <row r="851" spans="2:22" ht="30.75" customHeight="1">
      <c r="B851" s="336"/>
      <c r="C851" s="318"/>
      <c r="F851" s="337"/>
      <c r="G851" s="338"/>
      <c r="H851" s="338"/>
      <c r="J851" s="313"/>
    </row>
    <row r="852" spans="2:22" ht="33" customHeight="1"/>
    <row r="853" spans="2:22" ht="24.75" customHeight="1">
      <c r="B853" s="6"/>
      <c r="C853" s="260"/>
      <c r="D853" s="317"/>
      <c r="E853" s="6"/>
      <c r="F853" s="261"/>
      <c r="G853" s="7"/>
      <c r="H853" s="7"/>
      <c r="I853" s="7"/>
      <c r="J853" s="6"/>
      <c r="K853" s="7"/>
      <c r="L853" s="7"/>
      <c r="M853" s="7"/>
      <c r="N853" s="7"/>
    </row>
    <row r="854" spans="2:22" s="8" customFormat="1" ht="33" customHeight="1">
      <c r="C854" s="11"/>
      <c r="F854" s="14"/>
      <c r="G854" s="10"/>
      <c r="H854" s="339"/>
      <c r="I854" s="34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</row>
    <row r="855" spans="2:22" s="8" customFormat="1" ht="16.5" customHeight="1">
      <c r="C855" s="11"/>
      <c r="F855" s="14"/>
      <c r="G855" s="10"/>
      <c r="H855" s="10"/>
      <c r="I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</row>
    <row r="856" spans="2:22" s="8" customFormat="1">
      <c r="C856" s="11"/>
      <c r="F856" s="14"/>
      <c r="G856" s="10"/>
      <c r="H856" s="339"/>
      <c r="I856" s="339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</row>
    <row r="857" spans="2:22" s="8" customFormat="1" ht="16.5" customHeight="1">
      <c r="C857" s="11"/>
      <c r="G857" s="10"/>
      <c r="H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</row>
    <row r="858" spans="2:22" s="8" customFormat="1">
      <c r="C858" s="11"/>
      <c r="D858" s="341"/>
      <c r="E858" s="341"/>
      <c r="F858" s="341"/>
      <c r="G858" s="342"/>
      <c r="H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</row>
    <row r="859" spans="2:22" s="8" customFormat="1">
      <c r="C859" s="11"/>
      <c r="D859" s="341"/>
      <c r="E859" s="341"/>
      <c r="F859" s="341"/>
      <c r="G859" s="342"/>
      <c r="H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</row>
    <row r="860" spans="2:22" s="8" customFormat="1">
      <c r="C860" s="11"/>
      <c r="D860" s="341"/>
      <c r="E860" s="341"/>
      <c r="F860" s="341"/>
      <c r="G860" s="342"/>
      <c r="H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</row>
    <row r="861" spans="2:22" s="8" customFormat="1" ht="33" customHeight="1">
      <c r="C861" s="11"/>
      <c r="G861" s="10"/>
      <c r="H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</row>
    <row r="862" spans="2:22" s="8" customFormat="1" ht="27.95" customHeight="1">
      <c r="C862" s="11"/>
      <c r="G862" s="10"/>
      <c r="H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</row>
    <row r="863" spans="2:22" s="8" customFormat="1" ht="16.5" customHeight="1">
      <c r="C863" s="11"/>
      <c r="G863" s="10"/>
      <c r="H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</row>
    <row r="864" spans="2:22" s="8" customFormat="1">
      <c r="C864" s="11"/>
      <c r="G864" s="10"/>
      <c r="H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</row>
    <row r="865" spans="3:22" s="8" customFormat="1" ht="33" customHeight="1">
      <c r="C865" s="11"/>
      <c r="G865" s="10"/>
      <c r="H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</row>
    <row r="866" spans="3:22" s="8" customFormat="1">
      <c r="C866" s="11"/>
      <c r="G866" s="10"/>
      <c r="H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</row>
    <row r="867" spans="3:22" s="8" customFormat="1" ht="33" customHeight="1">
      <c r="C867" s="11"/>
      <c r="G867" s="10"/>
      <c r="H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</row>
    <row r="868" spans="3:22" s="8" customFormat="1">
      <c r="C868" s="11"/>
      <c r="G868" s="10"/>
      <c r="H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</row>
    <row r="869" spans="3:22" s="8" customFormat="1">
      <c r="C869" s="11"/>
      <c r="D869" s="341"/>
      <c r="E869" s="341"/>
      <c r="F869" s="341"/>
      <c r="G869" s="342"/>
      <c r="H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</row>
    <row r="870" spans="3:22" s="8" customFormat="1">
      <c r="C870" s="11"/>
      <c r="G870" s="10"/>
      <c r="H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</row>
    <row r="871" spans="3:22" s="8" customFormat="1" ht="16.5" customHeight="1">
      <c r="C871" s="11"/>
      <c r="G871" s="10"/>
      <c r="H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</row>
    <row r="872" spans="3:22" s="8" customFormat="1">
      <c r="C872" s="11"/>
      <c r="G872" s="10"/>
      <c r="H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</row>
    <row r="873" spans="3:22" s="8" customFormat="1" ht="33" customHeight="1">
      <c r="C873" s="11"/>
      <c r="D873" s="341"/>
      <c r="E873" s="341"/>
      <c r="F873" s="341"/>
      <c r="G873" s="342"/>
      <c r="H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</row>
    <row r="874" spans="3:22" s="8" customFormat="1" ht="16.5" customHeight="1">
      <c r="C874" s="11"/>
      <c r="F874" s="14"/>
      <c r="G874" s="10"/>
      <c r="H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</row>
    <row r="875" spans="3:22" s="8" customFormat="1" ht="33" customHeight="1">
      <c r="C875" s="11"/>
      <c r="F875" s="14"/>
      <c r="G875" s="10"/>
      <c r="H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</row>
    <row r="876" spans="3:22" s="8" customFormat="1" ht="16.5" customHeight="1">
      <c r="C876" s="11"/>
      <c r="G876" s="10"/>
      <c r="H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</row>
    <row r="877" spans="3:22" s="8" customFormat="1" ht="16.5" customHeight="1">
      <c r="C877" s="11"/>
      <c r="G877" s="10"/>
      <c r="H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</row>
    <row r="878" spans="3:22" s="8" customFormat="1">
      <c r="C878" s="11"/>
      <c r="G878" s="10"/>
      <c r="H878" s="10"/>
      <c r="I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</row>
    <row r="879" spans="3:22" s="8" customFormat="1" ht="16.5" customHeight="1">
      <c r="C879" s="11"/>
      <c r="G879" s="10"/>
      <c r="H879" s="10"/>
      <c r="I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</row>
    <row r="880" spans="3:22" s="8" customFormat="1" ht="19.5" customHeight="1">
      <c r="C880" s="11"/>
      <c r="G880" s="10"/>
      <c r="H880" s="10"/>
      <c r="I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</row>
    <row r="881" spans="3:22" s="8" customFormat="1" ht="33" customHeight="1">
      <c r="C881" s="11"/>
      <c r="F881" s="14"/>
      <c r="G881" s="10"/>
      <c r="H881" s="10"/>
      <c r="I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</row>
    <row r="882" spans="3:22" s="8" customFormat="1">
      <c r="C882" s="11"/>
      <c r="F882" s="14"/>
      <c r="G882" s="10"/>
      <c r="H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</row>
    <row r="883" spans="3:22" s="8" customFormat="1" ht="16.5" customHeight="1">
      <c r="C883" s="11"/>
      <c r="F883" s="14"/>
      <c r="G883" s="10"/>
      <c r="H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</row>
    <row r="884" spans="3:22" s="8" customFormat="1">
      <c r="C884" s="11"/>
      <c r="G884" s="10"/>
      <c r="H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</row>
    <row r="885" spans="3:22" s="8" customFormat="1" ht="33" customHeight="1">
      <c r="C885" s="11"/>
      <c r="D885" s="341"/>
      <c r="E885" s="341"/>
      <c r="F885" s="341"/>
      <c r="G885" s="342"/>
      <c r="H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</row>
    <row r="886" spans="3:22" s="8" customFormat="1" ht="16.5" customHeight="1">
      <c r="C886" s="11"/>
      <c r="G886" s="10"/>
      <c r="H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</row>
    <row r="887" spans="3:22" s="8" customFormat="1" ht="16.5" customHeight="1">
      <c r="C887" s="11"/>
      <c r="D887" s="341"/>
      <c r="E887" s="341"/>
      <c r="F887" s="341"/>
      <c r="G887" s="342"/>
      <c r="H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</row>
    <row r="888" spans="3:22" s="8" customFormat="1" ht="33" customHeight="1">
      <c r="C888" s="11"/>
      <c r="D888" s="341"/>
      <c r="E888" s="341"/>
      <c r="F888" s="341"/>
      <c r="G888" s="342"/>
      <c r="H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</row>
    <row r="889" spans="3:22" s="8" customFormat="1" ht="16.5" customHeight="1">
      <c r="C889" s="11"/>
      <c r="G889" s="10"/>
      <c r="H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</row>
    <row r="890" spans="3:22" s="8" customFormat="1" ht="16.5" customHeight="1">
      <c r="C890" s="11"/>
      <c r="F890" s="14"/>
      <c r="G890" s="10"/>
      <c r="H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</row>
    <row r="891" spans="3:22" s="8" customFormat="1" ht="16.5" customHeight="1">
      <c r="C891" s="11"/>
      <c r="D891" s="9"/>
      <c r="E891" s="343"/>
      <c r="F891" s="9"/>
      <c r="G891" s="329"/>
      <c r="H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</row>
    <row r="892" spans="3:22" s="8" customFormat="1" ht="16.5" customHeight="1">
      <c r="C892" s="11"/>
      <c r="F892" s="14"/>
      <c r="G892" s="10"/>
      <c r="H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</row>
    <row r="893" spans="3:22" s="8" customFormat="1" ht="16.5" customHeight="1">
      <c r="C893" s="11"/>
      <c r="G893" s="10"/>
      <c r="H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</row>
    <row r="894" spans="3:22" s="8" customFormat="1">
      <c r="C894" s="11"/>
      <c r="G894" s="10"/>
      <c r="H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</row>
    <row r="895" spans="3:22" s="8" customFormat="1" ht="16.5" customHeight="1">
      <c r="C895" s="11"/>
      <c r="D895" s="341"/>
      <c r="E895" s="341"/>
      <c r="F895" s="341"/>
      <c r="G895" s="342"/>
      <c r="H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</row>
    <row r="896" spans="3:22" s="8" customFormat="1" ht="16.5" customHeight="1">
      <c r="C896" s="11"/>
      <c r="G896" s="10"/>
      <c r="H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</row>
    <row r="897" spans="3:22" s="8" customFormat="1" ht="16.5" customHeight="1">
      <c r="C897" s="11"/>
      <c r="D897" s="341"/>
      <c r="E897" s="341"/>
      <c r="F897" s="341"/>
      <c r="G897" s="342"/>
      <c r="H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</row>
    <row r="898" spans="3:22" s="8" customFormat="1" ht="16.5" customHeight="1">
      <c r="C898" s="11"/>
      <c r="G898" s="10"/>
      <c r="H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</row>
    <row r="899" spans="3:22" s="8" customFormat="1" ht="26.25" customHeight="1">
      <c r="C899" s="11"/>
      <c r="G899" s="10"/>
      <c r="H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</row>
    <row r="900" spans="3:22" s="8" customFormat="1" ht="33" customHeight="1">
      <c r="C900" s="11"/>
      <c r="D900" s="341"/>
      <c r="E900" s="341"/>
      <c r="F900" s="341"/>
      <c r="G900" s="342"/>
      <c r="H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</row>
    <row r="901" spans="3:22" s="8" customFormat="1" ht="16.5" customHeight="1">
      <c r="C901" s="11"/>
      <c r="D901" s="341"/>
      <c r="E901" s="341"/>
      <c r="F901" s="341"/>
      <c r="G901" s="342"/>
      <c r="H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</row>
    <row r="902" spans="3:22" s="8" customFormat="1">
      <c r="C902" s="11"/>
      <c r="G902" s="10"/>
      <c r="H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</row>
    <row r="903" spans="3:22" s="8" customFormat="1" ht="16.5" customHeight="1">
      <c r="C903" s="11"/>
      <c r="D903" s="341"/>
      <c r="E903" s="341"/>
      <c r="F903" s="341"/>
      <c r="G903" s="342"/>
      <c r="H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</row>
    <row r="904" spans="3:22" s="8" customFormat="1" ht="33" customHeight="1">
      <c r="C904" s="11"/>
      <c r="G904" s="10"/>
      <c r="H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</row>
    <row r="905" spans="3:22" s="8" customFormat="1" ht="16.5" customHeight="1">
      <c r="C905" s="11"/>
      <c r="G905" s="10"/>
      <c r="H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</row>
    <row r="906" spans="3:22" s="8" customFormat="1">
      <c r="C906" s="11"/>
      <c r="G906" s="10"/>
      <c r="H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</row>
    <row r="907" spans="3:22" s="8" customFormat="1" ht="33" customHeight="1">
      <c r="C907" s="11"/>
      <c r="D907" s="341"/>
      <c r="E907" s="341"/>
      <c r="F907" s="341"/>
      <c r="G907" s="342"/>
      <c r="H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</row>
    <row r="908" spans="3:22" s="8" customFormat="1" ht="33" customHeight="1">
      <c r="C908" s="11"/>
      <c r="G908" s="10"/>
      <c r="H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</row>
    <row r="909" spans="3:22" s="8" customFormat="1" ht="16.5" customHeight="1">
      <c r="C909" s="11"/>
      <c r="G909" s="10"/>
      <c r="H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</row>
    <row r="910" spans="3:22" s="8" customFormat="1">
      <c r="C910" s="11"/>
      <c r="D910" s="341"/>
      <c r="E910" s="341"/>
      <c r="F910" s="341"/>
      <c r="G910" s="342"/>
      <c r="H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</row>
    <row r="911" spans="3:22" s="8" customFormat="1">
      <c r="C911" s="11"/>
      <c r="G911" s="10"/>
      <c r="H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</row>
    <row r="912" spans="3:22" s="8" customFormat="1" ht="16.5" customHeight="1">
      <c r="C912" s="11"/>
      <c r="G912" s="10"/>
      <c r="H912" s="339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</row>
    <row r="913" spans="3:22" s="8" customFormat="1" ht="33" customHeight="1">
      <c r="C913" s="11"/>
      <c r="G913" s="10"/>
      <c r="H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</row>
    <row r="914" spans="3:22" s="8" customFormat="1" ht="16.5" customHeight="1">
      <c r="C914" s="11"/>
      <c r="G914" s="10"/>
      <c r="H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</row>
    <row r="915" spans="3:22" s="8" customFormat="1">
      <c r="C915" s="11"/>
      <c r="G915" s="10"/>
      <c r="H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</row>
    <row r="916" spans="3:22" s="8" customFormat="1">
      <c r="C916" s="11"/>
      <c r="G916" s="10"/>
      <c r="H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</row>
    <row r="917" spans="3:22" s="8" customFormat="1" ht="16.5" customHeight="1">
      <c r="C917" s="11"/>
      <c r="F917" s="14"/>
      <c r="G917" s="10"/>
      <c r="H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</row>
    <row r="918" spans="3:22" s="8" customFormat="1">
      <c r="C918" s="11"/>
      <c r="G918" s="10"/>
      <c r="H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</row>
    <row r="919" spans="3:22" s="8" customFormat="1" ht="19.5">
      <c r="C919" s="11"/>
      <c r="D919" s="317"/>
      <c r="G919" s="10"/>
      <c r="H919" s="344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</row>
    <row r="920" spans="3:22" s="8" customFormat="1" ht="19.5">
      <c r="C920" s="11"/>
      <c r="G920" s="10"/>
      <c r="H920" s="344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</row>
    <row r="921" spans="3:22" s="8" customFormat="1">
      <c r="C921" s="11"/>
      <c r="G921" s="10"/>
      <c r="H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</row>
    <row r="922" spans="3:22" s="8" customFormat="1">
      <c r="C922" s="11"/>
      <c r="G922" s="10"/>
      <c r="H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</row>
    <row r="923" spans="3:22" s="8" customFormat="1">
      <c r="C923" s="11"/>
      <c r="D923" s="9"/>
      <c r="G923" s="10"/>
      <c r="H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</row>
    <row r="924" spans="3:22" s="8" customFormat="1">
      <c r="C924" s="11"/>
      <c r="D924" s="9"/>
      <c r="G924" s="329"/>
      <c r="H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</row>
    <row r="925" spans="3:22" s="8" customFormat="1" ht="16.5" customHeight="1">
      <c r="C925" s="11"/>
      <c r="D925" s="9"/>
      <c r="G925" s="329"/>
      <c r="H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</row>
    <row r="926" spans="3:22" s="8" customFormat="1">
      <c r="C926" s="11"/>
      <c r="D926" s="9"/>
      <c r="G926" s="329"/>
      <c r="H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</row>
    <row r="927" spans="3:22" s="8" customFormat="1">
      <c r="C927" s="11"/>
      <c r="D927" s="9"/>
      <c r="G927" s="329"/>
      <c r="H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</row>
    <row r="928" spans="3:22" s="8" customFormat="1" ht="16.5" customHeight="1">
      <c r="C928" s="11"/>
      <c r="D928" s="9"/>
      <c r="G928" s="329"/>
      <c r="H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</row>
    <row r="929" spans="3:22" s="8" customFormat="1" ht="16.5" customHeight="1">
      <c r="C929" s="11"/>
      <c r="D929" s="9"/>
      <c r="G929" s="329"/>
      <c r="H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</row>
    <row r="930" spans="3:22" s="8" customFormat="1" ht="16.5" customHeight="1">
      <c r="C930" s="11"/>
      <c r="D930" s="9"/>
      <c r="G930" s="329"/>
      <c r="H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</row>
    <row r="931" spans="3:22" s="8" customFormat="1">
      <c r="C931" s="11"/>
      <c r="G931" s="10"/>
      <c r="H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</row>
    <row r="932" spans="3:22" s="8" customFormat="1">
      <c r="C932" s="11"/>
      <c r="G932" s="10"/>
      <c r="H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</row>
    <row r="933" spans="3:22" s="8" customFormat="1">
      <c r="C933" s="11"/>
      <c r="G933" s="10"/>
      <c r="H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</row>
    <row r="934" spans="3:22" s="8" customFormat="1" ht="33" customHeight="1">
      <c r="C934" s="11"/>
      <c r="G934" s="10"/>
      <c r="H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</row>
    <row r="935" spans="3:22" s="8" customFormat="1" ht="33" customHeight="1">
      <c r="C935" s="11"/>
      <c r="G935" s="10"/>
      <c r="H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</row>
    <row r="936" spans="3:22" s="8" customFormat="1" ht="33" customHeight="1">
      <c r="C936" s="11"/>
      <c r="G936" s="10"/>
      <c r="H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</row>
    <row r="937" spans="3:22" s="8" customFormat="1" ht="33" customHeight="1">
      <c r="C937" s="11"/>
      <c r="F937" s="14"/>
      <c r="G937" s="10"/>
      <c r="H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</row>
    <row r="938" spans="3:22" s="8" customFormat="1" ht="31.5" customHeight="1">
      <c r="C938" s="11"/>
      <c r="G938" s="10"/>
      <c r="H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</row>
    <row r="939" spans="3:22" s="8" customFormat="1">
      <c r="C939" s="11"/>
      <c r="G939" s="10"/>
      <c r="H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</row>
    <row r="940" spans="3:22" s="8" customFormat="1">
      <c r="C940" s="11"/>
      <c r="G940" s="10"/>
      <c r="H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</row>
    <row r="941" spans="3:22" s="8" customFormat="1">
      <c r="C941" s="11"/>
      <c r="G941" s="10"/>
      <c r="H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</row>
    <row r="942" spans="3:22" s="8" customFormat="1" ht="33" customHeight="1">
      <c r="C942" s="11"/>
      <c r="D942" s="341"/>
      <c r="E942" s="341"/>
      <c r="F942" s="341"/>
      <c r="G942" s="342"/>
      <c r="H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</row>
    <row r="943" spans="3:22" s="8" customFormat="1" ht="16.5" customHeight="1">
      <c r="C943" s="11"/>
      <c r="D943" s="341"/>
      <c r="E943" s="341"/>
      <c r="F943" s="341"/>
      <c r="G943" s="342"/>
      <c r="H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</row>
    <row r="944" spans="3:22" s="8" customFormat="1" ht="16.5" customHeight="1">
      <c r="C944" s="11"/>
      <c r="D944" s="341"/>
      <c r="E944" s="341"/>
      <c r="F944" s="341"/>
      <c r="G944" s="342"/>
      <c r="H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</row>
    <row r="945" spans="3:22" s="8" customFormat="1">
      <c r="C945" s="11"/>
      <c r="G945" s="10"/>
      <c r="H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</row>
    <row r="946" spans="3:22" s="8" customFormat="1">
      <c r="C946" s="11"/>
      <c r="G946" s="10"/>
      <c r="H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</row>
    <row r="947" spans="3:22" s="8" customFormat="1" ht="16.5" customHeight="1">
      <c r="C947" s="11"/>
      <c r="D947" s="341"/>
      <c r="E947" s="341"/>
      <c r="F947" s="341"/>
      <c r="G947" s="342"/>
      <c r="H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</row>
    <row r="948" spans="3:22" s="8" customFormat="1" ht="16.5" customHeight="1">
      <c r="C948" s="11"/>
      <c r="D948" s="341"/>
      <c r="E948" s="341"/>
      <c r="F948" s="341"/>
      <c r="G948" s="342"/>
      <c r="H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</row>
    <row r="949" spans="3:22" s="8" customFormat="1" ht="16.5" customHeight="1">
      <c r="C949" s="11"/>
      <c r="D949" s="341"/>
      <c r="E949" s="341"/>
      <c r="F949" s="341"/>
      <c r="G949" s="342"/>
      <c r="H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</row>
    <row r="950" spans="3:22" s="8" customFormat="1" ht="16.5" customHeight="1">
      <c r="C950" s="11"/>
      <c r="D950" s="341"/>
      <c r="E950" s="341"/>
      <c r="F950" s="341"/>
      <c r="G950" s="342"/>
      <c r="H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</row>
    <row r="951" spans="3:22" s="8" customFormat="1" ht="16.5" customHeight="1">
      <c r="C951" s="11"/>
      <c r="G951" s="10"/>
      <c r="H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</row>
    <row r="952" spans="3:22" s="8" customFormat="1">
      <c r="C952" s="11"/>
      <c r="D952" s="341"/>
      <c r="E952" s="341"/>
      <c r="F952" s="341"/>
      <c r="G952" s="342"/>
      <c r="H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</row>
    <row r="953" spans="3:22" s="8" customFormat="1" ht="33" customHeight="1">
      <c r="C953" s="11"/>
      <c r="G953" s="10"/>
      <c r="H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</row>
    <row r="954" spans="3:22" s="8" customFormat="1">
      <c r="C954" s="11"/>
      <c r="G954" s="10"/>
      <c r="H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</row>
    <row r="955" spans="3:22" s="8" customFormat="1" ht="16.5" customHeight="1">
      <c r="C955" s="11"/>
      <c r="G955" s="10"/>
      <c r="H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</row>
    <row r="956" spans="3:22" s="8" customFormat="1">
      <c r="C956" s="11"/>
      <c r="G956" s="10"/>
      <c r="H956" s="339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</row>
    <row r="957" spans="3:22" s="8" customFormat="1">
      <c r="C957" s="11"/>
      <c r="G957" s="10"/>
      <c r="H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</row>
    <row r="958" spans="3:22" s="8" customFormat="1" ht="16.5" customHeight="1">
      <c r="C958" s="11"/>
      <c r="G958" s="10"/>
      <c r="H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</row>
    <row r="959" spans="3:22" s="8" customFormat="1">
      <c r="C959" s="11"/>
      <c r="G959" s="10"/>
      <c r="H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</row>
    <row r="960" spans="3:22" s="8" customFormat="1" ht="16.5" customHeight="1">
      <c r="C960" s="11"/>
      <c r="G960" s="10"/>
      <c r="H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</row>
    <row r="961" spans="3:22" s="8" customFormat="1" ht="16.5" customHeight="1">
      <c r="C961" s="11"/>
      <c r="F961" s="14"/>
      <c r="G961" s="10"/>
      <c r="H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</row>
    <row r="962" spans="3:22" s="8" customFormat="1">
      <c r="C962" s="11"/>
      <c r="G962" s="10"/>
      <c r="H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</row>
    <row r="963" spans="3:22" s="8" customFormat="1">
      <c r="C963" s="11"/>
      <c r="G963" s="10"/>
      <c r="H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</row>
    <row r="964" spans="3:22" s="8" customFormat="1">
      <c r="C964" s="11"/>
      <c r="G964" s="10"/>
      <c r="H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</row>
    <row r="965" spans="3:22" s="8" customFormat="1" ht="33" customHeight="1">
      <c r="C965" s="11"/>
      <c r="G965" s="10"/>
      <c r="H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</row>
    <row r="966" spans="3:22" s="8" customFormat="1" ht="33" customHeight="1">
      <c r="C966" s="11"/>
      <c r="G966" s="10"/>
      <c r="H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</row>
    <row r="967" spans="3:22" s="8" customFormat="1">
      <c r="C967" s="11"/>
      <c r="G967" s="10"/>
      <c r="H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</row>
    <row r="968" spans="3:22" s="8" customFormat="1">
      <c r="C968" s="11"/>
      <c r="G968" s="10"/>
      <c r="H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</row>
    <row r="969" spans="3:22" s="8" customFormat="1">
      <c r="C969" s="11"/>
      <c r="G969" s="10"/>
      <c r="H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</row>
    <row r="970" spans="3:22" s="8" customFormat="1" ht="22.5" customHeight="1">
      <c r="C970" s="11"/>
      <c r="G970" s="10"/>
      <c r="H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</row>
    <row r="971" spans="3:22" s="8" customFormat="1">
      <c r="C971" s="11"/>
      <c r="G971" s="10"/>
      <c r="H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</row>
    <row r="972" spans="3:22" s="8" customFormat="1" ht="33" customHeight="1">
      <c r="C972" s="11"/>
      <c r="G972" s="10"/>
      <c r="H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</row>
    <row r="973" spans="3:22" s="8" customFormat="1" ht="16.5" customHeight="1">
      <c r="C973" s="11"/>
      <c r="G973" s="10"/>
      <c r="H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</row>
    <row r="974" spans="3:22" s="8" customFormat="1" ht="16.5" customHeight="1">
      <c r="C974" s="11"/>
      <c r="G974" s="10"/>
      <c r="H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</row>
    <row r="975" spans="3:22" s="8" customFormat="1" ht="16.5" customHeight="1">
      <c r="C975" s="11"/>
      <c r="G975" s="10"/>
      <c r="H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</row>
    <row r="976" spans="3:22" s="8" customFormat="1" ht="33" customHeight="1">
      <c r="C976" s="11"/>
      <c r="D976" s="14"/>
      <c r="E976" s="9"/>
      <c r="F976" s="341"/>
      <c r="G976" s="342"/>
      <c r="H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</row>
    <row r="977" spans="3:22" s="8" customFormat="1" ht="16.5" customHeight="1">
      <c r="C977" s="11"/>
      <c r="D977" s="14"/>
      <c r="E977" s="9"/>
      <c r="F977" s="341"/>
      <c r="G977" s="342"/>
      <c r="H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</row>
    <row r="978" spans="3:22" s="8" customFormat="1" ht="33" customHeight="1">
      <c r="C978" s="11"/>
      <c r="D978" s="14"/>
      <c r="E978" s="9"/>
      <c r="F978" s="341"/>
      <c r="G978" s="342"/>
      <c r="H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</row>
    <row r="979" spans="3:22" s="8" customFormat="1" ht="16.5" customHeight="1">
      <c r="C979" s="11"/>
      <c r="F979" s="14"/>
      <c r="G979" s="10"/>
      <c r="H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</row>
    <row r="980" spans="3:22" s="8" customFormat="1" ht="16.5" customHeight="1">
      <c r="C980" s="11"/>
      <c r="G980" s="10"/>
      <c r="H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</row>
    <row r="981" spans="3:22" s="8" customFormat="1">
      <c r="C981" s="11"/>
      <c r="G981" s="10"/>
      <c r="H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</row>
    <row r="982" spans="3:22" s="8" customFormat="1">
      <c r="C982" s="11"/>
      <c r="G982" s="10"/>
      <c r="H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</row>
    <row r="983" spans="3:22" s="8" customFormat="1" ht="16.5" customHeight="1">
      <c r="C983" s="11"/>
      <c r="D983" s="14"/>
      <c r="E983" s="9"/>
      <c r="F983" s="341"/>
      <c r="G983" s="342"/>
      <c r="H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</row>
    <row r="984" spans="3:22" s="8" customFormat="1">
      <c r="C984" s="11"/>
      <c r="G984" s="10"/>
      <c r="H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</row>
    <row r="985" spans="3:22" s="8" customFormat="1" ht="19.5">
      <c r="C985" s="11"/>
      <c r="D985" s="12"/>
      <c r="E985" s="12"/>
      <c r="G985" s="10"/>
      <c r="H985" s="344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</row>
    <row r="986" spans="3:22" s="8" customFormat="1">
      <c r="C986" s="11"/>
      <c r="G986" s="10"/>
      <c r="H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</row>
    <row r="987" spans="3:22" s="8" customFormat="1" ht="24" customHeight="1">
      <c r="C987" s="11"/>
      <c r="E987" s="12"/>
      <c r="G987" s="344"/>
      <c r="H987" s="344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</row>
    <row r="988" spans="3:22" s="8" customFormat="1">
      <c r="C988" s="11"/>
      <c r="G988" s="10"/>
      <c r="H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</row>
    <row r="990" spans="3:22">
      <c r="F990" s="14"/>
      <c r="H990" s="20"/>
    </row>
    <row r="991" spans="3:22" s="17" customFormat="1" ht="28.5" customHeight="1">
      <c r="C991" s="345"/>
      <c r="D991" s="317"/>
      <c r="E991" s="316"/>
      <c r="G991" s="18"/>
      <c r="H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</row>
    <row r="992" spans="3:22" ht="37.5" customHeight="1">
      <c r="H992" s="346"/>
    </row>
    <row r="993" spans="8:8" ht="37.5" customHeight="1">
      <c r="H993" s="332"/>
    </row>
    <row r="994" spans="8:8" ht="37.5" customHeight="1">
      <c r="H994" s="346"/>
    </row>
    <row r="995" spans="8:8" ht="37.5" customHeight="1">
      <c r="H995" s="346"/>
    </row>
    <row r="996" spans="8:8" ht="37.5" customHeight="1">
      <c r="H996" s="346"/>
    </row>
    <row r="997" spans="8:8" ht="37.5" customHeight="1">
      <c r="H997" s="346"/>
    </row>
    <row r="998" spans="8:8" ht="37.5" customHeight="1">
      <c r="H998" s="346"/>
    </row>
    <row r="999" spans="8:8" ht="37.5" customHeight="1">
      <c r="H999" s="346"/>
    </row>
    <row r="1000" spans="8:8" ht="37.5" customHeight="1">
      <c r="H1000" s="346"/>
    </row>
    <row r="1001" spans="8:8" ht="37.5" customHeight="1">
      <c r="H1001" s="346"/>
    </row>
    <row r="1002" spans="8:8" ht="37.5" customHeight="1">
      <c r="H1002" s="346"/>
    </row>
    <row r="1003" spans="8:8" ht="37.5" customHeight="1">
      <c r="H1003" s="346"/>
    </row>
    <row r="1004" spans="8:8" ht="37.5" customHeight="1">
      <c r="H1004" s="346"/>
    </row>
    <row r="1005" spans="8:8" ht="37.5" customHeight="1">
      <c r="H1005" s="346"/>
    </row>
    <row r="1006" spans="8:8" ht="37.5" customHeight="1">
      <c r="H1006" s="346"/>
    </row>
    <row r="1007" spans="8:8" ht="37.5" customHeight="1">
      <c r="H1007" s="346"/>
    </row>
    <row r="1009" spans="2:22" ht="19.5" customHeight="1"/>
    <row r="1010" spans="2:22" ht="19.5" customHeight="1"/>
    <row r="1011" spans="2:22" ht="27.75" customHeight="1">
      <c r="D1011" s="319"/>
    </row>
    <row r="1012" spans="2:22">
      <c r="B1012" s="6"/>
      <c r="C1012" s="260"/>
      <c r="D1012" s="6"/>
      <c r="E1012" s="6"/>
      <c r="F1012" s="6"/>
      <c r="G1012" s="7"/>
      <c r="H1012" s="7"/>
      <c r="I1012" s="6"/>
      <c r="J1012" s="6"/>
      <c r="K1012" s="347"/>
      <c r="L1012" s="7"/>
      <c r="M1012" s="7"/>
      <c r="N1012" s="7"/>
    </row>
    <row r="1013" spans="2:22" s="6" customFormat="1">
      <c r="C1013" s="260"/>
      <c r="F1013" s="348"/>
      <c r="G1013" s="349"/>
      <c r="H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</row>
    <row r="1014" spans="2:22">
      <c r="B1014" s="6"/>
      <c r="C1014" s="260"/>
      <c r="D1014" s="6"/>
      <c r="E1014" s="6"/>
      <c r="F1014" s="6"/>
      <c r="G1014" s="350"/>
      <c r="H1014" s="7"/>
      <c r="I1014" s="6"/>
      <c r="J1014" s="6"/>
      <c r="K1014" s="7"/>
      <c r="L1014" s="7"/>
      <c r="M1014" s="7"/>
      <c r="N1014" s="7"/>
    </row>
    <row r="1015" spans="2:22" ht="18" customHeight="1">
      <c r="B1015" s="6"/>
      <c r="C1015" s="260"/>
      <c r="D1015" s="6"/>
      <c r="E1015" s="6"/>
      <c r="F1015" s="6"/>
      <c r="G1015" s="350"/>
      <c r="H1015" s="7"/>
      <c r="I1015" s="6"/>
      <c r="J1015" s="6"/>
      <c r="K1015" s="7"/>
      <c r="L1015" s="7"/>
      <c r="M1015" s="7"/>
      <c r="N1015" s="7"/>
    </row>
    <row r="1016" spans="2:22">
      <c r="B1016" s="6"/>
      <c r="C1016" s="260"/>
      <c r="D1016" s="6"/>
      <c r="E1016" s="6"/>
      <c r="F1016" s="6"/>
      <c r="G1016" s="347"/>
      <c r="H1016" s="7"/>
      <c r="I1016" s="6"/>
      <c r="J1016" s="6"/>
      <c r="K1016" s="7"/>
      <c r="L1016" s="7"/>
      <c r="M1016" s="7"/>
      <c r="N1016" s="7"/>
    </row>
    <row r="1017" spans="2:22">
      <c r="B1017" s="6"/>
      <c r="C1017" s="260"/>
      <c r="D1017" s="6"/>
      <c r="E1017" s="6"/>
      <c r="F1017" s="261"/>
      <c r="G1017" s="7"/>
      <c r="H1017" s="7"/>
      <c r="I1017" s="6"/>
      <c r="J1017" s="6"/>
      <c r="K1017" s="7"/>
      <c r="L1017" s="7"/>
      <c r="M1017" s="7"/>
      <c r="N1017" s="7"/>
    </row>
    <row r="1018" spans="2:22">
      <c r="B1018" s="6"/>
      <c r="C1018" s="260"/>
      <c r="D1018" s="6"/>
      <c r="E1018" s="6"/>
      <c r="F1018" s="261"/>
      <c r="G1018" s="7"/>
      <c r="H1018" s="7"/>
      <c r="I1018" s="6"/>
      <c r="J1018" s="6"/>
      <c r="K1018" s="7"/>
      <c r="L1018" s="7"/>
      <c r="M1018" s="7"/>
      <c r="N1018" s="7"/>
    </row>
    <row r="1019" spans="2:22" s="6" customFormat="1">
      <c r="C1019" s="260"/>
      <c r="G1019" s="7"/>
      <c r="H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</row>
    <row r="1020" spans="2:22">
      <c r="B1020" s="6"/>
      <c r="C1020" s="260"/>
      <c r="D1020" s="6"/>
      <c r="E1020" s="6"/>
      <c r="F1020" s="6"/>
      <c r="G1020" s="7"/>
      <c r="H1020" s="7"/>
      <c r="I1020" s="6"/>
      <c r="J1020" s="6"/>
      <c r="K1020" s="7"/>
      <c r="L1020" s="7"/>
      <c r="M1020" s="7"/>
      <c r="N1020" s="7"/>
    </row>
    <row r="1021" spans="2:22">
      <c r="B1021" s="6"/>
      <c r="C1021" s="260"/>
      <c r="D1021" s="6"/>
      <c r="E1021" s="6"/>
      <c r="F1021" s="348"/>
      <c r="G1021" s="7"/>
      <c r="H1021" s="351"/>
      <c r="I1021" s="6"/>
      <c r="J1021" s="6"/>
      <c r="K1021" s="7"/>
      <c r="L1021" s="7"/>
      <c r="M1021" s="7"/>
      <c r="N1021" s="7"/>
    </row>
    <row r="1022" spans="2:22" s="6" customFormat="1">
      <c r="C1022" s="260"/>
      <c r="F1022" s="348"/>
      <c r="G1022" s="7"/>
      <c r="H1022" s="351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</row>
    <row r="1023" spans="2:22">
      <c r="B1023" s="6"/>
      <c r="C1023" s="260"/>
      <c r="D1023" s="6"/>
      <c r="E1023" s="6"/>
      <c r="F1023" s="261"/>
      <c r="G1023" s="7"/>
      <c r="H1023" s="7"/>
      <c r="I1023" s="6"/>
      <c r="J1023" s="6"/>
      <c r="K1023" s="7"/>
      <c r="L1023" s="7"/>
      <c r="M1023" s="7"/>
      <c r="N1023" s="7"/>
    </row>
    <row r="1024" spans="2:22" s="6" customFormat="1">
      <c r="C1024" s="260"/>
      <c r="F1024" s="261"/>
      <c r="G1024" s="7"/>
      <c r="H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</row>
    <row r="1025" spans="2:22">
      <c r="B1025" s="6"/>
      <c r="C1025" s="260"/>
      <c r="D1025" s="6"/>
      <c r="E1025" s="6"/>
      <c r="F1025" s="261"/>
      <c r="G1025" s="7"/>
      <c r="H1025" s="7"/>
      <c r="I1025" s="6"/>
      <c r="J1025" s="6"/>
      <c r="K1025" s="7"/>
      <c r="L1025" s="7"/>
      <c r="M1025" s="7"/>
      <c r="N1025" s="7"/>
    </row>
    <row r="1026" spans="2:22" s="6" customFormat="1">
      <c r="C1026" s="260"/>
      <c r="G1026" s="7"/>
      <c r="H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</row>
    <row r="1027" spans="2:22" s="6" customFormat="1">
      <c r="C1027" s="260"/>
      <c r="G1027" s="347"/>
      <c r="H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</row>
    <row r="1028" spans="2:22" ht="17.25" customHeight="1">
      <c r="B1028" s="6"/>
      <c r="C1028" s="260"/>
      <c r="D1028" s="6"/>
      <c r="E1028" s="352"/>
      <c r="F1028" s="261"/>
      <c r="G1028" s="7"/>
      <c r="H1028" s="353"/>
      <c r="I1028" s="7"/>
      <c r="J1028" s="6"/>
      <c r="K1028" s="7"/>
      <c r="L1028" s="7"/>
      <c r="M1028" s="7"/>
      <c r="N1028" s="7"/>
    </row>
    <row r="1029" spans="2:22" ht="17.25" customHeight="1">
      <c r="B1029" s="6"/>
      <c r="C1029" s="260"/>
      <c r="D1029" s="6"/>
      <c r="E1029" s="6"/>
      <c r="F1029" s="261"/>
      <c r="G1029" s="7"/>
      <c r="H1029" s="7"/>
      <c r="I1029" s="7"/>
      <c r="J1029" s="6"/>
      <c r="K1029" s="7"/>
      <c r="L1029" s="7"/>
      <c r="M1029" s="7"/>
      <c r="N1029" s="7"/>
    </row>
    <row r="1030" spans="2:22" ht="21.75" customHeight="1">
      <c r="B1030" s="354"/>
      <c r="C1030" s="355"/>
      <c r="D1030" s="354"/>
      <c r="E1030" s="356"/>
      <c r="F1030" s="319"/>
      <c r="G1030" s="227"/>
      <c r="H1030" s="227"/>
      <c r="I1030" s="357"/>
      <c r="J1030" s="6"/>
      <c r="K1030" s="7"/>
      <c r="L1030" s="7"/>
      <c r="M1030" s="7"/>
      <c r="N1030" s="7"/>
    </row>
    <row r="1031" spans="2:22" s="8" customFormat="1" ht="27.75" customHeight="1">
      <c r="C1031" s="11"/>
      <c r="F1031" s="258"/>
      <c r="G1031" s="259"/>
      <c r="H1031" s="259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</row>
    <row r="1032" spans="2:22" s="8" customFormat="1" ht="27" customHeight="1">
      <c r="B1032" s="354"/>
      <c r="C1032" s="355"/>
      <c r="D1032" s="354"/>
      <c r="E1032" s="356"/>
      <c r="F1032" s="358"/>
      <c r="G1032" s="357"/>
      <c r="H1032" s="359"/>
      <c r="I1032" s="357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</row>
    <row r="1033" spans="2:22" s="8" customFormat="1">
      <c r="C1033" s="11"/>
      <c r="G1033" s="10"/>
      <c r="H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</row>
    <row r="1034" spans="2:22" s="8" customFormat="1">
      <c r="C1034" s="11"/>
      <c r="G1034" s="10"/>
      <c r="H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</row>
    <row r="1037" spans="2:22" s="8" customFormat="1">
      <c r="C1037" s="11"/>
      <c r="F1037" s="14"/>
      <c r="G1037" s="10"/>
      <c r="H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</row>
    <row r="1038" spans="2:22" ht="34.5" customHeight="1">
      <c r="C1038" s="48"/>
      <c r="D1038" s="17"/>
      <c r="E1038" s="17"/>
      <c r="F1038" s="17"/>
      <c r="G1038" s="18"/>
      <c r="H1038" s="47"/>
    </row>
    <row r="1039" spans="2:22" ht="29.25" customHeight="1">
      <c r="C1039" s="48"/>
      <c r="D1039" s="17"/>
      <c r="E1039" s="17"/>
      <c r="F1039" s="17"/>
      <c r="G1039" s="18"/>
    </row>
  </sheetData>
  <mergeCells count="4">
    <mergeCell ref="C1:F1"/>
    <mergeCell ref="C2:F2"/>
    <mergeCell ref="C4:F4"/>
    <mergeCell ref="C17:F17"/>
  </mergeCells>
  <pageMargins left="0.75" right="0.75" top="1" bottom="1" header="0.5" footer="0.5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16A2-59DB-4BC7-896B-F79A7ABC220D}">
  <dimension ref="A1:M744"/>
  <sheetViews>
    <sheetView showGridLines="0" workbookViewId="0">
      <pane ySplit="1" topLeftCell="A2" activePane="bottomLeft" state="frozen"/>
      <selection pane="bottomLeft" activeCell="H5" sqref="H5"/>
    </sheetView>
  </sheetViews>
  <sheetFormatPr defaultRowHeight="15"/>
  <cols>
    <col min="1" max="1" width="12.42578125" style="391" customWidth="1"/>
    <col min="2" max="2" width="29.42578125" style="391" customWidth="1"/>
    <col min="3" max="3" width="16.5703125" style="391" customWidth="1"/>
    <col min="4" max="4" width="12.85546875" style="392" customWidth="1"/>
    <col min="5" max="5" width="12.28515625" style="391" customWidth="1"/>
    <col min="6" max="6" width="11.85546875" style="391" customWidth="1"/>
    <col min="7" max="7" width="6.5703125" style="391" customWidth="1"/>
    <col min="8" max="9" width="12.28515625" style="391" customWidth="1"/>
    <col min="10" max="10" width="17.5703125" style="391" customWidth="1"/>
    <col min="11" max="11" width="10.42578125" style="391" customWidth="1"/>
    <col min="12" max="12" width="12.7109375" style="391" customWidth="1"/>
    <col min="13" max="13" width="12" style="391" customWidth="1"/>
    <col min="14" max="16384" width="9.140625" style="391"/>
  </cols>
  <sheetData>
    <row r="1" spans="1:13" ht="36" customHeight="1">
      <c r="A1" s="709" t="s">
        <v>3733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</row>
    <row r="2" spans="1:13">
      <c r="F2" s="392"/>
      <c r="G2" s="412"/>
    </row>
    <row r="3" spans="1:13">
      <c r="C3" s="393" t="s">
        <v>3734</v>
      </c>
      <c r="D3" s="394"/>
      <c r="E3" s="406">
        <v>5700050831</v>
      </c>
      <c r="F3" s="392"/>
      <c r="G3" s="412"/>
      <c r="J3" s="393" t="s">
        <v>3734</v>
      </c>
      <c r="K3" s="394"/>
      <c r="L3" s="406">
        <v>5700050824</v>
      </c>
    </row>
    <row r="4" spans="1:13">
      <c r="A4" s="395" t="s">
        <v>3735</v>
      </c>
      <c r="C4" s="393" t="s">
        <v>3736</v>
      </c>
      <c r="D4" s="394"/>
      <c r="E4" s="407" t="s">
        <v>3737</v>
      </c>
      <c r="F4" s="392"/>
      <c r="G4" s="412"/>
      <c r="J4" s="393" t="s">
        <v>3736</v>
      </c>
      <c r="K4" s="394"/>
      <c r="L4" s="407" t="s">
        <v>3737</v>
      </c>
    </row>
    <row r="5" spans="1:13">
      <c r="A5" s="395" t="s">
        <v>3738</v>
      </c>
      <c r="C5" s="393" t="s">
        <v>3739</v>
      </c>
      <c r="D5" s="394"/>
      <c r="E5" s="421">
        <v>8389.09</v>
      </c>
      <c r="F5" s="392"/>
      <c r="G5" s="412"/>
      <c r="J5" s="393" t="s">
        <v>3739</v>
      </c>
      <c r="K5" s="394"/>
      <c r="L5" s="421">
        <v>3691.53</v>
      </c>
    </row>
    <row r="6" spans="1:13">
      <c r="C6" s="393" t="s">
        <v>3740</v>
      </c>
      <c r="D6" s="394"/>
      <c r="E6" s="408">
        <f>F743</f>
        <v>7855.6300000000247</v>
      </c>
      <c r="F6" s="392"/>
      <c r="G6" s="412"/>
      <c r="J6" s="393" t="s">
        <v>3740</v>
      </c>
      <c r="K6" s="394"/>
      <c r="L6" s="408">
        <f>M36</f>
        <v>6006.7000000000016</v>
      </c>
    </row>
    <row r="7" spans="1:13">
      <c r="C7" s="393" t="s">
        <v>3741</v>
      </c>
      <c r="D7" s="394"/>
      <c r="E7" s="409">
        <f>E744</f>
        <v>120609</v>
      </c>
      <c r="F7" s="392"/>
      <c r="G7" s="412"/>
      <c r="J7" s="393" t="s">
        <v>3741</v>
      </c>
      <c r="K7" s="394"/>
      <c r="L7" s="409">
        <f>L37</f>
        <v>62677.79</v>
      </c>
    </row>
    <row r="8" spans="1:13">
      <c r="C8" s="393" t="s">
        <v>3742</v>
      </c>
      <c r="D8" s="394"/>
      <c r="E8" s="409">
        <f>D744</f>
        <v>121142.45999999999</v>
      </c>
      <c r="F8" s="392"/>
      <c r="G8" s="412"/>
      <c r="J8" s="393" t="s">
        <v>3742</v>
      </c>
      <c r="K8" s="394"/>
      <c r="L8" s="409">
        <f>K37</f>
        <v>60362.619999999995</v>
      </c>
    </row>
    <row r="9" spans="1:13">
      <c r="C9" s="393" t="s">
        <v>3743</v>
      </c>
      <c r="D9" s="394"/>
      <c r="E9" s="393" t="s">
        <v>3744</v>
      </c>
      <c r="F9" s="392"/>
      <c r="G9" s="412"/>
      <c r="J9" s="393" t="s">
        <v>3743</v>
      </c>
      <c r="K9" s="394"/>
      <c r="L9" s="393" t="s">
        <v>3744</v>
      </c>
    </row>
    <row r="10" spans="1:13">
      <c r="F10" s="392"/>
      <c r="G10" s="412"/>
    </row>
    <row r="11" spans="1:13" ht="31.5" customHeight="1">
      <c r="A11" s="397" t="s">
        <v>3745</v>
      </c>
      <c r="B11" s="398" t="s">
        <v>3704</v>
      </c>
      <c r="C11" s="398" t="s">
        <v>3746</v>
      </c>
      <c r="D11" s="399" t="s">
        <v>3747</v>
      </c>
      <c r="E11" s="398" t="s">
        <v>3748</v>
      </c>
      <c r="F11" s="399" t="s">
        <v>3749</v>
      </c>
      <c r="G11" s="412"/>
      <c r="H11" s="397" t="s">
        <v>3745</v>
      </c>
      <c r="I11" s="398" t="s">
        <v>3704</v>
      </c>
      <c r="J11" s="398" t="s">
        <v>3746</v>
      </c>
      <c r="K11" s="399" t="s">
        <v>3747</v>
      </c>
      <c r="L11" s="398" t="s">
        <v>3748</v>
      </c>
      <c r="M11" s="399" t="s">
        <v>3749</v>
      </c>
    </row>
    <row r="12" spans="1:13">
      <c r="A12" s="400">
        <v>45809</v>
      </c>
      <c r="B12" s="393" t="s">
        <v>3750</v>
      </c>
      <c r="C12" s="400">
        <v>45809</v>
      </c>
      <c r="D12" s="394"/>
      <c r="E12" s="393"/>
      <c r="F12" s="410">
        <f>E5</f>
        <v>8389.09</v>
      </c>
      <c r="G12" s="412"/>
      <c r="H12" s="400">
        <v>45688</v>
      </c>
      <c r="I12" s="393" t="s">
        <v>3750</v>
      </c>
      <c r="J12" s="393"/>
      <c r="K12" s="393"/>
      <c r="L12" s="393"/>
      <c r="M12" s="410">
        <f>L5</f>
        <v>3691.53</v>
      </c>
    </row>
    <row r="13" spans="1:13">
      <c r="A13" s="400">
        <v>45810</v>
      </c>
      <c r="B13" s="393" t="s">
        <v>3751</v>
      </c>
      <c r="C13" s="400">
        <v>45810</v>
      </c>
      <c r="D13" s="394"/>
      <c r="E13" s="394">
        <v>220</v>
      </c>
      <c r="F13" s="396">
        <f>F12-D13+E13</f>
        <v>8609.09</v>
      </c>
      <c r="G13" s="412"/>
      <c r="H13" s="400">
        <v>45688</v>
      </c>
      <c r="I13" s="393" t="s">
        <v>3752</v>
      </c>
      <c r="J13" s="400">
        <v>45689</v>
      </c>
      <c r="K13" s="394"/>
      <c r="L13" s="394">
        <v>0.31</v>
      </c>
      <c r="M13" s="394">
        <f>M12-K13+L13</f>
        <v>3691.84</v>
      </c>
    </row>
    <row r="14" spans="1:13">
      <c r="A14" s="400">
        <v>45810</v>
      </c>
      <c r="B14" s="393" t="s">
        <v>3753</v>
      </c>
      <c r="C14" s="400">
        <v>45810</v>
      </c>
      <c r="D14" s="394">
        <v>0.03</v>
      </c>
      <c r="E14" s="394"/>
      <c r="F14" s="396">
        <f t="shared" ref="F14:F77" si="0">F13-D14+E14</f>
        <v>8609.06</v>
      </c>
      <c r="G14" s="412"/>
      <c r="H14" s="400">
        <v>45716</v>
      </c>
      <c r="I14" s="393" t="s">
        <v>3752</v>
      </c>
      <c r="J14" s="400">
        <v>45717</v>
      </c>
      <c r="K14" s="394"/>
      <c r="L14" s="394">
        <v>0.28000000000000003</v>
      </c>
      <c r="M14" s="394">
        <f t="shared" ref="M14:M36" si="1">M13-K14+L14</f>
        <v>3692.1200000000003</v>
      </c>
    </row>
    <row r="15" spans="1:13">
      <c r="A15" s="400">
        <v>45832</v>
      </c>
      <c r="B15" s="393" t="s">
        <v>3754</v>
      </c>
      <c r="C15" s="400">
        <v>45832</v>
      </c>
      <c r="D15" s="394"/>
      <c r="E15" s="394">
        <v>232</v>
      </c>
      <c r="F15" s="396">
        <f t="shared" si="0"/>
        <v>8841.06</v>
      </c>
      <c r="G15" s="412"/>
      <c r="H15" s="400">
        <v>45744</v>
      </c>
      <c r="I15" s="393" t="s">
        <v>3752</v>
      </c>
      <c r="J15" s="400">
        <v>45748</v>
      </c>
      <c r="K15" s="394"/>
      <c r="L15" s="394">
        <v>0.31</v>
      </c>
      <c r="M15" s="394">
        <f t="shared" si="1"/>
        <v>3692.4300000000003</v>
      </c>
    </row>
    <row r="16" spans="1:13">
      <c r="A16" s="400">
        <v>45832</v>
      </c>
      <c r="B16" s="393" t="s">
        <v>3753</v>
      </c>
      <c r="C16" s="400">
        <v>45832</v>
      </c>
      <c r="D16" s="394">
        <v>0.03</v>
      </c>
      <c r="E16" s="394"/>
      <c r="F16" s="396">
        <f t="shared" si="0"/>
        <v>8841.0299999999988</v>
      </c>
      <c r="G16" s="412"/>
      <c r="H16" s="400">
        <v>45777</v>
      </c>
      <c r="I16" s="393" t="s">
        <v>3752</v>
      </c>
      <c r="J16" s="400">
        <v>45778</v>
      </c>
      <c r="K16" s="394"/>
      <c r="L16" s="394">
        <v>0.3</v>
      </c>
      <c r="M16" s="394">
        <f t="shared" si="1"/>
        <v>3692.7300000000005</v>
      </c>
    </row>
    <row r="17" spans="1:13">
      <c r="A17" s="400">
        <v>45838</v>
      </c>
      <c r="B17" s="393" t="s">
        <v>3755</v>
      </c>
      <c r="C17" s="400">
        <v>45838</v>
      </c>
      <c r="D17" s="394"/>
      <c r="E17" s="394">
        <v>220</v>
      </c>
      <c r="F17" s="396">
        <f t="shared" si="0"/>
        <v>9061.0299999999988</v>
      </c>
      <c r="G17" s="412"/>
      <c r="H17" s="400">
        <v>45807</v>
      </c>
      <c r="I17" s="393" t="s">
        <v>3752</v>
      </c>
      <c r="J17" s="400">
        <v>45809</v>
      </c>
      <c r="K17" s="394"/>
      <c r="L17" s="394">
        <v>0.31</v>
      </c>
      <c r="M17" s="394">
        <f t="shared" si="1"/>
        <v>3693.0400000000004</v>
      </c>
    </row>
    <row r="18" spans="1:13">
      <c r="A18" s="400">
        <v>45838</v>
      </c>
      <c r="B18" s="393" t="s">
        <v>3756</v>
      </c>
      <c r="C18" s="400">
        <v>45838</v>
      </c>
      <c r="D18" s="394"/>
      <c r="E18" s="394">
        <v>220</v>
      </c>
      <c r="F18" s="396">
        <f t="shared" si="0"/>
        <v>9281.0299999999988</v>
      </c>
      <c r="G18" s="412"/>
      <c r="H18" s="400">
        <v>45838</v>
      </c>
      <c r="I18" s="393" t="s">
        <v>3752</v>
      </c>
      <c r="J18" s="400">
        <v>45839</v>
      </c>
      <c r="K18" s="394"/>
      <c r="L18" s="394">
        <v>0.3</v>
      </c>
      <c r="M18" s="394">
        <f t="shared" si="1"/>
        <v>3693.3400000000006</v>
      </c>
    </row>
    <row r="19" spans="1:13">
      <c r="A19" s="400">
        <v>45838</v>
      </c>
      <c r="B19" s="393" t="s">
        <v>3757</v>
      </c>
      <c r="C19" s="400">
        <v>45838</v>
      </c>
      <c r="D19" s="394"/>
      <c r="E19" s="394">
        <v>232</v>
      </c>
      <c r="F19" s="396">
        <f t="shared" si="0"/>
        <v>9513.0299999999988</v>
      </c>
      <c r="G19" s="412"/>
      <c r="H19" s="400">
        <v>45863</v>
      </c>
      <c r="I19" s="393" t="s">
        <v>3758</v>
      </c>
      <c r="J19" s="400">
        <v>45863</v>
      </c>
      <c r="K19" s="394"/>
      <c r="L19" s="394">
        <v>220</v>
      </c>
      <c r="M19" s="394">
        <f>M18-K19+L19</f>
        <v>3913.3400000000006</v>
      </c>
    </row>
    <row r="20" spans="1:13">
      <c r="A20" s="400">
        <v>45838</v>
      </c>
      <c r="B20" s="393" t="s">
        <v>3753</v>
      </c>
      <c r="C20" s="400">
        <v>45838</v>
      </c>
      <c r="D20" s="394">
        <v>0.09</v>
      </c>
      <c r="E20" s="394"/>
      <c r="F20" s="396">
        <f t="shared" si="0"/>
        <v>9512.9399999999987</v>
      </c>
      <c r="G20" s="412"/>
      <c r="H20" s="400">
        <v>45869</v>
      </c>
      <c r="I20" s="393" t="s">
        <v>3752</v>
      </c>
      <c r="J20" s="400">
        <v>45870</v>
      </c>
      <c r="K20" s="394"/>
      <c r="L20" s="394">
        <v>0.32</v>
      </c>
      <c r="M20" s="394">
        <f t="shared" si="1"/>
        <v>3913.6600000000008</v>
      </c>
    </row>
    <row r="21" spans="1:13">
      <c r="A21" s="400">
        <v>45840</v>
      </c>
      <c r="B21" s="393" t="s">
        <v>3759</v>
      </c>
      <c r="C21" s="400">
        <v>45840</v>
      </c>
      <c r="D21" s="394"/>
      <c r="E21" s="394">
        <v>220</v>
      </c>
      <c r="F21" s="396">
        <f t="shared" si="0"/>
        <v>9732.9399999999987</v>
      </c>
      <c r="G21" s="412"/>
      <c r="H21" s="400">
        <v>45898</v>
      </c>
      <c r="I21" s="393" t="s">
        <v>3752</v>
      </c>
      <c r="J21" s="400">
        <v>45901</v>
      </c>
      <c r="K21" s="394"/>
      <c r="L21" s="394">
        <v>0.33</v>
      </c>
      <c r="M21" s="394">
        <f t="shared" si="1"/>
        <v>3913.9900000000007</v>
      </c>
    </row>
    <row r="22" spans="1:13">
      <c r="A22" s="400">
        <v>45840</v>
      </c>
      <c r="B22" s="393" t="s">
        <v>3760</v>
      </c>
      <c r="C22" s="400">
        <v>45840</v>
      </c>
      <c r="D22" s="394"/>
      <c r="E22" s="394">
        <v>180</v>
      </c>
      <c r="F22" s="396">
        <f t="shared" si="0"/>
        <v>9912.9399999999987</v>
      </c>
      <c r="G22" s="412"/>
      <c r="H22" s="400">
        <v>45930</v>
      </c>
      <c r="I22" s="393" t="s">
        <v>3752</v>
      </c>
      <c r="J22" s="400">
        <v>45931</v>
      </c>
      <c r="K22" s="394"/>
      <c r="L22" s="394">
        <v>0.32</v>
      </c>
      <c r="M22" s="394">
        <f t="shared" si="1"/>
        <v>3914.3100000000009</v>
      </c>
    </row>
    <row r="23" spans="1:13">
      <c r="A23" s="400">
        <v>45840</v>
      </c>
      <c r="B23" s="393" t="s">
        <v>3761</v>
      </c>
      <c r="C23" s="400">
        <v>45840</v>
      </c>
      <c r="D23" s="394"/>
      <c r="E23" s="394">
        <v>180</v>
      </c>
      <c r="F23" s="396">
        <f t="shared" si="0"/>
        <v>10092.939999999999</v>
      </c>
      <c r="G23" s="412"/>
      <c r="H23" s="400">
        <v>45937</v>
      </c>
      <c r="I23" s="393" t="s">
        <v>3762</v>
      </c>
      <c r="J23" s="400">
        <v>45937</v>
      </c>
      <c r="K23" s="394"/>
      <c r="L23" s="394">
        <v>60000</v>
      </c>
      <c r="M23" s="394">
        <f>M22-K23+L23</f>
        <v>63914.31</v>
      </c>
    </row>
    <row r="24" spans="1:13">
      <c r="A24" s="400">
        <v>45840</v>
      </c>
      <c r="B24" s="393" t="s">
        <v>3763</v>
      </c>
      <c r="C24" s="400">
        <v>45840</v>
      </c>
      <c r="D24" s="394"/>
      <c r="E24" s="394">
        <v>180</v>
      </c>
      <c r="F24" s="396">
        <f t="shared" si="0"/>
        <v>10272.939999999999</v>
      </c>
      <c r="G24" s="412"/>
      <c r="H24" s="400">
        <v>45952</v>
      </c>
      <c r="I24" s="393" t="s">
        <v>3753</v>
      </c>
      <c r="J24" s="400">
        <v>45952</v>
      </c>
      <c r="K24" s="394">
        <v>0.06</v>
      </c>
      <c r="L24" s="394"/>
      <c r="M24" s="394">
        <f>M23-K24+L24</f>
        <v>63914.25</v>
      </c>
    </row>
    <row r="25" spans="1:13">
      <c r="A25" s="400">
        <v>45840</v>
      </c>
      <c r="B25" s="393" t="s">
        <v>3753</v>
      </c>
      <c r="C25" s="400">
        <v>45840</v>
      </c>
      <c r="D25" s="394">
        <v>0.12</v>
      </c>
      <c r="E25" s="394"/>
      <c r="F25" s="396">
        <f t="shared" si="0"/>
        <v>10272.819999999998</v>
      </c>
      <c r="G25" s="412"/>
      <c r="H25" s="400">
        <v>45960</v>
      </c>
      <c r="I25" s="393" t="s">
        <v>3764</v>
      </c>
      <c r="J25" s="400">
        <v>45960</v>
      </c>
      <c r="K25" s="394">
        <v>25</v>
      </c>
      <c r="L25" s="394"/>
      <c r="M25" s="394">
        <f t="shared" si="1"/>
        <v>63889.25</v>
      </c>
    </row>
    <row r="26" spans="1:13">
      <c r="A26" s="400">
        <v>45841</v>
      </c>
      <c r="B26" s="393" t="s">
        <v>3765</v>
      </c>
      <c r="C26" s="400">
        <v>45841</v>
      </c>
      <c r="D26" s="394"/>
      <c r="E26" s="394">
        <v>180</v>
      </c>
      <c r="F26" s="396">
        <f t="shared" si="0"/>
        <v>10452.819999999998</v>
      </c>
      <c r="G26" s="412"/>
      <c r="H26" s="400">
        <v>45960</v>
      </c>
      <c r="I26" s="393" t="s">
        <v>3766</v>
      </c>
      <c r="J26" s="400">
        <v>45960</v>
      </c>
      <c r="K26" s="394">
        <v>300</v>
      </c>
      <c r="L26" s="394"/>
      <c r="M26" s="394">
        <f>M25-K26+L26</f>
        <v>63589.25</v>
      </c>
    </row>
    <row r="27" spans="1:13">
      <c r="A27" s="400">
        <v>45841</v>
      </c>
      <c r="B27" s="393" t="s">
        <v>3767</v>
      </c>
      <c r="C27" s="400">
        <v>45841</v>
      </c>
      <c r="D27" s="394"/>
      <c r="E27" s="394">
        <v>180</v>
      </c>
      <c r="F27" s="396">
        <f t="shared" si="0"/>
        <v>10632.819999999998</v>
      </c>
      <c r="G27" s="412"/>
      <c r="H27" s="400">
        <v>45960</v>
      </c>
      <c r="I27" s="393" t="s">
        <v>3768</v>
      </c>
      <c r="J27" s="400">
        <v>45960</v>
      </c>
      <c r="K27" s="394">
        <v>60000</v>
      </c>
      <c r="L27" s="394"/>
      <c r="M27" s="394">
        <f t="shared" si="1"/>
        <v>3589.25</v>
      </c>
    </row>
    <row r="28" spans="1:13">
      <c r="A28" s="400">
        <v>45841</v>
      </c>
      <c r="B28" s="393" t="s">
        <v>3769</v>
      </c>
      <c r="C28" s="400">
        <v>45841</v>
      </c>
      <c r="D28" s="394"/>
      <c r="E28" s="394">
        <v>180</v>
      </c>
      <c r="F28" s="396">
        <f t="shared" si="0"/>
        <v>10812.819999999998</v>
      </c>
      <c r="G28" s="412"/>
      <c r="H28" s="400">
        <v>45960</v>
      </c>
      <c r="I28" s="393" t="s">
        <v>3770</v>
      </c>
      <c r="J28" s="400">
        <v>45960</v>
      </c>
      <c r="K28" s="394">
        <v>15</v>
      </c>
      <c r="L28" s="394"/>
      <c r="M28" s="394">
        <f t="shared" si="1"/>
        <v>3574.25</v>
      </c>
    </row>
    <row r="29" spans="1:13">
      <c r="A29" s="400">
        <v>45841</v>
      </c>
      <c r="B29" s="393" t="s">
        <v>3771</v>
      </c>
      <c r="C29" s="400">
        <v>45841</v>
      </c>
      <c r="D29" s="394"/>
      <c r="E29" s="394">
        <v>220</v>
      </c>
      <c r="F29" s="396">
        <f t="shared" si="0"/>
        <v>11032.819999999998</v>
      </c>
      <c r="G29" s="412"/>
      <c r="H29" s="400">
        <v>45960</v>
      </c>
      <c r="I29" s="393" t="s">
        <v>3772</v>
      </c>
      <c r="J29" s="400">
        <v>45960</v>
      </c>
      <c r="K29" s="394">
        <v>22.5</v>
      </c>
      <c r="L29" s="394"/>
      <c r="M29" s="394">
        <f t="shared" si="1"/>
        <v>3551.75</v>
      </c>
    </row>
    <row r="30" spans="1:13">
      <c r="A30" s="400">
        <v>45841</v>
      </c>
      <c r="B30" s="393" t="s">
        <v>3753</v>
      </c>
      <c r="C30" s="400">
        <v>45841</v>
      </c>
      <c r="D30" s="394">
        <v>0.12</v>
      </c>
      <c r="E30" s="394"/>
      <c r="F30" s="396">
        <f t="shared" si="0"/>
        <v>11032.699999999997</v>
      </c>
      <c r="G30" s="412"/>
      <c r="H30" s="400">
        <v>45961</v>
      </c>
      <c r="I30" s="393" t="s">
        <v>3752</v>
      </c>
      <c r="J30" s="400">
        <v>45962</v>
      </c>
      <c r="K30" s="394"/>
      <c r="L30" s="394">
        <v>4.1100000000000003</v>
      </c>
      <c r="M30" s="394">
        <f t="shared" si="1"/>
        <v>3555.86</v>
      </c>
    </row>
    <row r="31" spans="1:13">
      <c r="A31" s="400">
        <v>45842</v>
      </c>
      <c r="B31" s="393" t="s">
        <v>3773</v>
      </c>
      <c r="C31" s="400">
        <v>45842</v>
      </c>
      <c r="D31" s="394"/>
      <c r="E31" s="394">
        <v>220</v>
      </c>
      <c r="F31" s="396">
        <f t="shared" si="0"/>
        <v>11252.699999999997</v>
      </c>
      <c r="G31" s="412"/>
      <c r="H31" s="400">
        <v>45975</v>
      </c>
      <c r="I31" s="393" t="s">
        <v>3774</v>
      </c>
      <c r="J31" s="400">
        <v>45975</v>
      </c>
      <c r="K31" s="394"/>
      <c r="L31" s="394">
        <v>1225</v>
      </c>
      <c r="M31" s="394">
        <f t="shared" si="1"/>
        <v>4780.8600000000006</v>
      </c>
    </row>
    <row r="32" spans="1:13">
      <c r="A32" s="400">
        <v>45842</v>
      </c>
      <c r="B32" s="393" t="s">
        <v>3775</v>
      </c>
      <c r="C32" s="400">
        <v>45842</v>
      </c>
      <c r="D32" s="394"/>
      <c r="E32" s="394">
        <v>180</v>
      </c>
      <c r="F32" s="396">
        <f t="shared" si="0"/>
        <v>11432.699999999997</v>
      </c>
      <c r="G32" s="412"/>
      <c r="H32" s="400">
        <v>45975</v>
      </c>
      <c r="I32" s="393" t="s">
        <v>3753</v>
      </c>
      <c r="J32" s="400">
        <v>45975</v>
      </c>
      <c r="K32" s="394">
        <v>0.03</v>
      </c>
      <c r="L32" s="394"/>
      <c r="M32" s="394">
        <f t="shared" si="1"/>
        <v>4780.8300000000008</v>
      </c>
    </row>
    <row r="33" spans="1:13">
      <c r="A33" s="400">
        <v>45842</v>
      </c>
      <c r="B33" s="393" t="s">
        <v>3776</v>
      </c>
      <c r="C33" s="400">
        <v>45842</v>
      </c>
      <c r="D33" s="394"/>
      <c r="E33" s="394">
        <v>232</v>
      </c>
      <c r="F33" s="396">
        <f t="shared" si="0"/>
        <v>11664.699999999997</v>
      </c>
      <c r="G33" s="412"/>
      <c r="H33" s="400">
        <v>45980</v>
      </c>
      <c r="I33" s="393" t="s">
        <v>3777</v>
      </c>
      <c r="J33" s="400">
        <v>45980</v>
      </c>
      <c r="K33" s="394"/>
      <c r="L33" s="394">
        <v>1225</v>
      </c>
      <c r="M33" s="394">
        <f t="shared" si="1"/>
        <v>6005.8300000000008</v>
      </c>
    </row>
    <row r="34" spans="1:13">
      <c r="A34" s="400">
        <v>45842</v>
      </c>
      <c r="B34" s="393" t="s">
        <v>3778</v>
      </c>
      <c r="C34" s="400">
        <v>45842</v>
      </c>
      <c r="D34" s="394"/>
      <c r="E34" s="394">
        <v>232</v>
      </c>
      <c r="F34" s="396">
        <f t="shared" si="0"/>
        <v>11896.699999999997</v>
      </c>
      <c r="G34" s="412"/>
      <c r="H34" s="400">
        <v>45980</v>
      </c>
      <c r="I34" s="393" t="s">
        <v>3753</v>
      </c>
      <c r="J34" s="400">
        <v>45980</v>
      </c>
      <c r="K34" s="394">
        <v>0.03</v>
      </c>
      <c r="L34" s="394"/>
      <c r="M34" s="394">
        <f t="shared" si="1"/>
        <v>6005.8000000000011</v>
      </c>
    </row>
    <row r="35" spans="1:13">
      <c r="A35" s="400">
        <v>45842</v>
      </c>
      <c r="B35" s="393" t="s">
        <v>3779</v>
      </c>
      <c r="C35" s="400">
        <v>45842</v>
      </c>
      <c r="D35" s="394"/>
      <c r="E35" s="394">
        <v>220</v>
      </c>
      <c r="F35" s="396">
        <f t="shared" si="0"/>
        <v>12116.699999999997</v>
      </c>
      <c r="G35" s="412"/>
      <c r="H35" s="400">
        <v>45989</v>
      </c>
      <c r="I35" s="393" t="s">
        <v>3752</v>
      </c>
      <c r="J35" s="400">
        <v>45992</v>
      </c>
      <c r="K35" s="394"/>
      <c r="L35" s="394">
        <v>0.39</v>
      </c>
      <c r="M35" s="394">
        <f t="shared" si="1"/>
        <v>6006.1900000000014</v>
      </c>
    </row>
    <row r="36" spans="1:13">
      <c r="A36" s="400">
        <v>45842</v>
      </c>
      <c r="B36" s="393" t="s">
        <v>3780</v>
      </c>
      <c r="C36" s="400">
        <v>45842</v>
      </c>
      <c r="D36" s="394"/>
      <c r="E36" s="394">
        <v>232</v>
      </c>
      <c r="F36" s="396">
        <f t="shared" si="0"/>
        <v>12348.699999999997</v>
      </c>
      <c r="G36" s="412"/>
      <c r="H36" s="400">
        <v>46022</v>
      </c>
      <c r="I36" s="393" t="s">
        <v>3752</v>
      </c>
      <c r="J36" s="400">
        <v>46023</v>
      </c>
      <c r="K36" s="394"/>
      <c r="L36" s="394">
        <v>0.51</v>
      </c>
      <c r="M36" s="394">
        <f t="shared" si="1"/>
        <v>6006.7000000000016</v>
      </c>
    </row>
    <row r="37" spans="1:13" ht="17.25">
      <c r="A37" s="400">
        <v>45842</v>
      </c>
      <c r="B37" s="393" t="s">
        <v>3781</v>
      </c>
      <c r="C37" s="400">
        <v>45842</v>
      </c>
      <c r="D37" s="394"/>
      <c r="E37" s="394">
        <v>220</v>
      </c>
      <c r="F37" s="396">
        <f t="shared" si="0"/>
        <v>12568.699999999997</v>
      </c>
      <c r="G37" s="412"/>
      <c r="H37" s="401"/>
      <c r="I37" s="402"/>
      <c r="J37" s="402"/>
      <c r="K37" s="403">
        <f>SUM(K13:K36)</f>
        <v>60362.619999999995</v>
      </c>
      <c r="L37" s="403">
        <f>SUM(L13:L36)</f>
        <v>62677.79</v>
      </c>
      <c r="M37" s="404"/>
    </row>
    <row r="38" spans="1:13">
      <c r="A38" s="400">
        <v>45842</v>
      </c>
      <c r="B38" s="393" t="s">
        <v>3753</v>
      </c>
      <c r="C38" s="400">
        <v>45842</v>
      </c>
      <c r="D38" s="394">
        <v>0.21</v>
      </c>
      <c r="E38" s="394"/>
      <c r="F38" s="396">
        <f t="shared" si="0"/>
        <v>12568.489999999998</v>
      </c>
      <c r="G38" s="411"/>
    </row>
    <row r="39" spans="1:13">
      <c r="A39" s="400">
        <v>45845</v>
      </c>
      <c r="B39" s="393" t="s">
        <v>3782</v>
      </c>
      <c r="C39" s="400">
        <v>45845</v>
      </c>
      <c r="D39" s="394"/>
      <c r="E39" s="394">
        <v>220</v>
      </c>
      <c r="F39" s="396">
        <f t="shared" si="0"/>
        <v>12788.489999999998</v>
      </c>
      <c r="G39" s="411"/>
    </row>
    <row r="40" spans="1:13">
      <c r="A40" s="400">
        <v>45845</v>
      </c>
      <c r="B40" s="393" t="s">
        <v>3783</v>
      </c>
      <c r="C40" s="400">
        <v>45845</v>
      </c>
      <c r="D40" s="394"/>
      <c r="E40" s="394">
        <v>190</v>
      </c>
      <c r="F40" s="396">
        <f t="shared" si="0"/>
        <v>12978.489999999998</v>
      </c>
      <c r="G40" s="411"/>
    </row>
    <row r="41" spans="1:13">
      <c r="A41" s="400">
        <v>45845</v>
      </c>
      <c r="B41" s="393" t="s">
        <v>3753</v>
      </c>
      <c r="C41" s="400">
        <v>45845</v>
      </c>
      <c r="D41" s="394">
        <v>0.06</v>
      </c>
      <c r="E41" s="394"/>
      <c r="F41" s="396">
        <f t="shared" si="0"/>
        <v>12978.429999999998</v>
      </c>
      <c r="G41" s="411"/>
    </row>
    <row r="42" spans="1:13">
      <c r="A42" s="400">
        <v>45847</v>
      </c>
      <c r="B42" s="393" t="s">
        <v>3784</v>
      </c>
      <c r="C42" s="400">
        <v>45847</v>
      </c>
      <c r="D42" s="394"/>
      <c r="E42" s="394">
        <v>220</v>
      </c>
      <c r="F42" s="396">
        <f t="shared" si="0"/>
        <v>13198.429999999998</v>
      </c>
      <c r="G42" s="411"/>
    </row>
    <row r="43" spans="1:13">
      <c r="A43" s="400">
        <v>45847</v>
      </c>
      <c r="B43" s="393" t="s">
        <v>3785</v>
      </c>
      <c r="C43" s="400">
        <v>45847</v>
      </c>
      <c r="D43" s="394"/>
      <c r="E43" s="394">
        <v>270</v>
      </c>
      <c r="F43" s="396">
        <f t="shared" si="0"/>
        <v>13468.429999999998</v>
      </c>
      <c r="G43" s="411"/>
    </row>
    <row r="44" spans="1:13">
      <c r="A44" s="400">
        <v>45847</v>
      </c>
      <c r="B44" s="393" t="s">
        <v>3786</v>
      </c>
      <c r="C44" s="400">
        <v>45847</v>
      </c>
      <c r="D44" s="394"/>
      <c r="E44" s="394">
        <v>180</v>
      </c>
      <c r="F44" s="396">
        <f t="shared" si="0"/>
        <v>13648.429999999998</v>
      </c>
      <c r="G44" s="411"/>
    </row>
    <row r="45" spans="1:13">
      <c r="A45" s="400">
        <v>45847</v>
      </c>
      <c r="B45" s="393" t="s">
        <v>3787</v>
      </c>
      <c r="C45" s="400">
        <v>45847</v>
      </c>
      <c r="D45" s="394"/>
      <c r="E45" s="394">
        <v>80</v>
      </c>
      <c r="F45" s="396">
        <f t="shared" si="0"/>
        <v>13728.429999999998</v>
      </c>
      <c r="G45" s="411"/>
    </row>
    <row r="46" spans="1:13">
      <c r="A46" s="400">
        <v>45847</v>
      </c>
      <c r="B46" s="393" t="s">
        <v>3788</v>
      </c>
      <c r="C46" s="400">
        <v>45847</v>
      </c>
      <c r="D46" s="394"/>
      <c r="E46" s="394">
        <v>180</v>
      </c>
      <c r="F46" s="396">
        <f t="shared" si="0"/>
        <v>13908.429999999998</v>
      </c>
      <c r="G46" s="411"/>
    </row>
    <row r="47" spans="1:13">
      <c r="A47" s="400">
        <v>45847</v>
      </c>
      <c r="B47" s="393" t="s">
        <v>3789</v>
      </c>
      <c r="C47" s="400">
        <v>45847</v>
      </c>
      <c r="D47" s="394"/>
      <c r="E47" s="394">
        <v>190</v>
      </c>
      <c r="F47" s="396">
        <f t="shared" si="0"/>
        <v>14098.429999999998</v>
      </c>
      <c r="G47" s="411"/>
    </row>
    <row r="48" spans="1:13">
      <c r="A48" s="400">
        <v>45847</v>
      </c>
      <c r="B48" s="393" t="s">
        <v>3790</v>
      </c>
      <c r="C48" s="400">
        <v>45847</v>
      </c>
      <c r="D48" s="394"/>
      <c r="E48" s="394">
        <v>180</v>
      </c>
      <c r="F48" s="396">
        <f t="shared" si="0"/>
        <v>14278.429999999998</v>
      </c>
      <c r="G48" s="411"/>
    </row>
    <row r="49" spans="1:7">
      <c r="A49" s="400">
        <v>45847</v>
      </c>
      <c r="B49" s="393" t="s">
        <v>3791</v>
      </c>
      <c r="C49" s="400">
        <v>45847</v>
      </c>
      <c r="D49" s="394"/>
      <c r="E49" s="394">
        <v>180</v>
      </c>
      <c r="F49" s="396">
        <f t="shared" si="0"/>
        <v>14458.429999999998</v>
      </c>
      <c r="G49" s="411"/>
    </row>
    <row r="50" spans="1:7">
      <c r="A50" s="400">
        <v>45847</v>
      </c>
      <c r="B50" s="393" t="s">
        <v>3792</v>
      </c>
      <c r="C50" s="400">
        <v>45847</v>
      </c>
      <c r="D50" s="394"/>
      <c r="E50" s="394">
        <v>180</v>
      </c>
      <c r="F50" s="396">
        <f t="shared" si="0"/>
        <v>14638.429999999998</v>
      </c>
      <c r="G50" s="411"/>
    </row>
    <row r="51" spans="1:7">
      <c r="A51" s="400">
        <v>45847</v>
      </c>
      <c r="B51" s="393" t="s">
        <v>3793</v>
      </c>
      <c r="C51" s="400">
        <v>45847</v>
      </c>
      <c r="D51" s="394"/>
      <c r="E51" s="394">
        <v>180</v>
      </c>
      <c r="F51" s="396">
        <f t="shared" si="0"/>
        <v>14818.429999999998</v>
      </c>
      <c r="G51" s="411"/>
    </row>
    <row r="52" spans="1:7">
      <c r="A52" s="400">
        <v>45847</v>
      </c>
      <c r="B52" s="393" t="s">
        <v>3794</v>
      </c>
      <c r="C52" s="400">
        <v>45847</v>
      </c>
      <c r="D52" s="394"/>
      <c r="E52" s="394">
        <v>220</v>
      </c>
      <c r="F52" s="396">
        <f t="shared" si="0"/>
        <v>15038.429999999998</v>
      </c>
      <c r="G52" s="411"/>
    </row>
    <row r="53" spans="1:7">
      <c r="A53" s="400">
        <v>45847</v>
      </c>
      <c r="B53" s="393" t="s">
        <v>3795</v>
      </c>
      <c r="C53" s="400">
        <v>45847</v>
      </c>
      <c r="D53" s="394"/>
      <c r="E53" s="394">
        <v>180</v>
      </c>
      <c r="F53" s="396">
        <f t="shared" si="0"/>
        <v>15218.429999999998</v>
      </c>
      <c r="G53" s="411"/>
    </row>
    <row r="54" spans="1:7">
      <c r="A54" s="400">
        <v>45847</v>
      </c>
      <c r="B54" s="393" t="s">
        <v>3753</v>
      </c>
      <c r="C54" s="400">
        <v>45847</v>
      </c>
      <c r="D54" s="394">
        <v>0.36</v>
      </c>
      <c r="E54" s="394"/>
      <c r="F54" s="396">
        <f t="shared" si="0"/>
        <v>15218.069999999998</v>
      </c>
      <c r="G54" s="411"/>
    </row>
    <row r="55" spans="1:7">
      <c r="A55" s="400">
        <v>45848</v>
      </c>
      <c r="B55" s="393" t="s">
        <v>3796</v>
      </c>
      <c r="C55" s="400">
        <v>45848</v>
      </c>
      <c r="D55" s="394"/>
      <c r="E55" s="394">
        <v>232</v>
      </c>
      <c r="F55" s="396">
        <f t="shared" si="0"/>
        <v>15450.069999999998</v>
      </c>
      <c r="G55" s="411"/>
    </row>
    <row r="56" spans="1:7">
      <c r="A56" s="400">
        <v>45848</v>
      </c>
      <c r="B56" s="393" t="s">
        <v>3797</v>
      </c>
      <c r="C56" s="400">
        <v>45848</v>
      </c>
      <c r="D56" s="394"/>
      <c r="E56" s="394">
        <v>180</v>
      </c>
      <c r="F56" s="396">
        <f t="shared" si="0"/>
        <v>15630.069999999998</v>
      </c>
      <c r="G56" s="411"/>
    </row>
    <row r="57" spans="1:7">
      <c r="A57" s="400">
        <v>45848</v>
      </c>
      <c r="B57" s="393" t="s">
        <v>3798</v>
      </c>
      <c r="C57" s="400">
        <v>45848</v>
      </c>
      <c r="D57" s="394"/>
      <c r="E57" s="394">
        <v>220</v>
      </c>
      <c r="F57" s="396">
        <f t="shared" si="0"/>
        <v>15850.069999999998</v>
      </c>
      <c r="G57" s="411"/>
    </row>
    <row r="58" spans="1:7">
      <c r="A58" s="400">
        <v>45848</v>
      </c>
      <c r="B58" s="393" t="s">
        <v>3799</v>
      </c>
      <c r="C58" s="400">
        <v>45848</v>
      </c>
      <c r="D58" s="394"/>
      <c r="E58" s="394">
        <v>4600</v>
      </c>
      <c r="F58" s="396">
        <f t="shared" si="0"/>
        <v>20450.07</v>
      </c>
      <c r="G58" s="411"/>
    </row>
    <row r="59" spans="1:7">
      <c r="A59" s="400">
        <v>45848</v>
      </c>
      <c r="B59" s="393" t="s">
        <v>3800</v>
      </c>
      <c r="C59" s="400">
        <v>45848</v>
      </c>
      <c r="D59" s="394"/>
      <c r="E59" s="394">
        <v>180</v>
      </c>
      <c r="F59" s="396">
        <f t="shared" si="0"/>
        <v>20630.07</v>
      </c>
      <c r="G59" s="411"/>
    </row>
    <row r="60" spans="1:7">
      <c r="A60" s="400">
        <v>45848</v>
      </c>
      <c r="B60" s="393" t="s">
        <v>3801</v>
      </c>
      <c r="C60" s="400">
        <v>45848</v>
      </c>
      <c r="D60" s="394"/>
      <c r="E60" s="394">
        <v>180</v>
      </c>
      <c r="F60" s="396">
        <f t="shared" si="0"/>
        <v>20810.07</v>
      </c>
      <c r="G60" s="411"/>
    </row>
    <row r="61" spans="1:7">
      <c r="A61" s="400">
        <v>45848</v>
      </c>
      <c r="B61" s="393" t="s">
        <v>3802</v>
      </c>
      <c r="C61" s="400">
        <v>45848</v>
      </c>
      <c r="D61" s="394"/>
      <c r="E61" s="394">
        <v>180</v>
      </c>
      <c r="F61" s="396">
        <f t="shared" si="0"/>
        <v>20990.07</v>
      </c>
      <c r="G61" s="411"/>
    </row>
    <row r="62" spans="1:7">
      <c r="A62" s="400">
        <v>45848</v>
      </c>
      <c r="B62" s="393" t="s">
        <v>3803</v>
      </c>
      <c r="C62" s="400">
        <v>45848</v>
      </c>
      <c r="D62" s="394"/>
      <c r="E62" s="394">
        <v>180</v>
      </c>
      <c r="F62" s="396">
        <f t="shared" si="0"/>
        <v>21170.07</v>
      </c>
      <c r="G62" s="411"/>
    </row>
    <row r="63" spans="1:7">
      <c r="A63" s="400">
        <v>45848</v>
      </c>
      <c r="B63" s="393" t="s">
        <v>3753</v>
      </c>
      <c r="C63" s="400">
        <v>45848</v>
      </c>
      <c r="D63" s="394">
        <v>0.24</v>
      </c>
      <c r="E63" s="394"/>
      <c r="F63" s="396">
        <f t="shared" si="0"/>
        <v>21169.829999999998</v>
      </c>
      <c r="G63" s="411"/>
    </row>
    <row r="64" spans="1:7">
      <c r="A64" s="400">
        <v>45849</v>
      </c>
      <c r="B64" s="393" t="s">
        <v>3804</v>
      </c>
      <c r="C64" s="400">
        <v>45849</v>
      </c>
      <c r="D64" s="394"/>
      <c r="E64" s="394">
        <v>190</v>
      </c>
      <c r="F64" s="396">
        <f t="shared" si="0"/>
        <v>21359.829999999998</v>
      </c>
      <c r="G64" s="411"/>
    </row>
    <row r="65" spans="1:7">
      <c r="A65" s="400">
        <v>45849</v>
      </c>
      <c r="B65" s="393" t="s">
        <v>3805</v>
      </c>
      <c r="C65" s="400">
        <v>45849</v>
      </c>
      <c r="D65" s="394"/>
      <c r="E65" s="394">
        <v>190</v>
      </c>
      <c r="F65" s="396">
        <f t="shared" si="0"/>
        <v>21549.829999999998</v>
      </c>
      <c r="G65" s="411"/>
    </row>
    <row r="66" spans="1:7">
      <c r="A66" s="400">
        <v>45849</v>
      </c>
      <c r="B66" s="393" t="s">
        <v>3806</v>
      </c>
      <c r="C66" s="400">
        <v>45849</v>
      </c>
      <c r="D66" s="394"/>
      <c r="E66" s="394">
        <v>180</v>
      </c>
      <c r="F66" s="396">
        <f t="shared" si="0"/>
        <v>21729.829999999998</v>
      </c>
      <c r="G66" s="411"/>
    </row>
    <row r="67" spans="1:7">
      <c r="A67" s="400">
        <v>45849</v>
      </c>
      <c r="B67" s="393" t="s">
        <v>3807</v>
      </c>
      <c r="C67" s="400">
        <v>45849</v>
      </c>
      <c r="D67" s="394"/>
      <c r="E67" s="394">
        <v>190</v>
      </c>
      <c r="F67" s="396">
        <f t="shared" si="0"/>
        <v>21919.829999999998</v>
      </c>
      <c r="G67" s="411"/>
    </row>
    <row r="68" spans="1:7">
      <c r="A68" s="400">
        <v>45849</v>
      </c>
      <c r="B68" s="393" t="s">
        <v>3808</v>
      </c>
      <c r="C68" s="400">
        <v>45849</v>
      </c>
      <c r="D68" s="394"/>
      <c r="E68" s="394">
        <v>180</v>
      </c>
      <c r="F68" s="396">
        <f t="shared" si="0"/>
        <v>22099.829999999998</v>
      </c>
      <c r="G68" s="411"/>
    </row>
    <row r="69" spans="1:7">
      <c r="A69" s="400">
        <v>45849</v>
      </c>
      <c r="B69" s="393" t="s">
        <v>3809</v>
      </c>
      <c r="C69" s="400">
        <v>45849</v>
      </c>
      <c r="D69" s="394"/>
      <c r="E69" s="394">
        <v>232</v>
      </c>
      <c r="F69" s="396">
        <f t="shared" si="0"/>
        <v>22331.829999999998</v>
      </c>
      <c r="G69" s="411"/>
    </row>
    <row r="70" spans="1:7">
      <c r="A70" s="400">
        <v>45849</v>
      </c>
      <c r="B70" s="393" t="s">
        <v>3810</v>
      </c>
      <c r="C70" s="400">
        <v>45849</v>
      </c>
      <c r="D70" s="394"/>
      <c r="E70" s="394">
        <v>180</v>
      </c>
      <c r="F70" s="396">
        <f t="shared" si="0"/>
        <v>22511.829999999998</v>
      </c>
      <c r="G70" s="411"/>
    </row>
    <row r="71" spans="1:7">
      <c r="A71" s="400">
        <v>45849</v>
      </c>
      <c r="B71" s="393" t="s">
        <v>3811</v>
      </c>
      <c r="C71" s="400">
        <v>45849</v>
      </c>
      <c r="D71" s="394"/>
      <c r="E71" s="394">
        <v>180</v>
      </c>
      <c r="F71" s="396">
        <f t="shared" si="0"/>
        <v>22691.829999999998</v>
      </c>
      <c r="G71" s="411"/>
    </row>
    <row r="72" spans="1:7">
      <c r="A72" s="400">
        <v>45849</v>
      </c>
      <c r="B72" s="393" t="s">
        <v>3753</v>
      </c>
      <c r="C72" s="400">
        <v>45849</v>
      </c>
      <c r="D72" s="394">
        <v>0.24</v>
      </c>
      <c r="E72" s="394"/>
      <c r="F72" s="396">
        <f t="shared" si="0"/>
        <v>22691.589999999997</v>
      </c>
      <c r="G72" s="411"/>
    </row>
    <row r="73" spans="1:7">
      <c r="A73" s="400">
        <v>45852</v>
      </c>
      <c r="B73" s="393" t="s">
        <v>3812</v>
      </c>
      <c r="C73" s="400">
        <v>45852</v>
      </c>
      <c r="D73" s="394"/>
      <c r="E73" s="394">
        <v>220</v>
      </c>
      <c r="F73" s="396">
        <f t="shared" si="0"/>
        <v>22911.589999999997</v>
      </c>
      <c r="G73" s="411"/>
    </row>
    <row r="74" spans="1:7">
      <c r="A74" s="400">
        <v>45852</v>
      </c>
      <c r="B74" s="393" t="s">
        <v>3813</v>
      </c>
      <c r="C74" s="400">
        <v>45852</v>
      </c>
      <c r="D74" s="394"/>
      <c r="E74" s="394">
        <v>180</v>
      </c>
      <c r="F74" s="396">
        <f t="shared" si="0"/>
        <v>23091.589999999997</v>
      </c>
      <c r="G74" s="411"/>
    </row>
    <row r="75" spans="1:7">
      <c r="A75" s="400">
        <v>45852</v>
      </c>
      <c r="B75" s="393" t="s">
        <v>3814</v>
      </c>
      <c r="C75" s="400">
        <v>45852</v>
      </c>
      <c r="D75" s="394"/>
      <c r="E75" s="394">
        <v>180</v>
      </c>
      <c r="F75" s="396">
        <f t="shared" si="0"/>
        <v>23271.589999999997</v>
      </c>
      <c r="G75" s="411"/>
    </row>
    <row r="76" spans="1:7">
      <c r="A76" s="400">
        <v>45852</v>
      </c>
      <c r="B76" s="393" t="s">
        <v>3815</v>
      </c>
      <c r="C76" s="400">
        <v>45852</v>
      </c>
      <c r="D76" s="394"/>
      <c r="E76" s="394">
        <v>180</v>
      </c>
      <c r="F76" s="396">
        <f t="shared" si="0"/>
        <v>23451.589999999997</v>
      </c>
      <c r="G76" s="411"/>
    </row>
    <row r="77" spans="1:7">
      <c r="A77" s="400">
        <v>45852</v>
      </c>
      <c r="B77" s="393" t="s">
        <v>3816</v>
      </c>
      <c r="C77" s="400">
        <v>45852</v>
      </c>
      <c r="D77" s="394"/>
      <c r="E77" s="394">
        <v>180</v>
      </c>
      <c r="F77" s="396">
        <f t="shared" si="0"/>
        <v>23631.589999999997</v>
      </c>
      <c r="G77" s="411"/>
    </row>
    <row r="78" spans="1:7">
      <c r="A78" s="400">
        <v>45852</v>
      </c>
      <c r="B78" s="393" t="s">
        <v>3817</v>
      </c>
      <c r="C78" s="400">
        <v>45852</v>
      </c>
      <c r="D78" s="394"/>
      <c r="E78" s="394">
        <v>220</v>
      </c>
      <c r="F78" s="396">
        <f t="shared" ref="F78:F141" si="2">F77-D78+E78</f>
        <v>23851.589999999997</v>
      </c>
      <c r="G78" s="411"/>
    </row>
    <row r="79" spans="1:7">
      <c r="A79" s="400">
        <v>45852</v>
      </c>
      <c r="B79" s="393" t="s">
        <v>3818</v>
      </c>
      <c r="C79" s="400">
        <v>45852</v>
      </c>
      <c r="D79" s="394"/>
      <c r="E79" s="394">
        <v>220</v>
      </c>
      <c r="F79" s="396">
        <f t="shared" si="2"/>
        <v>24071.589999999997</v>
      </c>
      <c r="G79" s="411"/>
    </row>
    <row r="80" spans="1:7">
      <c r="A80" s="400">
        <v>45852</v>
      </c>
      <c r="B80" s="393" t="s">
        <v>3753</v>
      </c>
      <c r="C80" s="400">
        <v>45852</v>
      </c>
      <c r="D80" s="394">
        <v>0.21</v>
      </c>
      <c r="E80" s="394"/>
      <c r="F80" s="396">
        <f t="shared" si="2"/>
        <v>24071.379999999997</v>
      </c>
      <c r="G80" s="411"/>
    </row>
    <row r="81" spans="1:7">
      <c r="A81" s="400">
        <v>45854</v>
      </c>
      <c r="B81" s="393" t="s">
        <v>3819</v>
      </c>
      <c r="C81" s="400">
        <v>45854</v>
      </c>
      <c r="D81" s="394"/>
      <c r="E81" s="394">
        <v>180</v>
      </c>
      <c r="F81" s="396">
        <f t="shared" si="2"/>
        <v>24251.379999999997</v>
      </c>
      <c r="G81" s="411"/>
    </row>
    <row r="82" spans="1:7">
      <c r="A82" s="400">
        <v>45854</v>
      </c>
      <c r="B82" s="393" t="s">
        <v>3820</v>
      </c>
      <c r="C82" s="400">
        <v>45854</v>
      </c>
      <c r="D82" s="394"/>
      <c r="E82" s="394">
        <v>220</v>
      </c>
      <c r="F82" s="396">
        <f t="shared" si="2"/>
        <v>24471.379999999997</v>
      </c>
      <c r="G82" s="411"/>
    </row>
    <row r="83" spans="1:7">
      <c r="A83" s="400">
        <v>45854</v>
      </c>
      <c r="B83" s="393" t="s">
        <v>3821</v>
      </c>
      <c r="C83" s="400">
        <v>45854</v>
      </c>
      <c r="D83" s="394"/>
      <c r="E83" s="394">
        <v>180</v>
      </c>
      <c r="F83" s="396">
        <f t="shared" si="2"/>
        <v>24651.379999999997</v>
      </c>
      <c r="G83" s="411"/>
    </row>
    <row r="84" spans="1:7">
      <c r="A84" s="400">
        <v>45854</v>
      </c>
      <c r="B84" s="393" t="s">
        <v>3822</v>
      </c>
      <c r="C84" s="400">
        <v>45854</v>
      </c>
      <c r="D84" s="394"/>
      <c r="E84" s="394">
        <v>180</v>
      </c>
      <c r="F84" s="396">
        <f t="shared" si="2"/>
        <v>24831.379999999997</v>
      </c>
    </row>
    <row r="85" spans="1:7">
      <c r="A85" s="400">
        <v>45854</v>
      </c>
      <c r="B85" s="393" t="s">
        <v>3823</v>
      </c>
      <c r="C85" s="400">
        <v>45854</v>
      </c>
      <c r="D85" s="394"/>
      <c r="E85" s="394">
        <v>190</v>
      </c>
      <c r="F85" s="396">
        <f t="shared" si="2"/>
        <v>25021.379999999997</v>
      </c>
    </row>
    <row r="86" spans="1:7">
      <c r="A86" s="400">
        <v>45854</v>
      </c>
      <c r="B86" s="393" t="s">
        <v>3824</v>
      </c>
      <c r="C86" s="400">
        <v>45854</v>
      </c>
      <c r="D86" s="394"/>
      <c r="E86" s="394">
        <v>180</v>
      </c>
      <c r="F86" s="396">
        <f t="shared" si="2"/>
        <v>25201.379999999997</v>
      </c>
    </row>
    <row r="87" spans="1:7">
      <c r="A87" s="400">
        <v>45854</v>
      </c>
      <c r="B87" s="393" t="s">
        <v>3819</v>
      </c>
      <c r="C87" s="400">
        <v>45854</v>
      </c>
      <c r="D87" s="394"/>
      <c r="E87" s="394">
        <v>-180</v>
      </c>
      <c r="F87" s="396">
        <f t="shared" si="2"/>
        <v>25021.379999999997</v>
      </c>
    </row>
    <row r="88" spans="1:7">
      <c r="A88" s="400">
        <v>45854</v>
      </c>
      <c r="B88" s="393" t="s">
        <v>3825</v>
      </c>
      <c r="C88" s="400">
        <v>45854</v>
      </c>
      <c r="D88" s="394"/>
      <c r="E88" s="394">
        <v>180</v>
      </c>
      <c r="F88" s="396">
        <f t="shared" si="2"/>
        <v>25201.379999999997</v>
      </c>
    </row>
    <row r="89" spans="1:7">
      <c r="A89" s="400">
        <v>45854</v>
      </c>
      <c r="B89" s="393" t="s">
        <v>3753</v>
      </c>
      <c r="C89" s="400">
        <v>45854</v>
      </c>
      <c r="D89" s="394">
        <v>0.18</v>
      </c>
      <c r="E89" s="394"/>
      <c r="F89" s="396">
        <f t="shared" si="2"/>
        <v>25201.199999999997</v>
      </c>
    </row>
    <row r="90" spans="1:7">
      <c r="A90" s="400">
        <v>45855</v>
      </c>
      <c r="B90" s="393" t="s">
        <v>3826</v>
      </c>
      <c r="C90" s="400">
        <v>45855</v>
      </c>
      <c r="D90" s="394"/>
      <c r="E90" s="394">
        <v>180</v>
      </c>
      <c r="F90" s="396">
        <f t="shared" si="2"/>
        <v>25381.199999999997</v>
      </c>
    </row>
    <row r="91" spans="1:7">
      <c r="A91" s="400">
        <v>45855</v>
      </c>
      <c r="B91" s="393" t="s">
        <v>3827</v>
      </c>
      <c r="C91" s="400">
        <v>45855</v>
      </c>
      <c r="D91" s="394"/>
      <c r="E91" s="394">
        <v>180</v>
      </c>
      <c r="F91" s="396">
        <f t="shared" si="2"/>
        <v>25561.199999999997</v>
      </c>
    </row>
    <row r="92" spans="1:7">
      <c r="A92" s="400">
        <v>45855</v>
      </c>
      <c r="B92" s="393" t="s">
        <v>3828</v>
      </c>
      <c r="C92" s="400">
        <v>45855</v>
      </c>
      <c r="D92" s="394"/>
      <c r="E92" s="394">
        <v>180</v>
      </c>
      <c r="F92" s="396">
        <f t="shared" si="2"/>
        <v>25741.199999999997</v>
      </c>
    </row>
    <row r="93" spans="1:7">
      <c r="A93" s="400">
        <v>45855</v>
      </c>
      <c r="B93" s="393" t="s">
        <v>3829</v>
      </c>
      <c r="C93" s="400">
        <v>45855</v>
      </c>
      <c r="D93" s="394"/>
      <c r="E93" s="394">
        <v>220</v>
      </c>
      <c r="F93" s="396">
        <f t="shared" si="2"/>
        <v>25961.199999999997</v>
      </c>
    </row>
    <row r="94" spans="1:7">
      <c r="A94" s="400">
        <v>45855</v>
      </c>
      <c r="B94" s="393" t="s">
        <v>3830</v>
      </c>
      <c r="C94" s="400">
        <v>45855</v>
      </c>
      <c r="D94" s="394"/>
      <c r="E94" s="394">
        <v>180</v>
      </c>
      <c r="F94" s="396">
        <f t="shared" si="2"/>
        <v>26141.199999999997</v>
      </c>
    </row>
    <row r="95" spans="1:7">
      <c r="A95" s="400">
        <v>45855</v>
      </c>
      <c r="B95" s="393" t="s">
        <v>3831</v>
      </c>
      <c r="C95" s="400">
        <v>45855</v>
      </c>
      <c r="D95" s="394"/>
      <c r="E95" s="394">
        <v>180</v>
      </c>
      <c r="F95" s="396">
        <f t="shared" si="2"/>
        <v>26321.199999999997</v>
      </c>
    </row>
    <row r="96" spans="1:7">
      <c r="A96" s="400">
        <v>45855</v>
      </c>
      <c r="B96" s="393" t="s">
        <v>3832</v>
      </c>
      <c r="C96" s="400">
        <v>45855</v>
      </c>
      <c r="D96" s="394"/>
      <c r="E96" s="394">
        <v>180</v>
      </c>
      <c r="F96" s="396">
        <f t="shared" si="2"/>
        <v>26501.199999999997</v>
      </c>
    </row>
    <row r="97" spans="1:6">
      <c r="A97" s="400">
        <v>45855</v>
      </c>
      <c r="B97" s="393" t="s">
        <v>3833</v>
      </c>
      <c r="C97" s="400">
        <v>45855</v>
      </c>
      <c r="D97" s="394"/>
      <c r="E97" s="394">
        <v>235</v>
      </c>
      <c r="F97" s="396">
        <f t="shared" si="2"/>
        <v>26736.199999999997</v>
      </c>
    </row>
    <row r="98" spans="1:6">
      <c r="A98" s="400">
        <v>45855</v>
      </c>
      <c r="B98" s="393" t="s">
        <v>3834</v>
      </c>
      <c r="C98" s="400">
        <v>45855</v>
      </c>
      <c r="D98" s="394"/>
      <c r="E98" s="394">
        <v>180</v>
      </c>
      <c r="F98" s="396">
        <f t="shared" si="2"/>
        <v>26916.199999999997</v>
      </c>
    </row>
    <row r="99" spans="1:6">
      <c r="A99" s="400">
        <v>45855</v>
      </c>
      <c r="B99" s="393" t="s">
        <v>3835</v>
      </c>
      <c r="C99" s="400">
        <v>45855</v>
      </c>
      <c r="D99" s="394"/>
      <c r="E99" s="394">
        <v>190</v>
      </c>
      <c r="F99" s="396">
        <f t="shared" si="2"/>
        <v>27106.199999999997</v>
      </c>
    </row>
    <row r="100" spans="1:6">
      <c r="A100" s="400">
        <v>45855</v>
      </c>
      <c r="B100" s="393" t="s">
        <v>3836</v>
      </c>
      <c r="C100" s="400">
        <v>45855</v>
      </c>
      <c r="D100" s="394"/>
      <c r="E100" s="394">
        <v>190</v>
      </c>
      <c r="F100" s="396">
        <f t="shared" si="2"/>
        <v>27296.199999999997</v>
      </c>
    </row>
    <row r="101" spans="1:6">
      <c r="A101" s="400">
        <v>45855</v>
      </c>
      <c r="B101" s="393" t="s">
        <v>3836</v>
      </c>
      <c r="C101" s="400">
        <v>45855</v>
      </c>
      <c r="D101" s="394"/>
      <c r="E101" s="394">
        <v>-190</v>
      </c>
      <c r="F101" s="396">
        <f t="shared" si="2"/>
        <v>27106.199999999997</v>
      </c>
    </row>
    <row r="102" spans="1:6">
      <c r="A102" s="400">
        <v>45855</v>
      </c>
      <c r="B102" s="393" t="s">
        <v>3837</v>
      </c>
      <c r="C102" s="400">
        <v>45855</v>
      </c>
      <c r="D102" s="394"/>
      <c r="E102" s="394">
        <v>190</v>
      </c>
      <c r="F102" s="396">
        <f t="shared" si="2"/>
        <v>27296.199999999997</v>
      </c>
    </row>
    <row r="103" spans="1:6">
      <c r="A103" s="400">
        <v>45855</v>
      </c>
      <c r="B103" s="393" t="s">
        <v>3838</v>
      </c>
      <c r="C103" s="400">
        <v>45855</v>
      </c>
      <c r="D103" s="394"/>
      <c r="E103" s="394">
        <v>180</v>
      </c>
      <c r="F103" s="396">
        <f t="shared" si="2"/>
        <v>27476.199999999997</v>
      </c>
    </row>
    <row r="104" spans="1:6">
      <c r="A104" s="400">
        <v>45855</v>
      </c>
      <c r="B104" s="393" t="s">
        <v>3839</v>
      </c>
      <c r="C104" s="400">
        <v>45855</v>
      </c>
      <c r="D104" s="394"/>
      <c r="E104" s="394">
        <v>232</v>
      </c>
      <c r="F104" s="396">
        <f t="shared" si="2"/>
        <v>27708.199999999997</v>
      </c>
    </row>
    <row r="105" spans="1:6">
      <c r="A105" s="400">
        <v>45855</v>
      </c>
      <c r="B105" s="393" t="s">
        <v>3840</v>
      </c>
      <c r="C105" s="400">
        <v>45855</v>
      </c>
      <c r="D105" s="394"/>
      <c r="E105" s="394">
        <v>232</v>
      </c>
      <c r="F105" s="396">
        <f t="shared" si="2"/>
        <v>27940.199999999997</v>
      </c>
    </row>
    <row r="106" spans="1:6">
      <c r="A106" s="400">
        <v>45855</v>
      </c>
      <c r="B106" s="393" t="s">
        <v>3753</v>
      </c>
      <c r="C106" s="400">
        <v>45855</v>
      </c>
      <c r="D106" s="394">
        <v>0.42</v>
      </c>
      <c r="E106" s="394"/>
      <c r="F106" s="396">
        <f t="shared" si="2"/>
        <v>27939.78</v>
      </c>
    </row>
    <row r="107" spans="1:6">
      <c r="A107" s="400">
        <v>45856</v>
      </c>
      <c r="B107" s="393" t="s">
        <v>3841</v>
      </c>
      <c r="C107" s="400">
        <v>45856</v>
      </c>
      <c r="D107" s="394"/>
      <c r="E107" s="394">
        <v>232</v>
      </c>
      <c r="F107" s="396">
        <f t="shared" si="2"/>
        <v>28171.78</v>
      </c>
    </row>
    <row r="108" spans="1:6">
      <c r="A108" s="400">
        <v>45856</v>
      </c>
      <c r="B108" s="393" t="s">
        <v>3842</v>
      </c>
      <c r="C108" s="400">
        <v>45856</v>
      </c>
      <c r="D108" s="394"/>
      <c r="E108" s="394">
        <v>190</v>
      </c>
      <c r="F108" s="396">
        <f t="shared" si="2"/>
        <v>28361.78</v>
      </c>
    </row>
    <row r="109" spans="1:6">
      <c r="A109" s="400">
        <v>45856</v>
      </c>
      <c r="B109" s="393" t="s">
        <v>3843</v>
      </c>
      <c r="C109" s="400">
        <v>45856</v>
      </c>
      <c r="D109" s="394"/>
      <c r="E109" s="394">
        <v>180</v>
      </c>
      <c r="F109" s="396">
        <f t="shared" si="2"/>
        <v>28541.78</v>
      </c>
    </row>
    <row r="110" spans="1:6">
      <c r="A110" s="400">
        <v>45856</v>
      </c>
      <c r="B110" s="393" t="s">
        <v>3844</v>
      </c>
      <c r="C110" s="400">
        <v>45856</v>
      </c>
      <c r="D110" s="394"/>
      <c r="E110" s="394">
        <v>232</v>
      </c>
      <c r="F110" s="396">
        <f t="shared" si="2"/>
        <v>28773.78</v>
      </c>
    </row>
    <row r="111" spans="1:6">
      <c r="A111" s="400">
        <v>45856</v>
      </c>
      <c r="B111" s="393" t="s">
        <v>3845</v>
      </c>
      <c r="C111" s="400">
        <v>45856</v>
      </c>
      <c r="D111" s="394"/>
      <c r="E111" s="394">
        <v>180</v>
      </c>
      <c r="F111" s="396">
        <f t="shared" si="2"/>
        <v>28953.78</v>
      </c>
    </row>
    <row r="112" spans="1:6">
      <c r="A112" s="400">
        <v>45856</v>
      </c>
      <c r="B112" s="393" t="s">
        <v>3846</v>
      </c>
      <c r="C112" s="400">
        <v>45856</v>
      </c>
      <c r="D112" s="394"/>
      <c r="E112" s="394">
        <v>180</v>
      </c>
      <c r="F112" s="396">
        <f t="shared" si="2"/>
        <v>29133.78</v>
      </c>
    </row>
    <row r="113" spans="1:6">
      <c r="A113" s="400">
        <v>45856</v>
      </c>
      <c r="B113" s="393" t="s">
        <v>3847</v>
      </c>
      <c r="C113" s="400">
        <v>45856</v>
      </c>
      <c r="D113" s="394"/>
      <c r="E113" s="394">
        <v>180</v>
      </c>
      <c r="F113" s="396">
        <f t="shared" si="2"/>
        <v>29313.78</v>
      </c>
    </row>
    <row r="114" spans="1:6">
      <c r="A114" s="400">
        <v>45856</v>
      </c>
      <c r="B114" s="393" t="s">
        <v>3848</v>
      </c>
      <c r="C114" s="400">
        <v>45856</v>
      </c>
      <c r="D114" s="394"/>
      <c r="E114" s="394">
        <v>180</v>
      </c>
      <c r="F114" s="396">
        <f t="shared" si="2"/>
        <v>29493.78</v>
      </c>
    </row>
    <row r="115" spans="1:6">
      <c r="A115" s="400">
        <v>45856</v>
      </c>
      <c r="B115" s="393" t="s">
        <v>3849</v>
      </c>
      <c r="C115" s="400">
        <v>45856</v>
      </c>
      <c r="D115" s="394"/>
      <c r="E115" s="394">
        <v>180</v>
      </c>
      <c r="F115" s="396">
        <f t="shared" si="2"/>
        <v>29673.78</v>
      </c>
    </row>
    <row r="116" spans="1:6">
      <c r="A116" s="400">
        <v>45856</v>
      </c>
      <c r="B116" s="393" t="s">
        <v>3753</v>
      </c>
      <c r="C116" s="400">
        <v>45856</v>
      </c>
      <c r="D116" s="394">
        <v>0.27</v>
      </c>
      <c r="E116" s="394"/>
      <c r="F116" s="396">
        <f t="shared" si="2"/>
        <v>29673.51</v>
      </c>
    </row>
    <row r="117" spans="1:6">
      <c r="A117" s="400">
        <v>45859</v>
      </c>
      <c r="B117" s="393" t="s">
        <v>3850</v>
      </c>
      <c r="C117" s="400">
        <v>45859</v>
      </c>
      <c r="D117" s="394"/>
      <c r="E117" s="394">
        <v>220</v>
      </c>
      <c r="F117" s="396">
        <f t="shared" si="2"/>
        <v>29893.51</v>
      </c>
    </row>
    <row r="118" spans="1:6">
      <c r="A118" s="400">
        <v>45859</v>
      </c>
      <c r="B118" s="393" t="s">
        <v>3851</v>
      </c>
      <c r="C118" s="400">
        <v>45859</v>
      </c>
      <c r="D118" s="394"/>
      <c r="E118" s="394">
        <v>180</v>
      </c>
      <c r="F118" s="396">
        <f t="shared" si="2"/>
        <v>30073.51</v>
      </c>
    </row>
    <row r="119" spans="1:6">
      <c r="A119" s="400">
        <v>45859</v>
      </c>
      <c r="B119" s="393" t="s">
        <v>3852</v>
      </c>
      <c r="C119" s="400">
        <v>45859</v>
      </c>
      <c r="D119" s="394"/>
      <c r="E119" s="394">
        <v>180</v>
      </c>
      <c r="F119" s="396">
        <f t="shared" si="2"/>
        <v>30253.51</v>
      </c>
    </row>
    <row r="120" spans="1:6">
      <c r="A120" s="400">
        <v>45859</v>
      </c>
      <c r="B120" s="393" t="s">
        <v>3853</v>
      </c>
      <c r="C120" s="400">
        <v>45859</v>
      </c>
      <c r="D120" s="394"/>
      <c r="E120" s="394">
        <v>180</v>
      </c>
      <c r="F120" s="396">
        <f t="shared" si="2"/>
        <v>30433.51</v>
      </c>
    </row>
    <row r="121" spans="1:6">
      <c r="A121" s="400">
        <v>45859</v>
      </c>
      <c r="B121" s="393" t="s">
        <v>3854</v>
      </c>
      <c r="C121" s="400">
        <v>45859</v>
      </c>
      <c r="D121" s="394"/>
      <c r="E121" s="394">
        <v>190</v>
      </c>
      <c r="F121" s="396">
        <f t="shared" si="2"/>
        <v>30623.51</v>
      </c>
    </row>
    <row r="122" spans="1:6">
      <c r="A122" s="400">
        <v>45859</v>
      </c>
      <c r="B122" s="393" t="s">
        <v>3855</v>
      </c>
      <c r="C122" s="400">
        <v>45859</v>
      </c>
      <c r="D122" s="394"/>
      <c r="E122" s="394">
        <v>232</v>
      </c>
      <c r="F122" s="396">
        <f t="shared" si="2"/>
        <v>30855.51</v>
      </c>
    </row>
    <row r="123" spans="1:6">
      <c r="A123" s="400">
        <v>45859</v>
      </c>
      <c r="B123" s="393" t="s">
        <v>3856</v>
      </c>
      <c r="C123" s="400">
        <v>45859</v>
      </c>
      <c r="D123" s="394"/>
      <c r="E123" s="394">
        <v>220</v>
      </c>
      <c r="F123" s="396">
        <f t="shared" si="2"/>
        <v>31075.51</v>
      </c>
    </row>
    <row r="124" spans="1:6">
      <c r="A124" s="400">
        <v>45859</v>
      </c>
      <c r="B124" s="393" t="s">
        <v>3857</v>
      </c>
      <c r="C124" s="400">
        <v>45859</v>
      </c>
      <c r="D124" s="394"/>
      <c r="E124" s="394">
        <v>220</v>
      </c>
      <c r="F124" s="396">
        <f t="shared" si="2"/>
        <v>31295.51</v>
      </c>
    </row>
    <row r="125" spans="1:6">
      <c r="A125" s="400">
        <v>45859</v>
      </c>
      <c r="B125" s="393" t="s">
        <v>3858</v>
      </c>
      <c r="C125" s="400">
        <v>45859</v>
      </c>
      <c r="D125" s="394"/>
      <c r="E125" s="394">
        <v>180</v>
      </c>
      <c r="F125" s="396">
        <f t="shared" si="2"/>
        <v>31475.51</v>
      </c>
    </row>
    <row r="126" spans="1:6">
      <c r="A126" s="400">
        <v>45859</v>
      </c>
      <c r="B126" s="393" t="s">
        <v>3859</v>
      </c>
      <c r="C126" s="400">
        <v>45859</v>
      </c>
      <c r="D126" s="394"/>
      <c r="E126" s="394">
        <v>180</v>
      </c>
      <c r="F126" s="396">
        <f t="shared" si="2"/>
        <v>31655.51</v>
      </c>
    </row>
    <row r="127" spans="1:6">
      <c r="A127" s="400">
        <v>45859</v>
      </c>
      <c r="B127" s="393" t="s">
        <v>3860</v>
      </c>
      <c r="C127" s="400">
        <v>45859</v>
      </c>
      <c r="D127" s="394"/>
      <c r="E127" s="394">
        <v>220</v>
      </c>
      <c r="F127" s="396">
        <f t="shared" si="2"/>
        <v>31875.51</v>
      </c>
    </row>
    <row r="128" spans="1:6">
      <c r="A128" s="400">
        <v>45859</v>
      </c>
      <c r="B128" s="393" t="s">
        <v>3861</v>
      </c>
      <c r="C128" s="400">
        <v>45859</v>
      </c>
      <c r="D128" s="394"/>
      <c r="E128" s="394">
        <v>220</v>
      </c>
      <c r="F128" s="396">
        <f t="shared" si="2"/>
        <v>32095.51</v>
      </c>
    </row>
    <row r="129" spans="1:6">
      <c r="A129" s="400">
        <v>45859</v>
      </c>
      <c r="B129" s="393" t="s">
        <v>3862</v>
      </c>
      <c r="C129" s="400">
        <v>45859</v>
      </c>
      <c r="D129" s="394"/>
      <c r="E129" s="394">
        <v>220</v>
      </c>
      <c r="F129" s="396">
        <f t="shared" si="2"/>
        <v>32315.51</v>
      </c>
    </row>
    <row r="130" spans="1:6">
      <c r="A130" s="400">
        <v>45859</v>
      </c>
      <c r="B130" s="393" t="s">
        <v>3863</v>
      </c>
      <c r="C130" s="400">
        <v>45859</v>
      </c>
      <c r="D130" s="394"/>
      <c r="E130" s="394">
        <v>190</v>
      </c>
      <c r="F130" s="396">
        <f t="shared" si="2"/>
        <v>32505.51</v>
      </c>
    </row>
    <row r="131" spans="1:6">
      <c r="A131" s="400">
        <v>45859</v>
      </c>
      <c r="B131" s="393" t="s">
        <v>3753</v>
      </c>
      <c r="C131" s="400">
        <v>45859</v>
      </c>
      <c r="D131" s="394">
        <v>0.39</v>
      </c>
      <c r="E131" s="394"/>
      <c r="F131" s="396">
        <f t="shared" si="2"/>
        <v>32505.119999999999</v>
      </c>
    </row>
    <row r="132" spans="1:6">
      <c r="A132" s="400">
        <v>45860</v>
      </c>
      <c r="B132" s="393" t="s">
        <v>3864</v>
      </c>
      <c r="C132" s="400">
        <v>45860</v>
      </c>
      <c r="D132" s="394"/>
      <c r="E132" s="394">
        <v>232</v>
      </c>
      <c r="F132" s="396">
        <f t="shared" si="2"/>
        <v>32737.119999999999</v>
      </c>
    </row>
    <row r="133" spans="1:6">
      <c r="A133" s="400">
        <v>45860</v>
      </c>
      <c r="B133" s="393" t="s">
        <v>3865</v>
      </c>
      <c r="C133" s="400">
        <v>45860</v>
      </c>
      <c r="D133" s="394"/>
      <c r="E133" s="394">
        <v>180</v>
      </c>
      <c r="F133" s="396">
        <f t="shared" si="2"/>
        <v>32917.119999999995</v>
      </c>
    </row>
    <row r="134" spans="1:6">
      <c r="A134" s="400">
        <v>45860</v>
      </c>
      <c r="B134" s="393" t="s">
        <v>3866</v>
      </c>
      <c r="C134" s="400">
        <v>45860</v>
      </c>
      <c r="D134" s="394"/>
      <c r="E134" s="394">
        <v>180</v>
      </c>
      <c r="F134" s="396">
        <f t="shared" si="2"/>
        <v>33097.119999999995</v>
      </c>
    </row>
    <row r="135" spans="1:6">
      <c r="A135" s="400">
        <v>45860</v>
      </c>
      <c r="B135" s="393" t="s">
        <v>3867</v>
      </c>
      <c r="C135" s="400">
        <v>45860</v>
      </c>
      <c r="D135" s="394"/>
      <c r="E135" s="394">
        <v>15</v>
      </c>
      <c r="F135" s="396">
        <f t="shared" si="2"/>
        <v>33112.119999999995</v>
      </c>
    </row>
    <row r="136" spans="1:6">
      <c r="A136" s="400">
        <v>45860</v>
      </c>
      <c r="B136" s="393" t="s">
        <v>3868</v>
      </c>
      <c r="C136" s="400">
        <v>45860</v>
      </c>
      <c r="D136" s="394"/>
      <c r="E136" s="394">
        <v>190</v>
      </c>
      <c r="F136" s="396">
        <f t="shared" si="2"/>
        <v>33302.119999999995</v>
      </c>
    </row>
    <row r="137" spans="1:6">
      <c r="A137" s="400">
        <v>45860</v>
      </c>
      <c r="B137" s="393" t="s">
        <v>3869</v>
      </c>
      <c r="C137" s="400">
        <v>45860</v>
      </c>
      <c r="D137" s="394"/>
      <c r="E137" s="394">
        <v>232</v>
      </c>
      <c r="F137" s="396">
        <f t="shared" si="2"/>
        <v>33534.119999999995</v>
      </c>
    </row>
    <row r="138" spans="1:6">
      <c r="A138" s="400">
        <v>45860</v>
      </c>
      <c r="B138" s="393" t="s">
        <v>3870</v>
      </c>
      <c r="C138" s="400">
        <v>45860</v>
      </c>
      <c r="D138" s="394"/>
      <c r="E138" s="394">
        <v>220</v>
      </c>
      <c r="F138" s="396">
        <f t="shared" si="2"/>
        <v>33754.119999999995</v>
      </c>
    </row>
    <row r="139" spans="1:6">
      <c r="A139" s="400">
        <v>45860</v>
      </c>
      <c r="B139" s="393" t="s">
        <v>3871</v>
      </c>
      <c r="C139" s="400">
        <v>45860</v>
      </c>
      <c r="D139" s="394"/>
      <c r="E139" s="394">
        <v>180</v>
      </c>
      <c r="F139" s="396">
        <f t="shared" si="2"/>
        <v>33934.119999999995</v>
      </c>
    </row>
    <row r="140" spans="1:6">
      <c r="A140" s="400">
        <v>45860</v>
      </c>
      <c r="B140" s="393" t="s">
        <v>3872</v>
      </c>
      <c r="C140" s="400">
        <v>45860</v>
      </c>
      <c r="D140" s="394"/>
      <c r="E140" s="394">
        <v>190</v>
      </c>
      <c r="F140" s="396">
        <f t="shared" si="2"/>
        <v>34124.119999999995</v>
      </c>
    </row>
    <row r="141" spans="1:6">
      <c r="A141" s="400">
        <v>45860</v>
      </c>
      <c r="B141" s="393" t="s">
        <v>3873</v>
      </c>
      <c r="C141" s="400">
        <v>45860</v>
      </c>
      <c r="D141" s="394"/>
      <c r="E141" s="394">
        <v>190</v>
      </c>
      <c r="F141" s="396">
        <f t="shared" si="2"/>
        <v>34314.119999999995</v>
      </c>
    </row>
    <row r="142" spans="1:6">
      <c r="A142" s="400">
        <v>45860</v>
      </c>
      <c r="B142" s="393" t="s">
        <v>3874</v>
      </c>
      <c r="C142" s="400">
        <v>45860</v>
      </c>
      <c r="D142" s="394"/>
      <c r="E142" s="394">
        <v>190</v>
      </c>
      <c r="F142" s="396">
        <f t="shared" ref="F142:F205" si="3">F141-D142+E142</f>
        <v>34504.119999999995</v>
      </c>
    </row>
    <row r="143" spans="1:6">
      <c r="A143" s="400">
        <v>45860</v>
      </c>
      <c r="B143" s="393" t="s">
        <v>3875</v>
      </c>
      <c r="C143" s="400">
        <v>45860</v>
      </c>
      <c r="D143" s="394"/>
      <c r="E143" s="394">
        <v>220</v>
      </c>
      <c r="F143" s="396">
        <f t="shared" si="3"/>
        <v>34724.119999999995</v>
      </c>
    </row>
    <row r="144" spans="1:6">
      <c r="A144" s="400">
        <v>45860</v>
      </c>
      <c r="B144" s="393" t="s">
        <v>3876</v>
      </c>
      <c r="C144" s="400">
        <v>45860</v>
      </c>
      <c r="D144" s="394"/>
      <c r="E144" s="394">
        <v>180</v>
      </c>
      <c r="F144" s="396">
        <f t="shared" si="3"/>
        <v>34904.119999999995</v>
      </c>
    </row>
    <row r="145" spans="1:6">
      <c r="A145" s="400">
        <v>45860</v>
      </c>
      <c r="B145" s="393" t="s">
        <v>3877</v>
      </c>
      <c r="C145" s="400">
        <v>45860</v>
      </c>
      <c r="D145" s="394"/>
      <c r="E145" s="394">
        <v>232</v>
      </c>
      <c r="F145" s="396">
        <f t="shared" si="3"/>
        <v>35136.119999999995</v>
      </c>
    </row>
    <row r="146" spans="1:6">
      <c r="A146" s="400">
        <v>45860</v>
      </c>
      <c r="B146" s="393" t="s">
        <v>3878</v>
      </c>
      <c r="C146" s="400">
        <v>45860</v>
      </c>
      <c r="D146" s="394"/>
      <c r="E146" s="394">
        <v>180</v>
      </c>
      <c r="F146" s="396">
        <f t="shared" si="3"/>
        <v>35316.119999999995</v>
      </c>
    </row>
    <row r="147" spans="1:6">
      <c r="A147" s="400">
        <v>45860</v>
      </c>
      <c r="B147" s="393" t="s">
        <v>3879</v>
      </c>
      <c r="C147" s="400">
        <v>45860</v>
      </c>
      <c r="D147" s="394"/>
      <c r="E147" s="394">
        <v>220</v>
      </c>
      <c r="F147" s="396">
        <f t="shared" si="3"/>
        <v>35536.119999999995</v>
      </c>
    </row>
    <row r="148" spans="1:6">
      <c r="A148" s="400">
        <v>45860</v>
      </c>
      <c r="B148" s="393" t="s">
        <v>3880</v>
      </c>
      <c r="C148" s="400">
        <v>45860</v>
      </c>
      <c r="D148" s="394"/>
      <c r="E148" s="394">
        <v>220</v>
      </c>
      <c r="F148" s="396">
        <f t="shared" si="3"/>
        <v>35756.119999999995</v>
      </c>
    </row>
    <row r="149" spans="1:6">
      <c r="A149" s="400">
        <v>45860</v>
      </c>
      <c r="B149" s="393" t="s">
        <v>3881</v>
      </c>
      <c r="C149" s="400">
        <v>45860</v>
      </c>
      <c r="D149" s="394"/>
      <c r="E149" s="394">
        <v>232</v>
      </c>
      <c r="F149" s="396">
        <f t="shared" si="3"/>
        <v>35988.119999999995</v>
      </c>
    </row>
    <row r="150" spans="1:6">
      <c r="A150" s="400">
        <v>45860</v>
      </c>
      <c r="B150" s="393" t="s">
        <v>3882</v>
      </c>
      <c r="C150" s="400">
        <v>45860</v>
      </c>
      <c r="D150" s="394"/>
      <c r="E150" s="394">
        <v>12</v>
      </c>
      <c r="F150" s="396">
        <f t="shared" si="3"/>
        <v>36000.119999999995</v>
      </c>
    </row>
    <row r="151" spans="1:6">
      <c r="A151" s="400">
        <v>45860</v>
      </c>
      <c r="B151" s="393" t="s">
        <v>3753</v>
      </c>
      <c r="C151" s="400">
        <v>45860</v>
      </c>
      <c r="D151" s="394">
        <v>0.56999999999999995</v>
      </c>
      <c r="E151" s="394"/>
      <c r="F151" s="396">
        <f t="shared" si="3"/>
        <v>35999.549999999996</v>
      </c>
    </row>
    <row r="152" spans="1:6">
      <c r="A152" s="400">
        <v>45861</v>
      </c>
      <c r="B152" s="393" t="s">
        <v>3883</v>
      </c>
      <c r="C152" s="400">
        <v>45861</v>
      </c>
      <c r="D152" s="394"/>
      <c r="E152" s="394">
        <v>190</v>
      </c>
      <c r="F152" s="396">
        <f t="shared" si="3"/>
        <v>36189.549999999996</v>
      </c>
    </row>
    <row r="153" spans="1:6">
      <c r="A153" s="400">
        <v>45861</v>
      </c>
      <c r="B153" s="393" t="s">
        <v>3884</v>
      </c>
      <c r="C153" s="400">
        <v>45861</v>
      </c>
      <c r="D153" s="394"/>
      <c r="E153" s="394">
        <v>180</v>
      </c>
      <c r="F153" s="396">
        <f t="shared" si="3"/>
        <v>36369.549999999996</v>
      </c>
    </row>
    <row r="154" spans="1:6">
      <c r="A154" s="400">
        <v>45861</v>
      </c>
      <c r="B154" s="393" t="s">
        <v>3885</v>
      </c>
      <c r="C154" s="400">
        <v>45861</v>
      </c>
      <c r="D154" s="394"/>
      <c r="E154" s="394">
        <v>180</v>
      </c>
      <c r="F154" s="396">
        <f t="shared" si="3"/>
        <v>36549.549999999996</v>
      </c>
    </row>
    <row r="155" spans="1:6">
      <c r="A155" s="400">
        <v>45861</v>
      </c>
      <c r="B155" s="393" t="s">
        <v>3886</v>
      </c>
      <c r="C155" s="400">
        <v>45861</v>
      </c>
      <c r="D155" s="394"/>
      <c r="E155" s="394">
        <v>180</v>
      </c>
      <c r="F155" s="396">
        <f t="shared" si="3"/>
        <v>36729.549999999996</v>
      </c>
    </row>
    <row r="156" spans="1:6">
      <c r="A156" s="400">
        <v>45861</v>
      </c>
      <c r="B156" s="393" t="s">
        <v>3887</v>
      </c>
      <c r="C156" s="400">
        <v>45861</v>
      </c>
      <c r="D156" s="394"/>
      <c r="E156" s="394">
        <v>180</v>
      </c>
      <c r="F156" s="396">
        <f t="shared" si="3"/>
        <v>36909.549999999996</v>
      </c>
    </row>
    <row r="157" spans="1:6">
      <c r="A157" s="400">
        <v>45861</v>
      </c>
      <c r="B157" s="393" t="s">
        <v>3888</v>
      </c>
      <c r="C157" s="400">
        <v>45861</v>
      </c>
      <c r="D157" s="394"/>
      <c r="E157" s="394">
        <v>180</v>
      </c>
      <c r="F157" s="396">
        <f t="shared" si="3"/>
        <v>37089.549999999996</v>
      </c>
    </row>
    <row r="158" spans="1:6">
      <c r="A158" s="400">
        <v>45861</v>
      </c>
      <c r="B158" s="393" t="s">
        <v>3889</v>
      </c>
      <c r="C158" s="400">
        <v>45861</v>
      </c>
      <c r="D158" s="394"/>
      <c r="E158" s="394">
        <v>180</v>
      </c>
      <c r="F158" s="396">
        <f t="shared" si="3"/>
        <v>37269.549999999996</v>
      </c>
    </row>
    <row r="159" spans="1:6">
      <c r="A159" s="400">
        <v>45861</v>
      </c>
      <c r="B159" s="393" t="s">
        <v>3890</v>
      </c>
      <c r="C159" s="400">
        <v>45861</v>
      </c>
      <c r="D159" s="394"/>
      <c r="E159" s="394">
        <v>180</v>
      </c>
      <c r="F159" s="396">
        <f t="shared" si="3"/>
        <v>37449.549999999996</v>
      </c>
    </row>
    <row r="160" spans="1:6">
      <c r="A160" s="400">
        <v>45861</v>
      </c>
      <c r="B160" s="393" t="s">
        <v>3891</v>
      </c>
      <c r="C160" s="400">
        <v>45861</v>
      </c>
      <c r="D160" s="394"/>
      <c r="E160" s="394">
        <v>180</v>
      </c>
      <c r="F160" s="396">
        <f t="shared" si="3"/>
        <v>37629.549999999996</v>
      </c>
    </row>
    <row r="161" spans="1:6">
      <c r="A161" s="400">
        <v>45861</v>
      </c>
      <c r="B161" s="393" t="s">
        <v>3892</v>
      </c>
      <c r="C161" s="400">
        <v>45861</v>
      </c>
      <c r="D161" s="394"/>
      <c r="E161" s="394">
        <v>180</v>
      </c>
      <c r="F161" s="396">
        <f t="shared" si="3"/>
        <v>37809.549999999996</v>
      </c>
    </row>
    <row r="162" spans="1:6">
      <c r="A162" s="400">
        <v>45861</v>
      </c>
      <c r="B162" s="393" t="s">
        <v>3893</v>
      </c>
      <c r="C162" s="400">
        <v>45861</v>
      </c>
      <c r="D162" s="394"/>
      <c r="E162" s="394">
        <v>190</v>
      </c>
      <c r="F162" s="396">
        <f t="shared" si="3"/>
        <v>37999.549999999996</v>
      </c>
    </row>
    <row r="163" spans="1:6">
      <c r="A163" s="400">
        <v>45861</v>
      </c>
      <c r="B163" s="393" t="s">
        <v>3894</v>
      </c>
      <c r="C163" s="400">
        <v>45861</v>
      </c>
      <c r="D163" s="394"/>
      <c r="E163" s="394">
        <v>180</v>
      </c>
      <c r="F163" s="396">
        <f t="shared" si="3"/>
        <v>38179.549999999996</v>
      </c>
    </row>
    <row r="164" spans="1:6">
      <c r="A164" s="400">
        <v>45861</v>
      </c>
      <c r="B164" s="393" t="s">
        <v>3895</v>
      </c>
      <c r="C164" s="400">
        <v>45861</v>
      </c>
      <c r="D164" s="394"/>
      <c r="E164" s="394">
        <v>190</v>
      </c>
      <c r="F164" s="396">
        <f t="shared" si="3"/>
        <v>38369.549999999996</v>
      </c>
    </row>
    <row r="165" spans="1:6">
      <c r="A165" s="400">
        <v>45861</v>
      </c>
      <c r="B165" s="393" t="s">
        <v>3896</v>
      </c>
      <c r="C165" s="400">
        <v>45861</v>
      </c>
      <c r="D165" s="394"/>
      <c r="E165" s="394">
        <v>180</v>
      </c>
      <c r="F165" s="396">
        <f t="shared" si="3"/>
        <v>38549.549999999996</v>
      </c>
    </row>
    <row r="166" spans="1:6">
      <c r="A166" s="400">
        <v>45861</v>
      </c>
      <c r="B166" s="393" t="s">
        <v>3897</v>
      </c>
      <c r="C166" s="400">
        <v>45861</v>
      </c>
      <c r="D166" s="394"/>
      <c r="E166" s="394">
        <v>180</v>
      </c>
      <c r="F166" s="396">
        <f t="shared" si="3"/>
        <v>38729.549999999996</v>
      </c>
    </row>
    <row r="167" spans="1:6">
      <c r="A167" s="400">
        <v>45861</v>
      </c>
      <c r="B167" s="393" t="s">
        <v>3898</v>
      </c>
      <c r="C167" s="400">
        <v>45861</v>
      </c>
      <c r="D167" s="394"/>
      <c r="E167" s="394">
        <v>220</v>
      </c>
      <c r="F167" s="396">
        <f t="shared" si="3"/>
        <v>38949.549999999996</v>
      </c>
    </row>
    <row r="168" spans="1:6">
      <c r="A168" s="400">
        <v>45861</v>
      </c>
      <c r="B168" s="393" t="s">
        <v>3899</v>
      </c>
      <c r="C168" s="400">
        <v>45861</v>
      </c>
      <c r="D168" s="394"/>
      <c r="E168" s="394">
        <v>220</v>
      </c>
      <c r="F168" s="396">
        <f t="shared" si="3"/>
        <v>39169.549999999996</v>
      </c>
    </row>
    <row r="169" spans="1:6">
      <c r="A169" s="400">
        <v>45861</v>
      </c>
      <c r="B169" s="393" t="s">
        <v>3900</v>
      </c>
      <c r="C169" s="400">
        <v>45861</v>
      </c>
      <c r="D169" s="394"/>
      <c r="E169" s="394">
        <v>220</v>
      </c>
      <c r="F169" s="396">
        <f t="shared" si="3"/>
        <v>39389.549999999996</v>
      </c>
    </row>
    <row r="170" spans="1:6">
      <c r="A170" s="400">
        <v>45861</v>
      </c>
      <c r="B170" s="393" t="s">
        <v>3901</v>
      </c>
      <c r="C170" s="400">
        <v>45861</v>
      </c>
      <c r="D170" s="394"/>
      <c r="E170" s="394">
        <v>12</v>
      </c>
      <c r="F170" s="396">
        <f t="shared" si="3"/>
        <v>39401.549999999996</v>
      </c>
    </row>
    <row r="171" spans="1:6">
      <c r="A171" s="400">
        <v>45861</v>
      </c>
      <c r="B171" s="393" t="s">
        <v>3902</v>
      </c>
      <c r="C171" s="400">
        <v>45861</v>
      </c>
      <c r="D171" s="394"/>
      <c r="E171" s="394">
        <v>180</v>
      </c>
      <c r="F171" s="396">
        <f t="shared" si="3"/>
        <v>39581.549999999996</v>
      </c>
    </row>
    <row r="172" spans="1:6">
      <c r="A172" s="400">
        <v>45861</v>
      </c>
      <c r="B172" s="393" t="s">
        <v>3903</v>
      </c>
      <c r="C172" s="400">
        <v>45861</v>
      </c>
      <c r="D172" s="394"/>
      <c r="E172" s="394">
        <v>180</v>
      </c>
      <c r="F172" s="396">
        <f t="shared" si="3"/>
        <v>39761.549999999996</v>
      </c>
    </row>
    <row r="173" spans="1:6">
      <c r="A173" s="400">
        <v>45861</v>
      </c>
      <c r="B173" s="393" t="s">
        <v>3904</v>
      </c>
      <c r="C173" s="400">
        <v>45861</v>
      </c>
      <c r="D173" s="394"/>
      <c r="E173" s="394">
        <v>180</v>
      </c>
      <c r="F173" s="396">
        <f t="shared" si="3"/>
        <v>39941.549999999996</v>
      </c>
    </row>
    <row r="174" spans="1:6">
      <c r="A174" s="400">
        <v>45861</v>
      </c>
      <c r="B174" s="393" t="s">
        <v>3905</v>
      </c>
      <c r="C174" s="400">
        <v>45861</v>
      </c>
      <c r="D174" s="394"/>
      <c r="E174" s="394">
        <v>180</v>
      </c>
      <c r="F174" s="396">
        <f t="shared" si="3"/>
        <v>40121.549999999996</v>
      </c>
    </row>
    <row r="175" spans="1:6">
      <c r="A175" s="400">
        <v>45861</v>
      </c>
      <c r="B175" s="393" t="s">
        <v>3753</v>
      </c>
      <c r="C175" s="400">
        <v>45861</v>
      </c>
      <c r="D175" s="394">
        <v>0.69</v>
      </c>
      <c r="E175" s="394"/>
      <c r="F175" s="396">
        <f t="shared" si="3"/>
        <v>40120.859999999993</v>
      </c>
    </row>
    <row r="176" spans="1:6">
      <c r="A176" s="400">
        <v>45862</v>
      </c>
      <c r="B176" s="393" t="s">
        <v>3906</v>
      </c>
      <c r="C176" s="400">
        <v>45862</v>
      </c>
      <c r="D176" s="394"/>
      <c r="E176" s="394">
        <v>180</v>
      </c>
      <c r="F176" s="396">
        <f t="shared" si="3"/>
        <v>40300.859999999993</v>
      </c>
    </row>
    <row r="177" spans="1:6">
      <c r="A177" s="400">
        <v>45862</v>
      </c>
      <c r="B177" s="393" t="s">
        <v>3907</v>
      </c>
      <c r="C177" s="400">
        <v>45862</v>
      </c>
      <c r="D177" s="394"/>
      <c r="E177" s="394">
        <v>220</v>
      </c>
      <c r="F177" s="396">
        <f t="shared" si="3"/>
        <v>40520.859999999993</v>
      </c>
    </row>
    <row r="178" spans="1:6">
      <c r="A178" s="400">
        <v>45862</v>
      </c>
      <c r="B178" s="393" t="s">
        <v>3908</v>
      </c>
      <c r="C178" s="400">
        <v>45862</v>
      </c>
      <c r="D178" s="394"/>
      <c r="E178" s="394">
        <v>180</v>
      </c>
      <c r="F178" s="396">
        <f t="shared" si="3"/>
        <v>40700.859999999993</v>
      </c>
    </row>
    <row r="179" spans="1:6">
      <c r="A179" s="400">
        <v>45862</v>
      </c>
      <c r="B179" s="393" t="s">
        <v>3909</v>
      </c>
      <c r="C179" s="400">
        <v>45862</v>
      </c>
      <c r="D179" s="394"/>
      <c r="E179" s="394">
        <v>10</v>
      </c>
      <c r="F179" s="396">
        <f t="shared" si="3"/>
        <v>40710.859999999993</v>
      </c>
    </row>
    <row r="180" spans="1:6">
      <c r="A180" s="400">
        <v>45862</v>
      </c>
      <c r="B180" s="393" t="s">
        <v>3910</v>
      </c>
      <c r="C180" s="400">
        <v>45862</v>
      </c>
      <c r="D180" s="394"/>
      <c r="E180" s="394">
        <v>180</v>
      </c>
      <c r="F180" s="396">
        <f t="shared" si="3"/>
        <v>40890.859999999993</v>
      </c>
    </row>
    <row r="181" spans="1:6">
      <c r="A181" s="400">
        <v>45862</v>
      </c>
      <c r="B181" s="393" t="s">
        <v>3911</v>
      </c>
      <c r="C181" s="400">
        <v>45862</v>
      </c>
      <c r="D181" s="394"/>
      <c r="E181" s="394">
        <v>180</v>
      </c>
      <c r="F181" s="396">
        <f t="shared" si="3"/>
        <v>41070.859999999993</v>
      </c>
    </row>
    <row r="182" spans="1:6">
      <c r="A182" s="400">
        <v>45862</v>
      </c>
      <c r="B182" s="393" t="s">
        <v>3912</v>
      </c>
      <c r="C182" s="400">
        <v>45862</v>
      </c>
      <c r="D182" s="394"/>
      <c r="E182" s="394">
        <v>180</v>
      </c>
      <c r="F182" s="396">
        <f t="shared" si="3"/>
        <v>41250.859999999993</v>
      </c>
    </row>
    <row r="183" spans="1:6">
      <c r="A183" s="400">
        <v>45862</v>
      </c>
      <c r="B183" s="393" t="s">
        <v>3913</v>
      </c>
      <c r="C183" s="400">
        <v>45862</v>
      </c>
      <c r="D183" s="394"/>
      <c r="E183" s="394">
        <v>232</v>
      </c>
      <c r="F183" s="396">
        <f t="shared" si="3"/>
        <v>41482.859999999993</v>
      </c>
    </row>
    <row r="184" spans="1:6">
      <c r="A184" s="400">
        <v>45862</v>
      </c>
      <c r="B184" s="393" t="s">
        <v>3914</v>
      </c>
      <c r="C184" s="400">
        <v>45862</v>
      </c>
      <c r="D184" s="394"/>
      <c r="E184" s="394">
        <v>180</v>
      </c>
      <c r="F184" s="396">
        <f t="shared" si="3"/>
        <v>41662.859999999993</v>
      </c>
    </row>
    <row r="185" spans="1:6">
      <c r="A185" s="400">
        <v>45862</v>
      </c>
      <c r="B185" s="393" t="s">
        <v>3915</v>
      </c>
      <c r="C185" s="400">
        <v>45862</v>
      </c>
      <c r="D185" s="394"/>
      <c r="E185" s="394">
        <v>180</v>
      </c>
      <c r="F185" s="396">
        <f t="shared" si="3"/>
        <v>41842.859999999993</v>
      </c>
    </row>
    <row r="186" spans="1:6">
      <c r="A186" s="400">
        <v>45862</v>
      </c>
      <c r="B186" s="393" t="s">
        <v>3916</v>
      </c>
      <c r="C186" s="400">
        <v>45862</v>
      </c>
      <c r="D186" s="394"/>
      <c r="E186" s="394">
        <v>232</v>
      </c>
      <c r="F186" s="396">
        <f t="shared" si="3"/>
        <v>42074.859999999993</v>
      </c>
    </row>
    <row r="187" spans="1:6">
      <c r="A187" s="400">
        <v>45862</v>
      </c>
      <c r="B187" s="393" t="s">
        <v>3753</v>
      </c>
      <c r="C187" s="400">
        <v>45862</v>
      </c>
      <c r="D187" s="394">
        <v>0.3</v>
      </c>
      <c r="E187" s="394"/>
      <c r="F187" s="396">
        <f t="shared" si="3"/>
        <v>42074.55999999999</v>
      </c>
    </row>
    <row r="188" spans="1:6">
      <c r="A188" s="400">
        <v>45863</v>
      </c>
      <c r="B188" s="393" t="s">
        <v>3917</v>
      </c>
      <c r="C188" s="400">
        <v>45863</v>
      </c>
      <c r="D188" s="394"/>
      <c r="E188" s="394">
        <v>220</v>
      </c>
      <c r="F188" s="396">
        <f t="shared" si="3"/>
        <v>42294.55999999999</v>
      </c>
    </row>
    <row r="189" spans="1:6">
      <c r="A189" s="400">
        <v>45863</v>
      </c>
      <c r="B189" s="393" t="s">
        <v>3918</v>
      </c>
      <c r="C189" s="400">
        <v>45863</v>
      </c>
      <c r="D189" s="394"/>
      <c r="E189" s="394">
        <v>232</v>
      </c>
      <c r="F189" s="396">
        <f t="shared" si="3"/>
        <v>42526.55999999999</v>
      </c>
    </row>
    <row r="190" spans="1:6">
      <c r="A190" s="400">
        <v>45863</v>
      </c>
      <c r="B190" s="393" t="s">
        <v>3919</v>
      </c>
      <c r="C190" s="400">
        <v>45863</v>
      </c>
      <c r="D190" s="394"/>
      <c r="E190" s="394">
        <v>180</v>
      </c>
      <c r="F190" s="396">
        <f t="shared" si="3"/>
        <v>42706.55999999999</v>
      </c>
    </row>
    <row r="191" spans="1:6">
      <c r="A191" s="400">
        <v>45863</v>
      </c>
      <c r="B191" s="393" t="s">
        <v>3920</v>
      </c>
      <c r="C191" s="400">
        <v>45863</v>
      </c>
      <c r="D191" s="394"/>
      <c r="E191" s="394">
        <v>190</v>
      </c>
      <c r="F191" s="396">
        <f t="shared" si="3"/>
        <v>42896.55999999999</v>
      </c>
    </row>
    <row r="192" spans="1:6">
      <c r="A192" s="400">
        <v>45863</v>
      </c>
      <c r="B192" s="393" t="s">
        <v>3921</v>
      </c>
      <c r="C192" s="400">
        <v>45863</v>
      </c>
      <c r="D192" s="394"/>
      <c r="E192" s="394">
        <v>10</v>
      </c>
      <c r="F192" s="396">
        <f t="shared" si="3"/>
        <v>42906.55999999999</v>
      </c>
    </row>
    <row r="193" spans="1:6">
      <c r="A193" s="400">
        <v>45863</v>
      </c>
      <c r="B193" s="393" t="s">
        <v>3922</v>
      </c>
      <c r="C193" s="400">
        <v>45863</v>
      </c>
      <c r="D193" s="394"/>
      <c r="E193" s="394">
        <v>220</v>
      </c>
      <c r="F193" s="396">
        <f t="shared" si="3"/>
        <v>43126.55999999999</v>
      </c>
    </row>
    <row r="194" spans="1:6">
      <c r="A194" s="400">
        <v>45863</v>
      </c>
      <c r="B194" s="393" t="s">
        <v>3923</v>
      </c>
      <c r="C194" s="400">
        <v>45863</v>
      </c>
      <c r="D194" s="394"/>
      <c r="E194" s="394">
        <v>220</v>
      </c>
      <c r="F194" s="396">
        <f t="shared" si="3"/>
        <v>43346.55999999999</v>
      </c>
    </row>
    <row r="195" spans="1:6">
      <c r="A195" s="400">
        <v>45863</v>
      </c>
      <c r="B195" s="393" t="s">
        <v>3924</v>
      </c>
      <c r="C195" s="400">
        <v>45863</v>
      </c>
      <c r="D195" s="394"/>
      <c r="E195" s="394">
        <v>220</v>
      </c>
      <c r="F195" s="396">
        <f t="shared" si="3"/>
        <v>43566.55999999999</v>
      </c>
    </row>
    <row r="196" spans="1:6">
      <c r="A196" s="400">
        <v>45863</v>
      </c>
      <c r="B196" s="393" t="s">
        <v>3925</v>
      </c>
      <c r="C196" s="400">
        <v>45863</v>
      </c>
      <c r="D196" s="394"/>
      <c r="E196" s="394">
        <v>190</v>
      </c>
      <c r="F196" s="396">
        <f t="shared" si="3"/>
        <v>43756.55999999999</v>
      </c>
    </row>
    <row r="197" spans="1:6">
      <c r="A197" s="400">
        <v>45863</v>
      </c>
      <c r="B197" s="393" t="s">
        <v>3926</v>
      </c>
      <c r="C197" s="400">
        <v>45863</v>
      </c>
      <c r="D197" s="394"/>
      <c r="E197" s="394">
        <v>180</v>
      </c>
      <c r="F197" s="396">
        <f t="shared" si="3"/>
        <v>43936.55999999999</v>
      </c>
    </row>
    <row r="198" spans="1:6">
      <c r="A198" s="400">
        <v>45863</v>
      </c>
      <c r="B198" s="393" t="s">
        <v>3927</v>
      </c>
      <c r="C198" s="400">
        <v>45863</v>
      </c>
      <c r="D198" s="394"/>
      <c r="E198" s="394">
        <v>190</v>
      </c>
      <c r="F198" s="396">
        <f t="shared" si="3"/>
        <v>44126.55999999999</v>
      </c>
    </row>
    <row r="199" spans="1:6">
      <c r="A199" s="400">
        <v>45863</v>
      </c>
      <c r="B199" s="393" t="s">
        <v>3928</v>
      </c>
      <c r="C199" s="400">
        <v>45863</v>
      </c>
      <c r="D199" s="394"/>
      <c r="E199" s="394">
        <v>190</v>
      </c>
      <c r="F199" s="396">
        <f t="shared" si="3"/>
        <v>44316.55999999999</v>
      </c>
    </row>
    <row r="200" spans="1:6">
      <c r="A200" s="400">
        <v>45863</v>
      </c>
      <c r="B200" s="393" t="s">
        <v>3929</v>
      </c>
      <c r="C200" s="400">
        <v>45863</v>
      </c>
      <c r="D200" s="394"/>
      <c r="E200" s="394">
        <v>190</v>
      </c>
      <c r="F200" s="396">
        <f t="shared" si="3"/>
        <v>44506.55999999999</v>
      </c>
    </row>
    <row r="201" spans="1:6">
      <c r="A201" s="400">
        <v>45863</v>
      </c>
      <c r="B201" s="393" t="s">
        <v>3927</v>
      </c>
      <c r="C201" s="400">
        <v>45863</v>
      </c>
      <c r="D201" s="394"/>
      <c r="E201" s="394">
        <v>-190</v>
      </c>
      <c r="F201" s="396">
        <f t="shared" si="3"/>
        <v>44316.55999999999</v>
      </c>
    </row>
    <row r="202" spans="1:6">
      <c r="A202" s="400">
        <v>45863</v>
      </c>
      <c r="B202" s="393" t="s">
        <v>3930</v>
      </c>
      <c r="C202" s="400">
        <v>45863</v>
      </c>
      <c r="D202" s="394"/>
      <c r="E202" s="394">
        <v>190</v>
      </c>
      <c r="F202" s="396">
        <f t="shared" si="3"/>
        <v>44506.55999999999</v>
      </c>
    </row>
    <row r="203" spans="1:6">
      <c r="A203" s="400">
        <v>45863</v>
      </c>
      <c r="B203" s="393" t="s">
        <v>3931</v>
      </c>
      <c r="C203" s="400">
        <v>45863</v>
      </c>
      <c r="D203" s="394"/>
      <c r="E203" s="394">
        <v>220</v>
      </c>
      <c r="F203" s="396">
        <f t="shared" si="3"/>
        <v>44726.55999999999</v>
      </c>
    </row>
    <row r="204" spans="1:6">
      <c r="A204" s="400">
        <v>45863</v>
      </c>
      <c r="B204" s="393" t="s">
        <v>3932</v>
      </c>
      <c r="C204" s="400">
        <v>45863</v>
      </c>
      <c r="D204" s="394"/>
      <c r="E204" s="394">
        <v>220</v>
      </c>
      <c r="F204" s="396">
        <f t="shared" si="3"/>
        <v>44946.55999999999</v>
      </c>
    </row>
    <row r="205" spans="1:6">
      <c r="A205" s="400">
        <v>45863</v>
      </c>
      <c r="B205" s="393" t="s">
        <v>3933</v>
      </c>
      <c r="C205" s="400">
        <v>45863</v>
      </c>
      <c r="D205" s="394"/>
      <c r="E205" s="394">
        <v>190</v>
      </c>
      <c r="F205" s="396">
        <f t="shared" si="3"/>
        <v>45136.55999999999</v>
      </c>
    </row>
    <row r="206" spans="1:6">
      <c r="A206" s="400">
        <v>45863</v>
      </c>
      <c r="B206" s="393" t="s">
        <v>3933</v>
      </c>
      <c r="C206" s="400">
        <v>45863</v>
      </c>
      <c r="D206" s="394"/>
      <c r="E206" s="394">
        <v>-190</v>
      </c>
      <c r="F206" s="396">
        <f t="shared" ref="F206:F269" si="4">F205-D206+E206</f>
        <v>44946.55999999999</v>
      </c>
    </row>
    <row r="207" spans="1:6">
      <c r="A207" s="400">
        <v>45863</v>
      </c>
      <c r="B207" s="393" t="s">
        <v>3934</v>
      </c>
      <c r="C207" s="400">
        <v>45863</v>
      </c>
      <c r="D207" s="394"/>
      <c r="E207" s="394">
        <v>180</v>
      </c>
      <c r="F207" s="396">
        <f t="shared" si="4"/>
        <v>45126.55999999999</v>
      </c>
    </row>
    <row r="208" spans="1:6">
      <c r="A208" s="400">
        <v>45863</v>
      </c>
      <c r="B208" s="393" t="s">
        <v>3935</v>
      </c>
      <c r="C208" s="400">
        <v>45863</v>
      </c>
      <c r="D208" s="394"/>
      <c r="E208" s="394">
        <v>12</v>
      </c>
      <c r="F208" s="396">
        <f t="shared" si="4"/>
        <v>45138.55999999999</v>
      </c>
    </row>
    <row r="209" spans="1:6">
      <c r="A209" s="400">
        <v>45863</v>
      </c>
      <c r="B209" s="393" t="s">
        <v>3936</v>
      </c>
      <c r="C209" s="400">
        <v>45863</v>
      </c>
      <c r="D209" s="394"/>
      <c r="E209" s="394">
        <v>220</v>
      </c>
      <c r="F209" s="396">
        <f t="shared" si="4"/>
        <v>45358.55999999999</v>
      </c>
    </row>
    <row r="210" spans="1:6">
      <c r="A210" s="400">
        <v>45863</v>
      </c>
      <c r="B210" s="393" t="s">
        <v>3937</v>
      </c>
      <c r="C210" s="400">
        <v>45863</v>
      </c>
      <c r="D210" s="394"/>
      <c r="E210" s="394">
        <v>190</v>
      </c>
      <c r="F210" s="396">
        <f t="shared" si="4"/>
        <v>45548.55999999999</v>
      </c>
    </row>
    <row r="211" spans="1:6">
      <c r="A211" s="400">
        <v>45863</v>
      </c>
      <c r="B211" s="393" t="s">
        <v>3938</v>
      </c>
      <c r="C211" s="400">
        <v>45863</v>
      </c>
      <c r="D211" s="394"/>
      <c r="E211" s="394">
        <v>135</v>
      </c>
      <c r="F211" s="396">
        <f t="shared" si="4"/>
        <v>45683.55999999999</v>
      </c>
    </row>
    <row r="212" spans="1:6">
      <c r="A212" s="400">
        <v>45863</v>
      </c>
      <c r="B212" s="393" t="s">
        <v>3939</v>
      </c>
      <c r="C212" s="400">
        <v>45863</v>
      </c>
      <c r="D212" s="394"/>
      <c r="E212" s="394">
        <v>190</v>
      </c>
      <c r="F212" s="396">
        <f t="shared" si="4"/>
        <v>45873.55999999999</v>
      </c>
    </row>
    <row r="213" spans="1:6">
      <c r="A213" s="400">
        <v>45863</v>
      </c>
      <c r="B213" s="393" t="s">
        <v>3940</v>
      </c>
      <c r="C213" s="400">
        <v>45863</v>
      </c>
      <c r="D213" s="394"/>
      <c r="E213" s="394">
        <v>190</v>
      </c>
      <c r="F213" s="396">
        <f t="shared" si="4"/>
        <v>46063.55999999999</v>
      </c>
    </row>
    <row r="214" spans="1:6">
      <c r="A214" s="400">
        <v>45863</v>
      </c>
      <c r="B214" s="393" t="s">
        <v>3941</v>
      </c>
      <c r="C214" s="400">
        <v>45863</v>
      </c>
      <c r="D214" s="394"/>
      <c r="E214" s="394">
        <v>180</v>
      </c>
      <c r="F214" s="396">
        <f t="shared" si="4"/>
        <v>46243.55999999999</v>
      </c>
    </row>
    <row r="215" spans="1:6">
      <c r="A215" s="400">
        <v>45863</v>
      </c>
      <c r="B215" s="393" t="s">
        <v>3753</v>
      </c>
      <c r="C215" s="400">
        <v>45863</v>
      </c>
      <c r="D215" s="394">
        <v>0.69</v>
      </c>
      <c r="E215" s="394"/>
      <c r="F215" s="396">
        <f t="shared" si="4"/>
        <v>46242.869999999988</v>
      </c>
    </row>
    <row r="216" spans="1:6">
      <c r="A216" s="400">
        <v>45866</v>
      </c>
      <c r="B216" s="393" t="s">
        <v>3942</v>
      </c>
      <c r="C216" s="400">
        <v>45866</v>
      </c>
      <c r="D216" s="394"/>
      <c r="E216" s="394">
        <v>232</v>
      </c>
      <c r="F216" s="396">
        <f t="shared" si="4"/>
        <v>46474.869999999988</v>
      </c>
    </row>
    <row r="217" spans="1:6">
      <c r="A217" s="400">
        <v>45866</v>
      </c>
      <c r="B217" s="393" t="s">
        <v>3943</v>
      </c>
      <c r="C217" s="400">
        <v>45866</v>
      </c>
      <c r="D217" s="394"/>
      <c r="E217" s="394">
        <v>220</v>
      </c>
      <c r="F217" s="396">
        <f t="shared" si="4"/>
        <v>46694.869999999988</v>
      </c>
    </row>
    <row r="218" spans="1:6">
      <c r="A218" s="400">
        <v>45866</v>
      </c>
      <c r="B218" s="393" t="s">
        <v>3944</v>
      </c>
      <c r="C218" s="400">
        <v>45866</v>
      </c>
      <c r="D218" s="394"/>
      <c r="E218" s="394">
        <v>180</v>
      </c>
      <c r="F218" s="396">
        <f t="shared" si="4"/>
        <v>46874.869999999988</v>
      </c>
    </row>
    <row r="219" spans="1:6">
      <c r="A219" s="400">
        <v>45866</v>
      </c>
      <c r="B219" s="393" t="s">
        <v>3945</v>
      </c>
      <c r="C219" s="400">
        <v>45866</v>
      </c>
      <c r="D219" s="394"/>
      <c r="E219" s="394">
        <v>180</v>
      </c>
      <c r="F219" s="396">
        <f t="shared" si="4"/>
        <v>47054.869999999988</v>
      </c>
    </row>
    <row r="220" spans="1:6">
      <c r="A220" s="400">
        <v>45866</v>
      </c>
      <c r="B220" s="393" t="s">
        <v>3946</v>
      </c>
      <c r="C220" s="400">
        <v>45866</v>
      </c>
      <c r="D220" s="394"/>
      <c r="E220" s="394">
        <v>190</v>
      </c>
      <c r="F220" s="396">
        <f t="shared" si="4"/>
        <v>47244.869999999988</v>
      </c>
    </row>
    <row r="221" spans="1:6">
      <c r="A221" s="400">
        <v>45866</v>
      </c>
      <c r="B221" s="393" t="s">
        <v>3947</v>
      </c>
      <c r="C221" s="400">
        <v>45866</v>
      </c>
      <c r="D221" s="394"/>
      <c r="E221" s="394">
        <v>232</v>
      </c>
      <c r="F221" s="396">
        <f t="shared" si="4"/>
        <v>47476.869999999988</v>
      </c>
    </row>
    <row r="222" spans="1:6">
      <c r="A222" s="400">
        <v>45866</v>
      </c>
      <c r="B222" s="393" t="s">
        <v>3948</v>
      </c>
      <c r="C222" s="400">
        <v>45866</v>
      </c>
      <c r="D222" s="394"/>
      <c r="E222" s="394">
        <v>232</v>
      </c>
      <c r="F222" s="396">
        <f t="shared" si="4"/>
        <v>47708.869999999988</v>
      </c>
    </row>
    <row r="223" spans="1:6">
      <c r="A223" s="400">
        <v>45866</v>
      </c>
      <c r="B223" s="393" t="s">
        <v>3949</v>
      </c>
      <c r="C223" s="400">
        <v>45866</v>
      </c>
      <c r="D223" s="394"/>
      <c r="E223" s="394">
        <v>220</v>
      </c>
      <c r="F223" s="396">
        <f t="shared" si="4"/>
        <v>47928.869999999988</v>
      </c>
    </row>
    <row r="224" spans="1:6">
      <c r="A224" s="400">
        <v>45866</v>
      </c>
      <c r="B224" s="393" t="s">
        <v>3950</v>
      </c>
      <c r="C224" s="400">
        <v>45866</v>
      </c>
      <c r="D224" s="394"/>
      <c r="E224" s="394">
        <v>220</v>
      </c>
      <c r="F224" s="396">
        <f t="shared" si="4"/>
        <v>48148.869999999988</v>
      </c>
    </row>
    <row r="225" spans="1:6">
      <c r="A225" s="400">
        <v>45866</v>
      </c>
      <c r="B225" s="393" t="s">
        <v>3951</v>
      </c>
      <c r="C225" s="400">
        <v>45866</v>
      </c>
      <c r="D225" s="394"/>
      <c r="E225" s="394">
        <v>190</v>
      </c>
      <c r="F225" s="396">
        <f t="shared" si="4"/>
        <v>48338.869999999988</v>
      </c>
    </row>
    <row r="226" spans="1:6">
      <c r="A226" s="400">
        <v>45866</v>
      </c>
      <c r="B226" s="393" t="s">
        <v>3952</v>
      </c>
      <c r="C226" s="400">
        <v>45866</v>
      </c>
      <c r="D226" s="394"/>
      <c r="E226" s="394">
        <v>10</v>
      </c>
      <c r="F226" s="396">
        <f t="shared" si="4"/>
        <v>48348.869999999988</v>
      </c>
    </row>
    <row r="227" spans="1:6">
      <c r="A227" s="400">
        <v>45866</v>
      </c>
      <c r="B227" s="393" t="s">
        <v>3953</v>
      </c>
      <c r="C227" s="400">
        <v>45866</v>
      </c>
      <c r="D227" s="394"/>
      <c r="E227" s="394">
        <v>190</v>
      </c>
      <c r="F227" s="396">
        <f t="shared" si="4"/>
        <v>48538.869999999988</v>
      </c>
    </row>
    <row r="228" spans="1:6">
      <c r="A228" s="400">
        <v>45866</v>
      </c>
      <c r="B228" s="393" t="s">
        <v>3954</v>
      </c>
      <c r="C228" s="400">
        <v>45866</v>
      </c>
      <c r="D228" s="394"/>
      <c r="E228" s="394">
        <v>232</v>
      </c>
      <c r="F228" s="396">
        <f t="shared" si="4"/>
        <v>48770.869999999988</v>
      </c>
    </row>
    <row r="229" spans="1:6">
      <c r="A229" s="400">
        <v>45866</v>
      </c>
      <c r="B229" s="393" t="s">
        <v>3955</v>
      </c>
      <c r="C229" s="400">
        <v>45866</v>
      </c>
      <c r="D229" s="394"/>
      <c r="E229" s="394">
        <v>180</v>
      </c>
      <c r="F229" s="396">
        <f t="shared" si="4"/>
        <v>48950.869999999988</v>
      </c>
    </row>
    <row r="230" spans="1:6">
      <c r="A230" s="400">
        <v>45866</v>
      </c>
      <c r="B230" s="393" t="s">
        <v>3956</v>
      </c>
      <c r="C230" s="400">
        <v>45866</v>
      </c>
      <c r="D230" s="394"/>
      <c r="E230" s="394">
        <v>220</v>
      </c>
      <c r="F230" s="396">
        <f t="shared" si="4"/>
        <v>49170.869999999988</v>
      </c>
    </row>
    <row r="231" spans="1:6">
      <c r="A231" s="400">
        <v>45866</v>
      </c>
      <c r="B231" s="393" t="s">
        <v>3957</v>
      </c>
      <c r="C231" s="400">
        <v>45866</v>
      </c>
      <c r="D231" s="394"/>
      <c r="E231" s="394">
        <v>220</v>
      </c>
      <c r="F231" s="396">
        <f t="shared" si="4"/>
        <v>49390.869999999988</v>
      </c>
    </row>
    <row r="232" spans="1:6">
      <c r="A232" s="400">
        <v>45866</v>
      </c>
      <c r="B232" s="393" t="s">
        <v>3958</v>
      </c>
      <c r="C232" s="400">
        <v>45866</v>
      </c>
      <c r="D232" s="394"/>
      <c r="E232" s="394">
        <v>180</v>
      </c>
      <c r="F232" s="396">
        <f t="shared" si="4"/>
        <v>49570.869999999988</v>
      </c>
    </row>
    <row r="233" spans="1:6">
      <c r="A233" s="400">
        <v>45866</v>
      </c>
      <c r="B233" s="393" t="s">
        <v>3959</v>
      </c>
      <c r="C233" s="400">
        <v>45866</v>
      </c>
      <c r="D233" s="394"/>
      <c r="E233" s="394">
        <v>190</v>
      </c>
      <c r="F233" s="396">
        <f t="shared" si="4"/>
        <v>49760.869999999988</v>
      </c>
    </row>
    <row r="234" spans="1:6">
      <c r="A234" s="400">
        <v>45866</v>
      </c>
      <c r="B234" s="393" t="s">
        <v>3960</v>
      </c>
      <c r="C234" s="400">
        <v>45866</v>
      </c>
      <c r="D234" s="394"/>
      <c r="E234" s="394">
        <v>180</v>
      </c>
      <c r="F234" s="396">
        <f t="shared" si="4"/>
        <v>49940.869999999988</v>
      </c>
    </row>
    <row r="235" spans="1:6">
      <c r="A235" s="400">
        <v>45866</v>
      </c>
      <c r="B235" s="393" t="s">
        <v>3961</v>
      </c>
      <c r="C235" s="400">
        <v>45866</v>
      </c>
      <c r="D235" s="394"/>
      <c r="E235" s="394">
        <v>232</v>
      </c>
      <c r="F235" s="396">
        <f t="shared" si="4"/>
        <v>50172.869999999988</v>
      </c>
    </row>
    <row r="236" spans="1:6">
      <c r="A236" s="400">
        <v>45866</v>
      </c>
      <c r="B236" s="393" t="s">
        <v>3962</v>
      </c>
      <c r="C236" s="400">
        <v>45866</v>
      </c>
      <c r="D236" s="394"/>
      <c r="E236" s="394">
        <v>190</v>
      </c>
      <c r="F236" s="396">
        <f t="shared" si="4"/>
        <v>50362.869999999988</v>
      </c>
    </row>
    <row r="237" spans="1:6">
      <c r="A237" s="400">
        <v>45866</v>
      </c>
      <c r="B237" s="393" t="s">
        <v>3963</v>
      </c>
      <c r="C237" s="400">
        <v>45866</v>
      </c>
      <c r="D237" s="394"/>
      <c r="E237" s="394">
        <v>180</v>
      </c>
      <c r="F237" s="396">
        <f t="shared" si="4"/>
        <v>50542.869999999988</v>
      </c>
    </row>
    <row r="238" spans="1:6">
      <c r="A238" s="400">
        <v>45866</v>
      </c>
      <c r="B238" s="393" t="s">
        <v>3964</v>
      </c>
      <c r="C238" s="400">
        <v>45866</v>
      </c>
      <c r="D238" s="394"/>
      <c r="E238" s="394">
        <v>190</v>
      </c>
      <c r="F238" s="396">
        <f t="shared" si="4"/>
        <v>50732.869999999988</v>
      </c>
    </row>
    <row r="239" spans="1:6">
      <c r="A239" s="400">
        <v>45866</v>
      </c>
      <c r="B239" s="393" t="s">
        <v>3965</v>
      </c>
      <c r="C239" s="400">
        <v>45866</v>
      </c>
      <c r="D239" s="394"/>
      <c r="E239" s="394">
        <v>220</v>
      </c>
      <c r="F239" s="396">
        <f t="shared" si="4"/>
        <v>50952.869999999988</v>
      </c>
    </row>
    <row r="240" spans="1:6">
      <c r="A240" s="400">
        <v>45866</v>
      </c>
      <c r="B240" s="393" t="s">
        <v>3966</v>
      </c>
      <c r="C240" s="400">
        <v>45866</v>
      </c>
      <c r="D240" s="394"/>
      <c r="E240" s="394">
        <v>235</v>
      </c>
      <c r="F240" s="396">
        <f t="shared" si="4"/>
        <v>51187.869999999988</v>
      </c>
    </row>
    <row r="241" spans="1:6">
      <c r="A241" s="400">
        <v>45866</v>
      </c>
      <c r="B241" s="393" t="s">
        <v>3967</v>
      </c>
      <c r="C241" s="400">
        <v>45866</v>
      </c>
      <c r="D241" s="394"/>
      <c r="E241" s="394">
        <v>232</v>
      </c>
      <c r="F241" s="396">
        <f t="shared" si="4"/>
        <v>51419.869999999988</v>
      </c>
    </row>
    <row r="242" spans="1:6">
      <c r="A242" s="400">
        <v>45866</v>
      </c>
      <c r="B242" s="393" t="s">
        <v>3968</v>
      </c>
      <c r="C242" s="400">
        <v>45866</v>
      </c>
      <c r="D242" s="394"/>
      <c r="E242" s="394">
        <v>180</v>
      </c>
      <c r="F242" s="396">
        <f t="shared" si="4"/>
        <v>51599.869999999988</v>
      </c>
    </row>
    <row r="243" spans="1:6">
      <c r="A243" s="400">
        <v>45866</v>
      </c>
      <c r="B243" s="393" t="s">
        <v>3969</v>
      </c>
      <c r="C243" s="400">
        <v>45866</v>
      </c>
      <c r="D243" s="394"/>
      <c r="E243" s="394">
        <v>232</v>
      </c>
      <c r="F243" s="396">
        <f t="shared" si="4"/>
        <v>51831.869999999988</v>
      </c>
    </row>
    <row r="244" spans="1:6">
      <c r="A244" s="400">
        <v>45866</v>
      </c>
      <c r="B244" s="393" t="s">
        <v>3970</v>
      </c>
      <c r="C244" s="400">
        <v>45866</v>
      </c>
      <c r="D244" s="394"/>
      <c r="E244" s="394">
        <v>220</v>
      </c>
      <c r="F244" s="396">
        <f t="shared" si="4"/>
        <v>52051.869999999988</v>
      </c>
    </row>
    <row r="245" spans="1:6">
      <c r="A245" s="400">
        <v>45866</v>
      </c>
      <c r="B245" s="393" t="s">
        <v>3971</v>
      </c>
      <c r="C245" s="400">
        <v>45866</v>
      </c>
      <c r="D245" s="394"/>
      <c r="E245" s="394">
        <v>190</v>
      </c>
      <c r="F245" s="396">
        <f t="shared" si="4"/>
        <v>52241.869999999988</v>
      </c>
    </row>
    <row r="246" spans="1:6">
      <c r="A246" s="400">
        <v>45866</v>
      </c>
      <c r="B246" s="393" t="s">
        <v>3972</v>
      </c>
      <c r="C246" s="400">
        <v>45866</v>
      </c>
      <c r="D246" s="394"/>
      <c r="E246" s="394">
        <v>232</v>
      </c>
      <c r="F246" s="396">
        <f t="shared" si="4"/>
        <v>52473.869999999988</v>
      </c>
    </row>
    <row r="247" spans="1:6">
      <c r="A247" s="400">
        <v>45866</v>
      </c>
      <c r="B247" s="393" t="s">
        <v>3973</v>
      </c>
      <c r="C247" s="400">
        <v>45866</v>
      </c>
      <c r="D247" s="394"/>
      <c r="E247" s="394">
        <v>220</v>
      </c>
      <c r="F247" s="396">
        <f t="shared" si="4"/>
        <v>52693.869999999988</v>
      </c>
    </row>
    <row r="248" spans="1:6">
      <c r="A248" s="400">
        <v>45866</v>
      </c>
      <c r="B248" s="393" t="s">
        <v>3974</v>
      </c>
      <c r="C248" s="400">
        <v>45866</v>
      </c>
      <c r="D248" s="394"/>
      <c r="E248" s="394">
        <v>180</v>
      </c>
      <c r="F248" s="396">
        <f t="shared" si="4"/>
        <v>52873.869999999988</v>
      </c>
    </row>
    <row r="249" spans="1:6">
      <c r="A249" s="400">
        <v>45866</v>
      </c>
      <c r="B249" s="393" t="s">
        <v>3975</v>
      </c>
      <c r="C249" s="400">
        <v>45866</v>
      </c>
      <c r="D249" s="394"/>
      <c r="E249" s="394">
        <v>180</v>
      </c>
      <c r="F249" s="396">
        <f t="shared" si="4"/>
        <v>53053.869999999988</v>
      </c>
    </row>
    <row r="250" spans="1:6">
      <c r="A250" s="400">
        <v>45866</v>
      </c>
      <c r="B250" s="393" t="s">
        <v>3976</v>
      </c>
      <c r="C250" s="400">
        <v>45866</v>
      </c>
      <c r="D250" s="394"/>
      <c r="E250" s="394">
        <v>180</v>
      </c>
      <c r="F250" s="396">
        <f t="shared" si="4"/>
        <v>53233.869999999988</v>
      </c>
    </row>
    <row r="251" spans="1:6">
      <c r="A251" s="400">
        <v>45866</v>
      </c>
      <c r="B251" s="393" t="s">
        <v>3977</v>
      </c>
      <c r="C251" s="400">
        <v>45866</v>
      </c>
      <c r="D251" s="394"/>
      <c r="E251" s="394">
        <v>180</v>
      </c>
      <c r="F251" s="396">
        <f t="shared" si="4"/>
        <v>53413.869999999988</v>
      </c>
    </row>
    <row r="252" spans="1:6">
      <c r="A252" s="400">
        <v>45866</v>
      </c>
      <c r="B252" s="393" t="s">
        <v>3978</v>
      </c>
      <c r="C252" s="400">
        <v>45866</v>
      </c>
      <c r="D252" s="394"/>
      <c r="E252" s="394">
        <v>190</v>
      </c>
      <c r="F252" s="396">
        <f t="shared" si="4"/>
        <v>53603.869999999988</v>
      </c>
    </row>
    <row r="253" spans="1:6">
      <c r="A253" s="400">
        <v>45866</v>
      </c>
      <c r="B253" s="393" t="s">
        <v>3753</v>
      </c>
      <c r="C253" s="400">
        <v>45866</v>
      </c>
      <c r="D253" s="394">
        <v>1.1100000000000001</v>
      </c>
      <c r="E253" s="394"/>
      <c r="F253" s="396">
        <f t="shared" si="4"/>
        <v>53602.759999999987</v>
      </c>
    </row>
    <row r="254" spans="1:6">
      <c r="A254" s="400">
        <v>45867</v>
      </c>
      <c r="B254" s="393" t="s">
        <v>3979</v>
      </c>
      <c r="C254" s="400">
        <v>45867</v>
      </c>
      <c r="D254" s="394"/>
      <c r="E254" s="394">
        <v>220</v>
      </c>
      <c r="F254" s="396">
        <f t="shared" si="4"/>
        <v>53822.759999999987</v>
      </c>
    </row>
    <row r="255" spans="1:6">
      <c r="A255" s="400">
        <v>45867</v>
      </c>
      <c r="B255" s="393" t="s">
        <v>3980</v>
      </c>
      <c r="C255" s="400">
        <v>45867</v>
      </c>
      <c r="D255" s="394"/>
      <c r="E255" s="394">
        <v>190</v>
      </c>
      <c r="F255" s="396">
        <f t="shared" si="4"/>
        <v>54012.759999999987</v>
      </c>
    </row>
    <row r="256" spans="1:6">
      <c r="A256" s="400">
        <v>45867</v>
      </c>
      <c r="B256" s="393" t="s">
        <v>3981</v>
      </c>
      <c r="C256" s="400">
        <v>45867</v>
      </c>
      <c r="D256" s="394"/>
      <c r="E256" s="394">
        <v>180</v>
      </c>
      <c r="F256" s="396">
        <f t="shared" si="4"/>
        <v>54192.759999999987</v>
      </c>
    </row>
    <row r="257" spans="1:6">
      <c r="A257" s="400">
        <v>45867</v>
      </c>
      <c r="B257" s="393" t="s">
        <v>3982</v>
      </c>
      <c r="C257" s="400">
        <v>45867</v>
      </c>
      <c r="D257" s="394"/>
      <c r="E257" s="394">
        <v>180</v>
      </c>
      <c r="F257" s="396">
        <f t="shared" si="4"/>
        <v>54372.759999999987</v>
      </c>
    </row>
    <row r="258" spans="1:6">
      <c r="A258" s="400">
        <v>45867</v>
      </c>
      <c r="B258" s="393" t="s">
        <v>3983</v>
      </c>
      <c r="C258" s="400">
        <v>45867</v>
      </c>
      <c r="D258" s="394"/>
      <c r="E258" s="394">
        <v>220</v>
      </c>
      <c r="F258" s="396">
        <f t="shared" si="4"/>
        <v>54592.759999999987</v>
      </c>
    </row>
    <row r="259" spans="1:6">
      <c r="A259" s="400">
        <v>45867</v>
      </c>
      <c r="B259" s="393" t="s">
        <v>3984</v>
      </c>
      <c r="C259" s="400">
        <v>45867</v>
      </c>
      <c r="D259" s="394"/>
      <c r="E259" s="394">
        <v>220</v>
      </c>
      <c r="F259" s="396">
        <f t="shared" si="4"/>
        <v>54812.759999999987</v>
      </c>
    </row>
    <row r="260" spans="1:6">
      <c r="A260" s="400">
        <v>45867</v>
      </c>
      <c r="B260" s="393" t="s">
        <v>3985</v>
      </c>
      <c r="C260" s="400">
        <v>45867</v>
      </c>
      <c r="D260" s="394"/>
      <c r="E260" s="394">
        <v>180</v>
      </c>
      <c r="F260" s="396">
        <f t="shared" si="4"/>
        <v>54992.759999999987</v>
      </c>
    </row>
    <row r="261" spans="1:6">
      <c r="A261" s="400">
        <v>45867</v>
      </c>
      <c r="B261" s="393" t="s">
        <v>3986</v>
      </c>
      <c r="C261" s="400">
        <v>45867</v>
      </c>
      <c r="D261" s="394"/>
      <c r="E261" s="394">
        <v>125</v>
      </c>
      <c r="F261" s="396">
        <f t="shared" si="4"/>
        <v>55117.759999999987</v>
      </c>
    </row>
    <row r="262" spans="1:6">
      <c r="A262" s="400">
        <v>45867</v>
      </c>
      <c r="B262" s="393" t="s">
        <v>3987</v>
      </c>
      <c r="C262" s="400">
        <v>45867</v>
      </c>
      <c r="D262" s="394"/>
      <c r="E262" s="394">
        <v>232</v>
      </c>
      <c r="F262" s="396">
        <f t="shared" si="4"/>
        <v>55349.759999999987</v>
      </c>
    </row>
    <row r="263" spans="1:6">
      <c r="A263" s="400">
        <v>45867</v>
      </c>
      <c r="B263" s="393" t="s">
        <v>3988</v>
      </c>
      <c r="C263" s="400">
        <v>45867</v>
      </c>
      <c r="D263" s="394"/>
      <c r="E263" s="394">
        <v>220</v>
      </c>
      <c r="F263" s="396">
        <f t="shared" si="4"/>
        <v>55569.759999999987</v>
      </c>
    </row>
    <row r="264" spans="1:6">
      <c r="A264" s="400">
        <v>45867</v>
      </c>
      <c r="B264" s="393" t="s">
        <v>3989</v>
      </c>
      <c r="C264" s="400">
        <v>45867</v>
      </c>
      <c r="D264" s="394"/>
      <c r="E264" s="394">
        <v>180</v>
      </c>
      <c r="F264" s="396">
        <f t="shared" si="4"/>
        <v>55749.759999999987</v>
      </c>
    </row>
    <row r="265" spans="1:6">
      <c r="A265" s="400">
        <v>45867</v>
      </c>
      <c r="B265" s="393" t="s">
        <v>3990</v>
      </c>
      <c r="C265" s="400">
        <v>45867</v>
      </c>
      <c r="D265" s="394"/>
      <c r="E265" s="394">
        <v>180</v>
      </c>
      <c r="F265" s="396">
        <f t="shared" si="4"/>
        <v>55929.759999999987</v>
      </c>
    </row>
    <row r="266" spans="1:6">
      <c r="A266" s="400">
        <v>45867</v>
      </c>
      <c r="B266" s="393" t="s">
        <v>3991</v>
      </c>
      <c r="C266" s="400">
        <v>45867</v>
      </c>
      <c r="D266" s="394"/>
      <c r="E266" s="394">
        <v>220</v>
      </c>
      <c r="F266" s="396">
        <f t="shared" si="4"/>
        <v>56149.759999999987</v>
      </c>
    </row>
    <row r="267" spans="1:6">
      <c r="A267" s="400">
        <v>45867</v>
      </c>
      <c r="B267" s="393" t="s">
        <v>3992</v>
      </c>
      <c r="C267" s="400">
        <v>45867</v>
      </c>
      <c r="D267" s="394"/>
      <c r="E267" s="394">
        <v>190</v>
      </c>
      <c r="F267" s="396">
        <f t="shared" si="4"/>
        <v>56339.759999999987</v>
      </c>
    </row>
    <row r="268" spans="1:6">
      <c r="A268" s="400">
        <v>45867</v>
      </c>
      <c r="B268" s="393" t="s">
        <v>3993</v>
      </c>
      <c r="C268" s="400">
        <v>45867</v>
      </c>
      <c r="D268" s="394"/>
      <c r="E268" s="394">
        <v>220</v>
      </c>
      <c r="F268" s="396">
        <f t="shared" si="4"/>
        <v>56559.759999999987</v>
      </c>
    </row>
    <row r="269" spans="1:6" ht="60">
      <c r="A269" s="400">
        <v>45867</v>
      </c>
      <c r="B269" s="519" t="s">
        <v>3994</v>
      </c>
      <c r="C269" s="400">
        <v>45867</v>
      </c>
      <c r="D269" s="394"/>
      <c r="E269" s="394">
        <v>190</v>
      </c>
      <c r="F269" s="396">
        <f t="shared" si="4"/>
        <v>56749.759999999987</v>
      </c>
    </row>
    <row r="270" spans="1:6">
      <c r="A270" s="400">
        <v>45867</v>
      </c>
      <c r="B270" s="393" t="s">
        <v>3995</v>
      </c>
      <c r="C270" s="400">
        <v>45867</v>
      </c>
      <c r="D270" s="394"/>
      <c r="E270" s="394">
        <v>232</v>
      </c>
      <c r="F270" s="396">
        <f t="shared" ref="F270:F333" si="5">F269-D270+E270</f>
        <v>56981.759999999987</v>
      </c>
    </row>
    <row r="271" spans="1:6">
      <c r="A271" s="400">
        <v>45867</v>
      </c>
      <c r="B271" s="393" t="s">
        <v>3996</v>
      </c>
      <c r="C271" s="400">
        <v>45867</v>
      </c>
      <c r="D271" s="394"/>
      <c r="E271" s="394">
        <v>232</v>
      </c>
      <c r="F271" s="396">
        <f t="shared" si="5"/>
        <v>57213.759999999987</v>
      </c>
    </row>
    <row r="272" spans="1:6">
      <c r="A272" s="400">
        <v>45867</v>
      </c>
      <c r="B272" s="393" t="s">
        <v>3997</v>
      </c>
      <c r="C272" s="400">
        <v>45867</v>
      </c>
      <c r="D272" s="394"/>
      <c r="E272" s="394">
        <v>232</v>
      </c>
      <c r="F272" s="396">
        <f t="shared" si="5"/>
        <v>57445.759999999987</v>
      </c>
    </row>
    <row r="273" spans="1:6">
      <c r="A273" s="400">
        <v>45867</v>
      </c>
      <c r="B273" s="393" t="s">
        <v>3998</v>
      </c>
      <c r="C273" s="400">
        <v>45867</v>
      </c>
      <c r="D273" s="394"/>
      <c r="E273" s="394">
        <v>10</v>
      </c>
      <c r="F273" s="396">
        <f t="shared" si="5"/>
        <v>57455.759999999987</v>
      </c>
    </row>
    <row r="274" spans="1:6">
      <c r="A274" s="400">
        <v>45867</v>
      </c>
      <c r="B274" s="393" t="s">
        <v>3999</v>
      </c>
      <c r="C274" s="400">
        <v>45867</v>
      </c>
      <c r="D274" s="394"/>
      <c r="E274" s="394">
        <v>180</v>
      </c>
      <c r="F274" s="396">
        <f t="shared" si="5"/>
        <v>57635.759999999987</v>
      </c>
    </row>
    <row r="275" spans="1:6">
      <c r="A275" s="400">
        <v>45867</v>
      </c>
      <c r="B275" s="393" t="s">
        <v>4000</v>
      </c>
      <c r="C275" s="400">
        <v>45867</v>
      </c>
      <c r="D275" s="394"/>
      <c r="E275" s="394">
        <v>232</v>
      </c>
      <c r="F275" s="396">
        <f t="shared" si="5"/>
        <v>57867.759999999987</v>
      </c>
    </row>
    <row r="276" spans="1:6">
      <c r="A276" s="400">
        <v>45867</v>
      </c>
      <c r="B276" s="393" t="s">
        <v>4001</v>
      </c>
      <c r="C276" s="400">
        <v>45867</v>
      </c>
      <c r="D276" s="394"/>
      <c r="E276" s="394">
        <v>12</v>
      </c>
      <c r="F276" s="396">
        <f t="shared" si="5"/>
        <v>57879.759999999987</v>
      </c>
    </row>
    <row r="277" spans="1:6">
      <c r="A277" s="400">
        <v>45867</v>
      </c>
      <c r="B277" s="393" t="s">
        <v>4001</v>
      </c>
      <c r="C277" s="400">
        <v>45867</v>
      </c>
      <c r="D277" s="394"/>
      <c r="E277" s="394">
        <v>-12</v>
      </c>
      <c r="F277" s="396">
        <f t="shared" si="5"/>
        <v>57867.759999999987</v>
      </c>
    </row>
    <row r="278" spans="1:6">
      <c r="A278" s="400">
        <v>45867</v>
      </c>
      <c r="B278" s="393" t="s">
        <v>4002</v>
      </c>
      <c r="C278" s="400">
        <v>45867</v>
      </c>
      <c r="D278" s="394"/>
      <c r="E278" s="394">
        <v>12</v>
      </c>
      <c r="F278" s="396">
        <f t="shared" si="5"/>
        <v>57879.759999999987</v>
      </c>
    </row>
    <row r="279" spans="1:6">
      <c r="A279" s="400">
        <v>45867</v>
      </c>
      <c r="B279" s="393" t="s">
        <v>4003</v>
      </c>
      <c r="C279" s="400">
        <v>45867</v>
      </c>
      <c r="D279" s="394"/>
      <c r="E279" s="394">
        <v>190</v>
      </c>
      <c r="F279" s="396">
        <f t="shared" si="5"/>
        <v>58069.759999999987</v>
      </c>
    </row>
    <row r="280" spans="1:6">
      <c r="A280" s="400">
        <v>45867</v>
      </c>
      <c r="B280" s="393" t="s">
        <v>4004</v>
      </c>
      <c r="C280" s="400">
        <v>45867</v>
      </c>
      <c r="D280" s="394"/>
      <c r="E280" s="394">
        <v>232</v>
      </c>
      <c r="F280" s="396">
        <f t="shared" si="5"/>
        <v>58301.759999999987</v>
      </c>
    </row>
    <row r="281" spans="1:6">
      <c r="A281" s="400">
        <v>45867</v>
      </c>
      <c r="B281" s="393" t="s">
        <v>4005</v>
      </c>
      <c r="C281" s="400">
        <v>45867</v>
      </c>
      <c r="D281" s="394"/>
      <c r="E281" s="394">
        <v>180</v>
      </c>
      <c r="F281" s="396">
        <f t="shared" si="5"/>
        <v>58481.759999999987</v>
      </c>
    </row>
    <row r="282" spans="1:6">
      <c r="A282" s="400">
        <v>45867</v>
      </c>
      <c r="B282" s="393" t="s">
        <v>4006</v>
      </c>
      <c r="C282" s="400">
        <v>45867</v>
      </c>
      <c r="D282" s="394"/>
      <c r="E282" s="394">
        <v>190</v>
      </c>
      <c r="F282" s="396">
        <f t="shared" si="5"/>
        <v>58671.759999999987</v>
      </c>
    </row>
    <row r="283" spans="1:6">
      <c r="A283" s="400">
        <v>45867</v>
      </c>
      <c r="B283" s="393" t="s">
        <v>4007</v>
      </c>
      <c r="C283" s="400">
        <v>45867</v>
      </c>
      <c r="D283" s="394"/>
      <c r="E283" s="394">
        <v>220</v>
      </c>
      <c r="F283" s="396">
        <f t="shared" si="5"/>
        <v>58891.759999999987</v>
      </c>
    </row>
    <row r="284" spans="1:6">
      <c r="A284" s="400">
        <v>45867</v>
      </c>
      <c r="B284" s="393" t="s">
        <v>4008</v>
      </c>
      <c r="C284" s="400">
        <v>45867</v>
      </c>
      <c r="D284" s="394"/>
      <c r="E284" s="394">
        <v>220</v>
      </c>
      <c r="F284" s="396">
        <f t="shared" si="5"/>
        <v>59111.759999999987</v>
      </c>
    </row>
    <row r="285" spans="1:6">
      <c r="A285" s="400">
        <v>45867</v>
      </c>
      <c r="B285" s="393" t="s">
        <v>4009</v>
      </c>
      <c r="C285" s="400">
        <v>45867</v>
      </c>
      <c r="D285" s="394"/>
      <c r="E285" s="394">
        <v>12</v>
      </c>
      <c r="F285" s="396">
        <f t="shared" si="5"/>
        <v>59123.759999999987</v>
      </c>
    </row>
    <row r="286" spans="1:6">
      <c r="A286" s="400">
        <v>45867</v>
      </c>
      <c r="B286" s="393" t="s">
        <v>4010</v>
      </c>
      <c r="C286" s="400">
        <v>45867</v>
      </c>
      <c r="D286" s="394"/>
      <c r="E286" s="394">
        <v>190</v>
      </c>
      <c r="F286" s="396">
        <f t="shared" si="5"/>
        <v>59313.759999999987</v>
      </c>
    </row>
    <row r="287" spans="1:6">
      <c r="A287" s="400">
        <v>45867</v>
      </c>
      <c r="B287" s="393" t="s">
        <v>4011</v>
      </c>
      <c r="C287" s="400">
        <v>45867</v>
      </c>
      <c r="D287" s="394"/>
      <c r="E287" s="394">
        <v>10</v>
      </c>
      <c r="F287" s="396">
        <f t="shared" si="5"/>
        <v>59323.759999999987</v>
      </c>
    </row>
    <row r="288" spans="1:6">
      <c r="A288" s="400">
        <v>45867</v>
      </c>
      <c r="B288" s="393" t="s">
        <v>4012</v>
      </c>
      <c r="C288" s="400">
        <v>45867</v>
      </c>
      <c r="D288" s="394"/>
      <c r="E288" s="394">
        <v>220</v>
      </c>
      <c r="F288" s="396">
        <f t="shared" si="5"/>
        <v>59543.759999999987</v>
      </c>
    </row>
    <row r="289" spans="1:6">
      <c r="A289" s="400">
        <v>45867</v>
      </c>
      <c r="B289" s="393" t="s">
        <v>4013</v>
      </c>
      <c r="C289" s="400">
        <v>45867</v>
      </c>
      <c r="D289" s="394"/>
      <c r="E289" s="394">
        <v>232</v>
      </c>
      <c r="F289" s="396">
        <f t="shared" si="5"/>
        <v>59775.759999999987</v>
      </c>
    </row>
    <row r="290" spans="1:6">
      <c r="A290" s="400">
        <v>45867</v>
      </c>
      <c r="B290" s="393" t="s">
        <v>4014</v>
      </c>
      <c r="C290" s="400">
        <v>45867</v>
      </c>
      <c r="D290" s="394"/>
      <c r="E290" s="394">
        <v>220</v>
      </c>
      <c r="F290" s="396">
        <f t="shared" si="5"/>
        <v>59995.759999999987</v>
      </c>
    </row>
    <row r="291" spans="1:6">
      <c r="A291" s="400">
        <v>45867</v>
      </c>
      <c r="B291" s="393" t="s">
        <v>4015</v>
      </c>
      <c r="C291" s="400">
        <v>45867</v>
      </c>
      <c r="D291" s="394"/>
      <c r="E291" s="394">
        <v>232</v>
      </c>
      <c r="F291" s="396">
        <f t="shared" si="5"/>
        <v>60227.759999999987</v>
      </c>
    </row>
    <row r="292" spans="1:6">
      <c r="A292" s="400">
        <v>45867</v>
      </c>
      <c r="B292" s="393" t="s">
        <v>4016</v>
      </c>
      <c r="C292" s="400">
        <v>45867</v>
      </c>
      <c r="D292" s="394"/>
      <c r="E292" s="394">
        <v>232</v>
      </c>
      <c r="F292" s="396">
        <f t="shared" si="5"/>
        <v>60459.759999999987</v>
      </c>
    </row>
    <row r="293" spans="1:6">
      <c r="A293" s="400">
        <v>45867</v>
      </c>
      <c r="B293" s="393" t="s">
        <v>4017</v>
      </c>
      <c r="C293" s="400">
        <v>45867</v>
      </c>
      <c r="D293" s="394"/>
      <c r="E293" s="394">
        <v>180</v>
      </c>
      <c r="F293" s="396">
        <f t="shared" si="5"/>
        <v>60639.759999999987</v>
      </c>
    </row>
    <row r="294" spans="1:6">
      <c r="A294" s="400">
        <v>45867</v>
      </c>
      <c r="B294" s="393" t="s">
        <v>4018</v>
      </c>
      <c r="C294" s="400">
        <v>45867</v>
      </c>
      <c r="D294" s="394"/>
      <c r="E294" s="394">
        <v>232</v>
      </c>
      <c r="F294" s="396">
        <f t="shared" si="5"/>
        <v>60871.759999999987</v>
      </c>
    </row>
    <row r="295" spans="1:6">
      <c r="A295" s="400">
        <v>45867</v>
      </c>
      <c r="B295" s="393" t="s">
        <v>4019</v>
      </c>
      <c r="C295" s="400">
        <v>45867</v>
      </c>
      <c r="D295" s="394"/>
      <c r="E295" s="394">
        <v>232</v>
      </c>
      <c r="F295" s="396">
        <f t="shared" si="5"/>
        <v>61103.759999999987</v>
      </c>
    </row>
    <row r="296" spans="1:6">
      <c r="A296" s="400">
        <v>45867</v>
      </c>
      <c r="B296" s="393" t="s">
        <v>4020</v>
      </c>
      <c r="C296" s="400">
        <v>45867</v>
      </c>
      <c r="D296" s="394"/>
      <c r="E296" s="394">
        <v>190</v>
      </c>
      <c r="F296" s="396">
        <f t="shared" si="5"/>
        <v>61293.759999999987</v>
      </c>
    </row>
    <row r="297" spans="1:6">
      <c r="A297" s="400">
        <v>45867</v>
      </c>
      <c r="B297" s="393" t="s">
        <v>4021</v>
      </c>
      <c r="C297" s="400">
        <v>45867</v>
      </c>
      <c r="D297" s="394"/>
      <c r="E297" s="394">
        <v>190</v>
      </c>
      <c r="F297" s="396">
        <f t="shared" si="5"/>
        <v>61483.759999999987</v>
      </c>
    </row>
    <row r="298" spans="1:6">
      <c r="A298" s="400">
        <v>45867</v>
      </c>
      <c r="B298" s="393" t="s">
        <v>4022</v>
      </c>
      <c r="C298" s="400">
        <v>45867</v>
      </c>
      <c r="D298" s="394"/>
      <c r="E298" s="394">
        <v>190</v>
      </c>
      <c r="F298" s="396">
        <f t="shared" si="5"/>
        <v>61673.759999999987</v>
      </c>
    </row>
    <row r="299" spans="1:6">
      <c r="A299" s="400">
        <v>45867</v>
      </c>
      <c r="B299" s="393" t="s">
        <v>4023</v>
      </c>
      <c r="C299" s="400">
        <v>45867</v>
      </c>
      <c r="D299" s="394"/>
      <c r="E299" s="394">
        <v>190</v>
      </c>
      <c r="F299" s="396">
        <f t="shared" si="5"/>
        <v>61863.759999999987</v>
      </c>
    </row>
    <row r="300" spans="1:6">
      <c r="A300" s="400">
        <v>45867</v>
      </c>
      <c r="B300" s="393" t="s">
        <v>4024</v>
      </c>
      <c r="C300" s="400">
        <v>45867</v>
      </c>
      <c r="D300" s="394"/>
      <c r="E300" s="394">
        <v>12</v>
      </c>
      <c r="F300" s="396">
        <f t="shared" si="5"/>
        <v>61875.759999999987</v>
      </c>
    </row>
    <row r="301" spans="1:6">
      <c r="A301" s="400">
        <v>45867</v>
      </c>
      <c r="B301" s="393" t="s">
        <v>4025</v>
      </c>
      <c r="C301" s="400">
        <v>45867</v>
      </c>
      <c r="D301" s="394"/>
      <c r="E301" s="394">
        <v>180</v>
      </c>
      <c r="F301" s="396">
        <f t="shared" si="5"/>
        <v>62055.759999999987</v>
      </c>
    </row>
    <row r="302" spans="1:6">
      <c r="A302" s="400">
        <v>45867</v>
      </c>
      <c r="B302" s="393" t="s">
        <v>3753</v>
      </c>
      <c r="C302" s="400">
        <v>45867</v>
      </c>
      <c r="D302" s="394">
        <v>1.38</v>
      </c>
      <c r="E302" s="394"/>
      <c r="F302" s="396">
        <f t="shared" si="5"/>
        <v>62054.37999999999</v>
      </c>
    </row>
    <row r="303" spans="1:6">
      <c r="A303" s="400">
        <v>45868</v>
      </c>
      <c r="B303" s="393" t="s">
        <v>4026</v>
      </c>
      <c r="C303" s="400">
        <v>45868</v>
      </c>
      <c r="D303" s="394"/>
      <c r="E303" s="394">
        <v>190</v>
      </c>
      <c r="F303" s="396">
        <f t="shared" si="5"/>
        <v>62244.37999999999</v>
      </c>
    </row>
    <row r="304" spans="1:6">
      <c r="A304" s="400">
        <v>45868</v>
      </c>
      <c r="B304" s="393" t="s">
        <v>4027</v>
      </c>
      <c r="C304" s="400">
        <v>45868</v>
      </c>
      <c r="D304" s="394"/>
      <c r="E304" s="394">
        <v>190</v>
      </c>
      <c r="F304" s="396">
        <f t="shared" si="5"/>
        <v>62434.37999999999</v>
      </c>
    </row>
    <row r="305" spans="1:6">
      <c r="A305" s="400">
        <v>45868</v>
      </c>
      <c r="B305" s="393" t="s">
        <v>4028</v>
      </c>
      <c r="C305" s="400">
        <v>45868</v>
      </c>
      <c r="D305" s="394"/>
      <c r="E305" s="394">
        <v>220</v>
      </c>
      <c r="F305" s="396">
        <f t="shared" si="5"/>
        <v>62654.37999999999</v>
      </c>
    </row>
    <row r="306" spans="1:6">
      <c r="A306" s="400">
        <v>45868</v>
      </c>
      <c r="B306" s="393" t="s">
        <v>4029</v>
      </c>
      <c r="C306" s="400">
        <v>45868</v>
      </c>
      <c r="D306" s="394"/>
      <c r="E306" s="394">
        <v>180</v>
      </c>
      <c r="F306" s="396">
        <f t="shared" si="5"/>
        <v>62834.37999999999</v>
      </c>
    </row>
    <row r="307" spans="1:6">
      <c r="A307" s="400">
        <v>45868</v>
      </c>
      <c r="B307" s="393" t="s">
        <v>4030</v>
      </c>
      <c r="C307" s="400">
        <v>45868</v>
      </c>
      <c r="D307" s="394"/>
      <c r="E307" s="394">
        <v>232</v>
      </c>
      <c r="F307" s="396">
        <f t="shared" si="5"/>
        <v>63066.37999999999</v>
      </c>
    </row>
    <row r="308" spans="1:6">
      <c r="A308" s="400">
        <v>45868</v>
      </c>
      <c r="B308" s="393" t="s">
        <v>4031</v>
      </c>
      <c r="C308" s="400">
        <v>45868</v>
      </c>
      <c r="D308" s="394"/>
      <c r="E308" s="394">
        <v>232</v>
      </c>
      <c r="F308" s="396">
        <f t="shared" si="5"/>
        <v>63298.37999999999</v>
      </c>
    </row>
    <row r="309" spans="1:6">
      <c r="A309" s="400">
        <v>45868</v>
      </c>
      <c r="B309" s="393" t="s">
        <v>4032</v>
      </c>
      <c r="C309" s="400">
        <v>45868</v>
      </c>
      <c r="D309" s="394"/>
      <c r="E309" s="394">
        <v>190</v>
      </c>
      <c r="F309" s="396">
        <f t="shared" si="5"/>
        <v>63488.37999999999</v>
      </c>
    </row>
    <row r="310" spans="1:6">
      <c r="A310" s="400">
        <v>45868</v>
      </c>
      <c r="B310" s="393" t="s">
        <v>4033</v>
      </c>
      <c r="C310" s="400">
        <v>45868</v>
      </c>
      <c r="D310" s="394"/>
      <c r="E310" s="394">
        <v>190</v>
      </c>
      <c r="F310" s="396">
        <f t="shared" si="5"/>
        <v>63678.37999999999</v>
      </c>
    </row>
    <row r="311" spans="1:6">
      <c r="A311" s="400">
        <v>45868</v>
      </c>
      <c r="B311" s="393" t="s">
        <v>4034</v>
      </c>
      <c r="C311" s="400">
        <v>45868</v>
      </c>
      <c r="D311" s="394"/>
      <c r="E311" s="394">
        <v>180</v>
      </c>
      <c r="F311" s="396">
        <f t="shared" si="5"/>
        <v>63858.37999999999</v>
      </c>
    </row>
    <row r="312" spans="1:6">
      <c r="A312" s="400">
        <v>45868</v>
      </c>
      <c r="B312" s="393" t="s">
        <v>4035</v>
      </c>
      <c r="C312" s="400">
        <v>45868</v>
      </c>
      <c r="D312" s="394"/>
      <c r="E312" s="394">
        <v>220</v>
      </c>
      <c r="F312" s="396">
        <f t="shared" si="5"/>
        <v>64078.37999999999</v>
      </c>
    </row>
    <row r="313" spans="1:6">
      <c r="A313" s="400">
        <v>45868</v>
      </c>
      <c r="B313" s="393" t="s">
        <v>4036</v>
      </c>
      <c r="C313" s="400">
        <v>45868</v>
      </c>
      <c r="D313" s="394"/>
      <c r="E313" s="394">
        <v>180</v>
      </c>
      <c r="F313" s="396">
        <f t="shared" si="5"/>
        <v>64258.37999999999</v>
      </c>
    </row>
    <row r="314" spans="1:6">
      <c r="A314" s="400">
        <v>45868</v>
      </c>
      <c r="B314" s="393" t="s">
        <v>4037</v>
      </c>
      <c r="C314" s="400">
        <v>45868</v>
      </c>
      <c r="D314" s="394"/>
      <c r="E314" s="394">
        <v>190</v>
      </c>
      <c r="F314" s="396">
        <f t="shared" si="5"/>
        <v>64448.37999999999</v>
      </c>
    </row>
    <row r="315" spans="1:6">
      <c r="A315" s="400">
        <v>45868</v>
      </c>
      <c r="B315" s="393" t="s">
        <v>4038</v>
      </c>
      <c r="C315" s="400">
        <v>45868</v>
      </c>
      <c r="D315" s="394"/>
      <c r="E315" s="394">
        <v>180</v>
      </c>
      <c r="F315" s="396">
        <f t="shared" si="5"/>
        <v>64628.37999999999</v>
      </c>
    </row>
    <row r="316" spans="1:6">
      <c r="A316" s="400">
        <v>45868</v>
      </c>
      <c r="B316" s="393" t="s">
        <v>4039</v>
      </c>
      <c r="C316" s="400">
        <v>45868</v>
      </c>
      <c r="D316" s="394"/>
      <c r="E316" s="394">
        <v>12</v>
      </c>
      <c r="F316" s="396">
        <f t="shared" si="5"/>
        <v>64640.37999999999</v>
      </c>
    </row>
    <row r="317" spans="1:6">
      <c r="A317" s="400">
        <v>45868</v>
      </c>
      <c r="B317" s="393" t="s">
        <v>4040</v>
      </c>
      <c r="C317" s="400">
        <v>45868</v>
      </c>
      <c r="D317" s="394"/>
      <c r="E317" s="394">
        <v>232</v>
      </c>
      <c r="F317" s="396">
        <f t="shared" si="5"/>
        <v>64872.37999999999</v>
      </c>
    </row>
    <row r="318" spans="1:6">
      <c r="A318" s="400">
        <v>45868</v>
      </c>
      <c r="B318" s="393" t="s">
        <v>4041</v>
      </c>
      <c r="C318" s="400">
        <v>45868</v>
      </c>
      <c r="D318" s="394"/>
      <c r="E318" s="394">
        <v>220</v>
      </c>
      <c r="F318" s="396">
        <f t="shared" si="5"/>
        <v>65092.37999999999</v>
      </c>
    </row>
    <row r="319" spans="1:6">
      <c r="A319" s="400">
        <v>45868</v>
      </c>
      <c r="B319" s="393" t="s">
        <v>4042</v>
      </c>
      <c r="C319" s="400">
        <v>45868</v>
      </c>
      <c r="D319" s="394"/>
      <c r="E319" s="394">
        <v>220</v>
      </c>
      <c r="F319" s="396">
        <f t="shared" si="5"/>
        <v>65312.37999999999</v>
      </c>
    </row>
    <row r="320" spans="1:6">
      <c r="A320" s="400">
        <v>45868</v>
      </c>
      <c r="B320" s="393" t="s">
        <v>4043</v>
      </c>
      <c r="C320" s="400">
        <v>45868</v>
      </c>
      <c r="D320" s="394"/>
      <c r="E320" s="394">
        <v>220</v>
      </c>
      <c r="F320" s="396">
        <f t="shared" si="5"/>
        <v>65532.37999999999</v>
      </c>
    </row>
    <row r="321" spans="1:6">
      <c r="A321" s="400">
        <v>45868</v>
      </c>
      <c r="B321" s="393" t="s">
        <v>4044</v>
      </c>
      <c r="C321" s="400">
        <v>45868</v>
      </c>
      <c r="D321" s="394"/>
      <c r="E321" s="394">
        <v>220</v>
      </c>
      <c r="F321" s="396">
        <f t="shared" si="5"/>
        <v>65752.37999999999</v>
      </c>
    </row>
    <row r="322" spans="1:6">
      <c r="A322" s="400">
        <v>45868</v>
      </c>
      <c r="B322" s="393" t="s">
        <v>4045</v>
      </c>
      <c r="C322" s="400">
        <v>45868</v>
      </c>
      <c r="D322" s="394"/>
      <c r="E322" s="394">
        <v>232</v>
      </c>
      <c r="F322" s="396">
        <f t="shared" si="5"/>
        <v>65984.37999999999</v>
      </c>
    </row>
    <row r="323" spans="1:6">
      <c r="A323" s="400">
        <v>45868</v>
      </c>
      <c r="B323" s="393" t="s">
        <v>4046</v>
      </c>
      <c r="C323" s="400">
        <v>45868</v>
      </c>
      <c r="D323" s="394"/>
      <c r="E323" s="394">
        <v>190</v>
      </c>
      <c r="F323" s="396">
        <f t="shared" si="5"/>
        <v>66174.37999999999</v>
      </c>
    </row>
    <row r="324" spans="1:6">
      <c r="A324" s="400">
        <v>45868</v>
      </c>
      <c r="B324" s="393" t="s">
        <v>4047</v>
      </c>
      <c r="C324" s="400">
        <v>45868</v>
      </c>
      <c r="D324" s="394"/>
      <c r="E324" s="394">
        <v>220</v>
      </c>
      <c r="F324" s="396">
        <f t="shared" si="5"/>
        <v>66394.37999999999</v>
      </c>
    </row>
    <row r="325" spans="1:6">
      <c r="A325" s="400">
        <v>45868</v>
      </c>
      <c r="B325" s="393" t="s">
        <v>4048</v>
      </c>
      <c r="C325" s="400">
        <v>45868</v>
      </c>
      <c r="D325" s="394"/>
      <c r="E325" s="394">
        <v>220</v>
      </c>
      <c r="F325" s="396">
        <f t="shared" si="5"/>
        <v>66614.37999999999</v>
      </c>
    </row>
    <row r="326" spans="1:6">
      <c r="A326" s="400">
        <v>45868</v>
      </c>
      <c r="B326" s="393" t="s">
        <v>4049</v>
      </c>
      <c r="C326" s="400">
        <v>45868</v>
      </c>
      <c r="D326" s="394"/>
      <c r="E326" s="394">
        <v>220</v>
      </c>
      <c r="F326" s="396">
        <f t="shared" si="5"/>
        <v>66834.37999999999</v>
      </c>
    </row>
    <row r="327" spans="1:6">
      <c r="A327" s="400">
        <v>45868</v>
      </c>
      <c r="B327" s="393" t="s">
        <v>4050</v>
      </c>
      <c r="C327" s="400">
        <v>45868</v>
      </c>
      <c r="D327" s="394"/>
      <c r="E327" s="394">
        <v>220</v>
      </c>
      <c r="F327" s="396">
        <f t="shared" si="5"/>
        <v>67054.37999999999</v>
      </c>
    </row>
    <row r="328" spans="1:6">
      <c r="A328" s="400">
        <v>45868</v>
      </c>
      <c r="B328" s="393" t="s">
        <v>4051</v>
      </c>
      <c r="C328" s="400">
        <v>45868</v>
      </c>
      <c r="D328" s="394"/>
      <c r="E328" s="394">
        <v>220</v>
      </c>
      <c r="F328" s="396">
        <f t="shared" si="5"/>
        <v>67274.37999999999</v>
      </c>
    </row>
    <row r="329" spans="1:6">
      <c r="A329" s="400">
        <v>45868</v>
      </c>
      <c r="B329" s="393" t="s">
        <v>4052</v>
      </c>
      <c r="C329" s="400">
        <v>45868</v>
      </c>
      <c r="D329" s="394"/>
      <c r="E329" s="394">
        <v>180</v>
      </c>
      <c r="F329" s="396">
        <f t="shared" si="5"/>
        <v>67454.37999999999</v>
      </c>
    </row>
    <row r="330" spans="1:6">
      <c r="A330" s="400">
        <v>45868</v>
      </c>
      <c r="B330" s="393" t="s">
        <v>4053</v>
      </c>
      <c r="C330" s="400">
        <v>45868</v>
      </c>
      <c r="D330" s="394"/>
      <c r="E330" s="394">
        <v>220</v>
      </c>
      <c r="F330" s="396">
        <f t="shared" si="5"/>
        <v>67674.37999999999</v>
      </c>
    </row>
    <row r="331" spans="1:6">
      <c r="A331" s="400">
        <v>45868</v>
      </c>
      <c r="B331" s="393" t="s">
        <v>4054</v>
      </c>
      <c r="C331" s="400">
        <v>45868</v>
      </c>
      <c r="D331" s="394"/>
      <c r="E331" s="394">
        <v>180</v>
      </c>
      <c r="F331" s="396">
        <f t="shared" si="5"/>
        <v>67854.37999999999</v>
      </c>
    </row>
    <row r="332" spans="1:6">
      <c r="A332" s="400">
        <v>45868</v>
      </c>
      <c r="B332" s="393" t="s">
        <v>4055</v>
      </c>
      <c r="C332" s="400">
        <v>45868</v>
      </c>
      <c r="D332" s="394"/>
      <c r="E332" s="394">
        <v>190</v>
      </c>
      <c r="F332" s="396">
        <f t="shared" si="5"/>
        <v>68044.37999999999</v>
      </c>
    </row>
    <row r="333" spans="1:6">
      <c r="A333" s="400">
        <v>45868</v>
      </c>
      <c r="B333" s="393" t="s">
        <v>4056</v>
      </c>
      <c r="C333" s="400">
        <v>45868</v>
      </c>
      <c r="D333" s="394"/>
      <c r="E333" s="394">
        <v>190</v>
      </c>
      <c r="F333" s="396">
        <f t="shared" si="5"/>
        <v>68234.37999999999</v>
      </c>
    </row>
    <row r="334" spans="1:6">
      <c r="A334" s="400">
        <v>45868</v>
      </c>
      <c r="B334" s="393" t="s">
        <v>4057</v>
      </c>
      <c r="C334" s="400">
        <v>45868</v>
      </c>
      <c r="D334" s="394"/>
      <c r="E334" s="394">
        <v>220</v>
      </c>
      <c r="F334" s="396">
        <f t="shared" ref="F334:F397" si="6">F333-D334+E334</f>
        <v>68454.37999999999</v>
      </c>
    </row>
    <row r="335" spans="1:6">
      <c r="A335" s="400">
        <v>45868</v>
      </c>
      <c r="B335" s="393" t="s">
        <v>4058</v>
      </c>
      <c r="C335" s="400">
        <v>45868</v>
      </c>
      <c r="D335" s="394"/>
      <c r="E335" s="394">
        <v>220</v>
      </c>
      <c r="F335" s="396">
        <f t="shared" si="6"/>
        <v>68674.37999999999</v>
      </c>
    </row>
    <row r="336" spans="1:6">
      <c r="A336" s="400">
        <v>45868</v>
      </c>
      <c r="B336" s="393" t="s">
        <v>4059</v>
      </c>
      <c r="C336" s="400">
        <v>45868</v>
      </c>
      <c r="D336" s="394"/>
      <c r="E336" s="394">
        <v>220</v>
      </c>
      <c r="F336" s="396">
        <f t="shared" si="6"/>
        <v>68894.37999999999</v>
      </c>
    </row>
    <row r="337" spans="1:6">
      <c r="A337" s="400">
        <v>45868</v>
      </c>
      <c r="B337" s="393" t="s">
        <v>4060</v>
      </c>
      <c r="C337" s="400">
        <v>45868</v>
      </c>
      <c r="D337" s="394"/>
      <c r="E337" s="394">
        <v>190</v>
      </c>
      <c r="F337" s="396">
        <f t="shared" si="6"/>
        <v>69084.37999999999</v>
      </c>
    </row>
    <row r="338" spans="1:6">
      <c r="A338" s="400">
        <v>45868</v>
      </c>
      <c r="B338" s="393" t="s">
        <v>4061</v>
      </c>
      <c r="C338" s="400">
        <v>45868</v>
      </c>
      <c r="D338" s="394"/>
      <c r="E338" s="394">
        <v>190</v>
      </c>
      <c r="F338" s="396">
        <f t="shared" si="6"/>
        <v>69274.37999999999</v>
      </c>
    </row>
    <row r="339" spans="1:6">
      <c r="A339" s="400">
        <v>45868</v>
      </c>
      <c r="B339" s="393" t="s">
        <v>4062</v>
      </c>
      <c r="C339" s="400">
        <v>45868</v>
      </c>
      <c r="D339" s="394"/>
      <c r="E339" s="394">
        <v>220</v>
      </c>
      <c r="F339" s="396">
        <f t="shared" si="6"/>
        <v>69494.37999999999</v>
      </c>
    </row>
    <row r="340" spans="1:6">
      <c r="A340" s="400">
        <v>45868</v>
      </c>
      <c r="B340" s="393" t="s">
        <v>4063</v>
      </c>
      <c r="C340" s="400">
        <v>45868</v>
      </c>
      <c r="D340" s="394"/>
      <c r="E340" s="394">
        <v>220</v>
      </c>
      <c r="F340" s="396">
        <f t="shared" si="6"/>
        <v>69714.37999999999</v>
      </c>
    </row>
    <row r="341" spans="1:6">
      <c r="A341" s="400">
        <v>45868</v>
      </c>
      <c r="B341" s="393" t="s">
        <v>4064</v>
      </c>
      <c r="C341" s="400">
        <v>45868</v>
      </c>
      <c r="D341" s="394"/>
      <c r="E341" s="394">
        <v>220</v>
      </c>
      <c r="F341" s="396">
        <f t="shared" si="6"/>
        <v>69934.37999999999</v>
      </c>
    </row>
    <row r="342" spans="1:6">
      <c r="A342" s="400">
        <v>45868</v>
      </c>
      <c r="B342" s="393" t="s">
        <v>4065</v>
      </c>
      <c r="C342" s="400">
        <v>45868</v>
      </c>
      <c r="D342" s="394"/>
      <c r="E342" s="394">
        <v>180</v>
      </c>
      <c r="F342" s="396">
        <f t="shared" si="6"/>
        <v>70114.37999999999</v>
      </c>
    </row>
    <row r="343" spans="1:6">
      <c r="A343" s="400">
        <v>45868</v>
      </c>
      <c r="B343" s="393" t="s">
        <v>4066</v>
      </c>
      <c r="C343" s="400">
        <v>45868</v>
      </c>
      <c r="D343" s="394"/>
      <c r="E343" s="394">
        <v>220</v>
      </c>
      <c r="F343" s="396">
        <f t="shared" si="6"/>
        <v>70334.37999999999</v>
      </c>
    </row>
    <row r="344" spans="1:6">
      <c r="A344" s="400">
        <v>45868</v>
      </c>
      <c r="B344" s="393" t="s">
        <v>4067</v>
      </c>
      <c r="C344" s="400">
        <v>45868</v>
      </c>
      <c r="D344" s="394"/>
      <c r="E344" s="394">
        <v>180</v>
      </c>
      <c r="F344" s="396">
        <f t="shared" si="6"/>
        <v>70514.37999999999</v>
      </c>
    </row>
    <row r="345" spans="1:6">
      <c r="A345" s="400">
        <v>45868</v>
      </c>
      <c r="B345" s="393" t="s">
        <v>4068</v>
      </c>
      <c r="C345" s="400">
        <v>45868</v>
      </c>
      <c r="D345" s="394"/>
      <c r="E345" s="394">
        <v>190</v>
      </c>
      <c r="F345" s="396">
        <f t="shared" si="6"/>
        <v>70704.37999999999</v>
      </c>
    </row>
    <row r="346" spans="1:6">
      <c r="A346" s="400">
        <v>45868</v>
      </c>
      <c r="B346" s="393" t="s">
        <v>4069</v>
      </c>
      <c r="C346" s="400">
        <v>45868</v>
      </c>
      <c r="D346" s="394"/>
      <c r="E346" s="394">
        <v>180</v>
      </c>
      <c r="F346" s="396">
        <f t="shared" si="6"/>
        <v>70884.37999999999</v>
      </c>
    </row>
    <row r="347" spans="1:6">
      <c r="A347" s="400">
        <v>45868</v>
      </c>
      <c r="B347" s="393" t="s">
        <v>4070</v>
      </c>
      <c r="C347" s="400">
        <v>45868</v>
      </c>
      <c r="D347" s="394"/>
      <c r="E347" s="394">
        <v>190</v>
      </c>
      <c r="F347" s="396">
        <f t="shared" si="6"/>
        <v>71074.37999999999</v>
      </c>
    </row>
    <row r="348" spans="1:6">
      <c r="A348" s="400">
        <v>45868</v>
      </c>
      <c r="B348" s="393" t="s">
        <v>4071</v>
      </c>
      <c r="C348" s="400">
        <v>45868</v>
      </c>
      <c r="D348" s="394"/>
      <c r="E348" s="394">
        <v>220</v>
      </c>
      <c r="F348" s="396">
        <f t="shared" si="6"/>
        <v>71294.37999999999</v>
      </c>
    </row>
    <row r="349" spans="1:6">
      <c r="A349" s="400">
        <v>45868</v>
      </c>
      <c r="B349" s="393" t="s">
        <v>3753</v>
      </c>
      <c r="C349" s="400">
        <v>45868</v>
      </c>
      <c r="D349" s="394">
        <v>1.38</v>
      </c>
      <c r="E349" s="394"/>
      <c r="F349" s="396">
        <f t="shared" si="6"/>
        <v>71292.999999999985</v>
      </c>
    </row>
    <row r="350" spans="1:6">
      <c r="A350" s="400">
        <v>45869</v>
      </c>
      <c r="B350" s="393" t="s">
        <v>4072</v>
      </c>
      <c r="C350" s="400">
        <v>45869</v>
      </c>
      <c r="D350" s="394"/>
      <c r="E350" s="394">
        <v>220</v>
      </c>
      <c r="F350" s="396">
        <f t="shared" si="6"/>
        <v>71512.999999999985</v>
      </c>
    </row>
    <row r="351" spans="1:6">
      <c r="A351" s="400">
        <v>45869</v>
      </c>
      <c r="B351" s="393" t="s">
        <v>4073</v>
      </c>
      <c r="C351" s="400">
        <v>45869</v>
      </c>
      <c r="D351" s="394"/>
      <c r="E351" s="394">
        <v>200</v>
      </c>
      <c r="F351" s="396">
        <f t="shared" si="6"/>
        <v>71712.999999999985</v>
      </c>
    </row>
    <row r="352" spans="1:6">
      <c r="A352" s="400">
        <v>45869</v>
      </c>
      <c r="B352" s="393" t="s">
        <v>4074</v>
      </c>
      <c r="C352" s="400">
        <v>45869</v>
      </c>
      <c r="D352" s="394"/>
      <c r="E352" s="394">
        <v>190</v>
      </c>
      <c r="F352" s="396">
        <f t="shared" si="6"/>
        <v>71902.999999999985</v>
      </c>
    </row>
    <row r="353" spans="1:6">
      <c r="A353" s="400">
        <v>45869</v>
      </c>
      <c r="B353" s="393" t="s">
        <v>4075</v>
      </c>
      <c r="C353" s="400">
        <v>45869</v>
      </c>
      <c r="D353" s="394"/>
      <c r="E353" s="394">
        <v>200</v>
      </c>
      <c r="F353" s="396">
        <f t="shared" si="6"/>
        <v>72102.999999999985</v>
      </c>
    </row>
    <row r="354" spans="1:6">
      <c r="A354" s="400">
        <v>45869</v>
      </c>
      <c r="B354" s="393" t="s">
        <v>3753</v>
      </c>
      <c r="C354" s="400">
        <v>45869</v>
      </c>
      <c r="D354" s="394">
        <v>0.12</v>
      </c>
      <c r="E354" s="394"/>
      <c r="F354" s="396">
        <f t="shared" si="6"/>
        <v>72102.87999999999</v>
      </c>
    </row>
    <row r="355" spans="1:6">
      <c r="A355" s="400">
        <v>45870</v>
      </c>
      <c r="B355" s="393" t="s">
        <v>4076</v>
      </c>
      <c r="C355" s="400">
        <v>45870</v>
      </c>
      <c r="D355" s="394"/>
      <c r="E355" s="394">
        <v>220</v>
      </c>
      <c r="F355" s="396">
        <f t="shared" si="6"/>
        <v>72322.87999999999</v>
      </c>
    </row>
    <row r="356" spans="1:6">
      <c r="A356" s="400">
        <v>45870</v>
      </c>
      <c r="B356" s="393" t="s">
        <v>4077</v>
      </c>
      <c r="C356" s="400">
        <v>45870</v>
      </c>
      <c r="D356" s="394"/>
      <c r="E356" s="394">
        <v>180</v>
      </c>
      <c r="F356" s="396">
        <f t="shared" si="6"/>
        <v>72502.87999999999</v>
      </c>
    </row>
    <row r="357" spans="1:6">
      <c r="A357" s="400">
        <v>45870</v>
      </c>
      <c r="B357" s="393" t="s">
        <v>4078</v>
      </c>
      <c r="C357" s="400">
        <v>45870</v>
      </c>
      <c r="D357" s="394"/>
      <c r="E357" s="394">
        <v>220</v>
      </c>
      <c r="F357" s="396">
        <f t="shared" si="6"/>
        <v>72722.87999999999</v>
      </c>
    </row>
    <row r="358" spans="1:6">
      <c r="A358" s="400">
        <v>45870</v>
      </c>
      <c r="B358" s="393" t="s">
        <v>4078</v>
      </c>
      <c r="C358" s="400">
        <v>45870</v>
      </c>
      <c r="D358" s="394"/>
      <c r="E358" s="394">
        <v>-220</v>
      </c>
      <c r="F358" s="396">
        <f t="shared" si="6"/>
        <v>72502.87999999999</v>
      </c>
    </row>
    <row r="359" spans="1:6">
      <c r="A359" s="400">
        <v>45870</v>
      </c>
      <c r="B359" s="393" t="s">
        <v>4079</v>
      </c>
      <c r="C359" s="400">
        <v>45870</v>
      </c>
      <c r="D359" s="394"/>
      <c r="E359" s="394">
        <v>220</v>
      </c>
      <c r="F359" s="396">
        <f t="shared" si="6"/>
        <v>72722.87999999999</v>
      </c>
    </row>
    <row r="360" spans="1:6">
      <c r="A360" s="400">
        <v>45870</v>
      </c>
      <c r="B360" s="393" t="s">
        <v>3753</v>
      </c>
      <c r="C360" s="400">
        <v>45870</v>
      </c>
      <c r="D360" s="394">
        <v>0.09</v>
      </c>
      <c r="E360" s="394"/>
      <c r="F360" s="396">
        <f t="shared" si="6"/>
        <v>72722.789999999994</v>
      </c>
    </row>
    <row r="361" spans="1:6">
      <c r="A361" s="400">
        <v>45874</v>
      </c>
      <c r="B361" s="393" t="s">
        <v>4080</v>
      </c>
      <c r="C361" s="400">
        <v>45874</v>
      </c>
      <c r="D361" s="394"/>
      <c r="E361" s="394">
        <v>180</v>
      </c>
      <c r="F361" s="396">
        <f t="shared" si="6"/>
        <v>72902.789999999994</v>
      </c>
    </row>
    <row r="362" spans="1:6">
      <c r="A362" s="400">
        <v>45874</v>
      </c>
      <c r="B362" s="393" t="s">
        <v>4081</v>
      </c>
      <c r="C362" s="400">
        <v>45874</v>
      </c>
      <c r="D362" s="394"/>
      <c r="E362" s="394">
        <v>180</v>
      </c>
      <c r="F362" s="396">
        <f t="shared" si="6"/>
        <v>73082.789999999994</v>
      </c>
    </row>
    <row r="363" spans="1:6">
      <c r="A363" s="400">
        <v>45874</v>
      </c>
      <c r="B363" s="393" t="s">
        <v>4082</v>
      </c>
      <c r="C363" s="400">
        <v>45874</v>
      </c>
      <c r="D363" s="394"/>
      <c r="E363" s="394">
        <v>220</v>
      </c>
      <c r="F363" s="396">
        <f t="shared" si="6"/>
        <v>73302.789999999994</v>
      </c>
    </row>
    <row r="364" spans="1:6">
      <c r="A364" s="400">
        <v>45874</v>
      </c>
      <c r="B364" s="393" t="s">
        <v>3753</v>
      </c>
      <c r="C364" s="400">
        <v>45874</v>
      </c>
      <c r="D364" s="394">
        <v>0.09</v>
      </c>
      <c r="E364" s="394"/>
      <c r="F364" s="396">
        <f t="shared" si="6"/>
        <v>73302.7</v>
      </c>
    </row>
    <row r="365" spans="1:6">
      <c r="A365" s="400">
        <v>45876</v>
      </c>
      <c r="B365" s="393" t="s">
        <v>4083</v>
      </c>
      <c r="C365" s="400">
        <v>45876</v>
      </c>
      <c r="D365" s="394"/>
      <c r="E365" s="394">
        <v>220</v>
      </c>
      <c r="F365" s="396">
        <f t="shared" si="6"/>
        <v>73522.7</v>
      </c>
    </row>
    <row r="366" spans="1:6">
      <c r="A366" s="400">
        <v>45876</v>
      </c>
      <c r="B366" s="393" t="s">
        <v>3753</v>
      </c>
      <c r="C366" s="400">
        <v>45876</v>
      </c>
      <c r="D366" s="394">
        <v>0.03</v>
      </c>
      <c r="E366" s="394"/>
      <c r="F366" s="396">
        <f t="shared" si="6"/>
        <v>73522.67</v>
      </c>
    </row>
    <row r="367" spans="1:6">
      <c r="A367" s="400">
        <v>45877</v>
      </c>
      <c r="B367" s="393" t="s">
        <v>4084</v>
      </c>
      <c r="C367" s="400">
        <v>45877</v>
      </c>
      <c r="D367" s="394"/>
      <c r="E367" s="394">
        <v>220</v>
      </c>
      <c r="F367" s="396">
        <f t="shared" si="6"/>
        <v>73742.67</v>
      </c>
    </row>
    <row r="368" spans="1:6">
      <c r="A368" s="400">
        <v>45877</v>
      </c>
      <c r="B368" s="393" t="s">
        <v>3753</v>
      </c>
      <c r="C368" s="400">
        <v>45877</v>
      </c>
      <c r="D368" s="394">
        <v>0.03</v>
      </c>
      <c r="E368" s="394"/>
      <c r="F368" s="396">
        <f t="shared" si="6"/>
        <v>73742.64</v>
      </c>
    </row>
    <row r="369" spans="1:6">
      <c r="A369" s="400">
        <v>45880</v>
      </c>
      <c r="B369" s="393" t="s">
        <v>4085</v>
      </c>
      <c r="C369" s="400">
        <v>45880</v>
      </c>
      <c r="D369" s="394"/>
      <c r="E369" s="394">
        <v>220</v>
      </c>
      <c r="F369" s="396">
        <f t="shared" si="6"/>
        <v>73962.64</v>
      </c>
    </row>
    <row r="370" spans="1:6">
      <c r="A370" s="400">
        <v>45880</v>
      </c>
      <c r="B370" s="393" t="s">
        <v>3753</v>
      </c>
      <c r="C370" s="400">
        <v>45880</v>
      </c>
      <c r="D370" s="394">
        <v>0.03</v>
      </c>
      <c r="E370" s="394"/>
      <c r="F370" s="396">
        <f t="shared" si="6"/>
        <v>73962.61</v>
      </c>
    </row>
    <row r="371" spans="1:6">
      <c r="A371" s="400">
        <v>45881</v>
      </c>
      <c r="B371" s="393" t="s">
        <v>4086</v>
      </c>
      <c r="C371" s="400">
        <v>45881</v>
      </c>
      <c r="D371" s="394"/>
      <c r="E371" s="394">
        <v>220</v>
      </c>
      <c r="F371" s="396">
        <f t="shared" si="6"/>
        <v>74182.61</v>
      </c>
    </row>
    <row r="372" spans="1:6">
      <c r="A372" s="400">
        <v>45881</v>
      </c>
      <c r="B372" s="393" t="s">
        <v>3753</v>
      </c>
      <c r="C372" s="400">
        <v>45881</v>
      </c>
      <c r="D372" s="394">
        <v>0.03</v>
      </c>
      <c r="E372" s="394"/>
      <c r="F372" s="396">
        <f t="shared" si="6"/>
        <v>74182.58</v>
      </c>
    </row>
    <row r="373" spans="1:6">
      <c r="A373" s="400">
        <v>45883</v>
      </c>
      <c r="B373" s="393" t="s">
        <v>4087</v>
      </c>
      <c r="C373" s="400">
        <v>45883</v>
      </c>
      <c r="D373" s="394"/>
      <c r="E373" s="394">
        <v>180</v>
      </c>
      <c r="F373" s="396">
        <f t="shared" si="6"/>
        <v>74362.58</v>
      </c>
    </row>
    <row r="374" spans="1:6">
      <c r="A374" s="400">
        <v>45883</v>
      </c>
      <c r="B374" s="393" t="s">
        <v>3753</v>
      </c>
      <c r="C374" s="400">
        <v>45883</v>
      </c>
      <c r="D374" s="394">
        <v>0.03</v>
      </c>
      <c r="E374" s="394"/>
      <c r="F374" s="396">
        <f t="shared" si="6"/>
        <v>74362.55</v>
      </c>
    </row>
    <row r="375" spans="1:6">
      <c r="A375" s="400">
        <v>45884</v>
      </c>
      <c r="B375" s="393" t="s">
        <v>4088</v>
      </c>
      <c r="C375" s="400">
        <v>45884</v>
      </c>
      <c r="D375" s="394"/>
      <c r="E375" s="394">
        <v>220</v>
      </c>
      <c r="F375" s="396">
        <f t="shared" si="6"/>
        <v>74582.55</v>
      </c>
    </row>
    <row r="376" spans="1:6">
      <c r="A376" s="400">
        <v>45884</v>
      </c>
      <c r="B376" s="393" t="s">
        <v>4089</v>
      </c>
      <c r="C376" s="400">
        <v>45884</v>
      </c>
      <c r="D376" s="394"/>
      <c r="E376" s="394">
        <v>180</v>
      </c>
      <c r="F376" s="396">
        <f t="shared" si="6"/>
        <v>74762.55</v>
      </c>
    </row>
    <row r="377" spans="1:6">
      <c r="A377" s="400">
        <v>45884</v>
      </c>
      <c r="B377" s="393" t="s">
        <v>4090</v>
      </c>
      <c r="C377" s="400">
        <v>45884</v>
      </c>
      <c r="D377" s="394"/>
      <c r="E377" s="394">
        <v>200</v>
      </c>
      <c r="F377" s="396">
        <f t="shared" si="6"/>
        <v>74962.55</v>
      </c>
    </row>
    <row r="378" spans="1:6">
      <c r="A378" s="400">
        <v>45884</v>
      </c>
      <c r="B378" s="393" t="s">
        <v>4091</v>
      </c>
      <c r="C378" s="400">
        <v>45884</v>
      </c>
      <c r="D378" s="394"/>
      <c r="E378" s="394">
        <v>220</v>
      </c>
      <c r="F378" s="396">
        <f t="shared" si="6"/>
        <v>75182.55</v>
      </c>
    </row>
    <row r="379" spans="1:6">
      <c r="A379" s="400">
        <v>45884</v>
      </c>
      <c r="B379" s="393" t="s">
        <v>4092</v>
      </c>
      <c r="C379" s="400">
        <v>45884</v>
      </c>
      <c r="D379" s="394"/>
      <c r="E379" s="394">
        <v>180</v>
      </c>
      <c r="F379" s="396">
        <f t="shared" si="6"/>
        <v>75362.55</v>
      </c>
    </row>
    <row r="380" spans="1:6">
      <c r="A380" s="400">
        <v>45884</v>
      </c>
      <c r="B380" s="393" t="s">
        <v>3753</v>
      </c>
      <c r="C380" s="400">
        <v>45884</v>
      </c>
      <c r="D380" s="394">
        <v>0.15</v>
      </c>
      <c r="E380" s="394"/>
      <c r="F380" s="396">
        <f t="shared" si="6"/>
        <v>75362.400000000009</v>
      </c>
    </row>
    <row r="381" spans="1:6">
      <c r="A381" s="400">
        <v>45894</v>
      </c>
      <c r="B381" s="393" t="s">
        <v>4093</v>
      </c>
      <c r="C381" s="400">
        <v>45894</v>
      </c>
      <c r="D381" s="394"/>
      <c r="E381" s="394">
        <v>215</v>
      </c>
      <c r="F381" s="396">
        <f t="shared" si="6"/>
        <v>75577.400000000009</v>
      </c>
    </row>
    <row r="382" spans="1:6">
      <c r="A382" s="400">
        <v>45894</v>
      </c>
      <c r="B382" s="393" t="s">
        <v>3753</v>
      </c>
      <c r="C382" s="400">
        <v>45894</v>
      </c>
      <c r="D382" s="394">
        <v>0.03</v>
      </c>
      <c r="E382" s="394"/>
      <c r="F382" s="396">
        <f t="shared" si="6"/>
        <v>75577.37000000001</v>
      </c>
    </row>
    <row r="383" spans="1:6">
      <c r="A383" s="400">
        <v>45896</v>
      </c>
      <c r="B383" s="393" t="s">
        <v>4094</v>
      </c>
      <c r="C383" s="400">
        <v>45896</v>
      </c>
      <c r="D383" s="394"/>
      <c r="E383" s="394">
        <v>260</v>
      </c>
      <c r="F383" s="396">
        <f t="shared" si="6"/>
        <v>75837.37000000001</v>
      </c>
    </row>
    <row r="384" spans="1:6">
      <c r="A384" s="400">
        <v>45896</v>
      </c>
      <c r="B384" s="393" t="s">
        <v>3753</v>
      </c>
      <c r="C384" s="400">
        <v>45896</v>
      </c>
      <c r="D384" s="394">
        <v>0.03</v>
      </c>
      <c r="E384" s="394"/>
      <c r="F384" s="396">
        <f t="shared" si="6"/>
        <v>75837.340000000011</v>
      </c>
    </row>
    <row r="385" spans="1:6">
      <c r="A385" s="400">
        <v>45897</v>
      </c>
      <c r="B385" s="393" t="s">
        <v>4095</v>
      </c>
      <c r="C385" s="400">
        <v>45897</v>
      </c>
      <c r="D385" s="394"/>
      <c r="E385" s="394">
        <v>220</v>
      </c>
      <c r="F385" s="396">
        <f t="shared" si="6"/>
        <v>76057.340000000011</v>
      </c>
    </row>
    <row r="386" spans="1:6">
      <c r="A386" s="400">
        <v>45897</v>
      </c>
      <c r="B386" s="393" t="s">
        <v>4096</v>
      </c>
      <c r="C386" s="400">
        <v>45897</v>
      </c>
      <c r="D386" s="394"/>
      <c r="E386" s="394">
        <v>220</v>
      </c>
      <c r="F386" s="396">
        <f t="shared" si="6"/>
        <v>76277.340000000011</v>
      </c>
    </row>
    <row r="387" spans="1:6">
      <c r="A387" s="400">
        <v>45897</v>
      </c>
      <c r="B387" s="393" t="s">
        <v>3753</v>
      </c>
      <c r="C387" s="400">
        <v>45897</v>
      </c>
      <c r="D387" s="394">
        <v>0.06</v>
      </c>
      <c r="E387" s="394"/>
      <c r="F387" s="396">
        <f t="shared" si="6"/>
        <v>76277.280000000013</v>
      </c>
    </row>
    <row r="388" spans="1:6">
      <c r="A388" s="400">
        <v>45898</v>
      </c>
      <c r="B388" s="393" t="s">
        <v>4097</v>
      </c>
      <c r="C388" s="400">
        <v>45898</v>
      </c>
      <c r="D388" s="394"/>
      <c r="E388" s="394">
        <v>220</v>
      </c>
      <c r="F388" s="396">
        <f t="shared" si="6"/>
        <v>76497.280000000013</v>
      </c>
    </row>
    <row r="389" spans="1:6">
      <c r="A389" s="400">
        <v>45898</v>
      </c>
      <c r="B389" s="393" t="s">
        <v>4098</v>
      </c>
      <c r="C389" s="400">
        <v>45898</v>
      </c>
      <c r="D389" s="394"/>
      <c r="E389" s="394">
        <v>220</v>
      </c>
      <c r="F389" s="396">
        <f t="shared" si="6"/>
        <v>76717.280000000013</v>
      </c>
    </row>
    <row r="390" spans="1:6">
      <c r="A390" s="400">
        <v>45898</v>
      </c>
      <c r="B390" s="393" t="s">
        <v>4099</v>
      </c>
      <c r="C390" s="400">
        <v>45898</v>
      </c>
      <c r="D390" s="394"/>
      <c r="E390" s="394">
        <v>200</v>
      </c>
      <c r="F390" s="396">
        <f t="shared" si="6"/>
        <v>76917.280000000013</v>
      </c>
    </row>
    <row r="391" spans="1:6">
      <c r="A391" s="400">
        <v>45898</v>
      </c>
      <c r="B391" s="393" t="s">
        <v>3753</v>
      </c>
      <c r="C391" s="400">
        <v>45898</v>
      </c>
      <c r="D391" s="394">
        <v>0.09</v>
      </c>
      <c r="E391" s="394"/>
      <c r="F391" s="396">
        <f t="shared" si="6"/>
        <v>76917.190000000017</v>
      </c>
    </row>
    <row r="392" spans="1:6">
      <c r="A392" s="400">
        <v>45901</v>
      </c>
      <c r="B392" s="393" t="s">
        <v>4100</v>
      </c>
      <c r="C392" s="400">
        <v>45901</v>
      </c>
      <c r="D392" s="394"/>
      <c r="E392" s="394">
        <v>220</v>
      </c>
      <c r="F392" s="396">
        <f t="shared" si="6"/>
        <v>77137.190000000017</v>
      </c>
    </row>
    <row r="393" spans="1:6">
      <c r="A393" s="400">
        <v>45901</v>
      </c>
      <c r="B393" s="393" t="s">
        <v>4101</v>
      </c>
      <c r="C393" s="400">
        <v>45901</v>
      </c>
      <c r="D393" s="394"/>
      <c r="E393" s="394">
        <v>260</v>
      </c>
      <c r="F393" s="396">
        <f t="shared" si="6"/>
        <v>77397.190000000017</v>
      </c>
    </row>
    <row r="394" spans="1:6">
      <c r="A394" s="400">
        <v>45901</v>
      </c>
      <c r="B394" s="393" t="s">
        <v>4102</v>
      </c>
      <c r="C394" s="400">
        <v>45901</v>
      </c>
      <c r="D394" s="394">
        <v>25</v>
      </c>
      <c r="E394" s="394"/>
      <c r="F394" s="396">
        <f t="shared" si="6"/>
        <v>77372.190000000017</v>
      </c>
    </row>
    <row r="395" spans="1:6">
      <c r="A395" s="400">
        <v>45901</v>
      </c>
      <c r="B395" s="393" t="s">
        <v>4103</v>
      </c>
      <c r="C395" s="400">
        <v>45901</v>
      </c>
      <c r="D395" s="394">
        <v>50</v>
      </c>
      <c r="E395" s="394"/>
      <c r="F395" s="396">
        <f t="shared" si="6"/>
        <v>77322.190000000017</v>
      </c>
    </row>
    <row r="396" spans="1:6">
      <c r="A396" s="400">
        <v>45901</v>
      </c>
      <c r="B396" s="393" t="s">
        <v>4104</v>
      </c>
      <c r="C396" s="400">
        <v>45901</v>
      </c>
      <c r="D396" s="394">
        <v>10000</v>
      </c>
      <c r="E396" s="394"/>
      <c r="F396" s="396">
        <f t="shared" si="6"/>
        <v>67322.190000000017</v>
      </c>
    </row>
    <row r="397" spans="1:6">
      <c r="A397" s="400">
        <v>45901</v>
      </c>
      <c r="B397" s="393" t="s">
        <v>4105</v>
      </c>
      <c r="C397" s="400">
        <v>45901</v>
      </c>
      <c r="D397" s="394">
        <v>15</v>
      </c>
      <c r="E397" s="394"/>
      <c r="F397" s="396">
        <f t="shared" si="6"/>
        <v>67307.190000000017</v>
      </c>
    </row>
    <row r="398" spans="1:6">
      <c r="A398" s="400">
        <v>45901</v>
      </c>
      <c r="B398" s="393" t="s">
        <v>4106</v>
      </c>
      <c r="C398" s="400">
        <v>45901</v>
      </c>
      <c r="D398" s="394">
        <v>3.75</v>
      </c>
      <c r="E398" s="394"/>
      <c r="F398" s="396">
        <f t="shared" ref="F398:F461" si="7">F397-D398+E398</f>
        <v>67303.440000000017</v>
      </c>
    </row>
    <row r="399" spans="1:6">
      <c r="A399" s="400">
        <v>45901</v>
      </c>
      <c r="B399" s="393" t="s">
        <v>3753</v>
      </c>
      <c r="C399" s="400">
        <v>45901</v>
      </c>
      <c r="D399" s="394">
        <v>0.06</v>
      </c>
      <c r="E399" s="394"/>
      <c r="F399" s="396">
        <f t="shared" si="7"/>
        <v>67303.380000000019</v>
      </c>
    </row>
    <row r="400" spans="1:6">
      <c r="A400" s="400">
        <v>45902</v>
      </c>
      <c r="B400" s="393" t="s">
        <v>4107</v>
      </c>
      <c r="C400" s="400">
        <v>45902</v>
      </c>
      <c r="D400" s="394"/>
      <c r="E400" s="394">
        <v>260</v>
      </c>
      <c r="F400" s="396">
        <f t="shared" si="7"/>
        <v>67563.380000000019</v>
      </c>
    </row>
    <row r="401" spans="1:6">
      <c r="A401" s="400">
        <v>45902</v>
      </c>
      <c r="B401" s="393" t="s">
        <v>3753</v>
      </c>
      <c r="C401" s="400">
        <v>45902</v>
      </c>
      <c r="D401" s="394">
        <v>0.03</v>
      </c>
      <c r="E401" s="394"/>
      <c r="F401" s="396">
        <f t="shared" si="7"/>
        <v>67563.35000000002</v>
      </c>
    </row>
    <row r="402" spans="1:6">
      <c r="A402" s="400">
        <v>45903</v>
      </c>
      <c r="B402" s="393" t="s">
        <v>4108</v>
      </c>
      <c r="C402" s="400">
        <v>45903</v>
      </c>
      <c r="D402" s="394"/>
      <c r="E402" s="394">
        <v>260</v>
      </c>
      <c r="F402" s="396">
        <f t="shared" si="7"/>
        <v>67823.35000000002</v>
      </c>
    </row>
    <row r="403" spans="1:6">
      <c r="A403" s="400">
        <v>45903</v>
      </c>
      <c r="B403" s="393" t="s">
        <v>4109</v>
      </c>
      <c r="C403" s="400">
        <v>45903</v>
      </c>
      <c r="D403" s="394"/>
      <c r="E403" s="394">
        <v>260</v>
      </c>
      <c r="F403" s="396">
        <f t="shared" si="7"/>
        <v>68083.35000000002</v>
      </c>
    </row>
    <row r="404" spans="1:6">
      <c r="A404" s="400">
        <v>45903</v>
      </c>
      <c r="B404" s="393" t="s">
        <v>3753</v>
      </c>
      <c r="C404" s="400">
        <v>45903</v>
      </c>
      <c r="D404" s="394">
        <v>0.06</v>
      </c>
      <c r="E404" s="394"/>
      <c r="F404" s="396">
        <f t="shared" si="7"/>
        <v>68083.290000000023</v>
      </c>
    </row>
    <row r="405" spans="1:6">
      <c r="A405" s="400">
        <v>45904</v>
      </c>
      <c r="B405" s="393" t="s">
        <v>4110</v>
      </c>
      <c r="C405" s="400">
        <v>45904</v>
      </c>
      <c r="D405" s="394"/>
      <c r="E405" s="394">
        <v>260</v>
      </c>
      <c r="F405" s="396">
        <f t="shared" si="7"/>
        <v>68343.290000000023</v>
      </c>
    </row>
    <row r="406" spans="1:6">
      <c r="A406" s="400">
        <v>45904</v>
      </c>
      <c r="B406" s="393" t="s">
        <v>4111</v>
      </c>
      <c r="C406" s="400">
        <v>45904</v>
      </c>
      <c r="D406" s="394"/>
      <c r="E406" s="394">
        <v>260</v>
      </c>
      <c r="F406" s="396">
        <f t="shared" si="7"/>
        <v>68603.290000000023</v>
      </c>
    </row>
    <row r="407" spans="1:6">
      <c r="A407" s="400">
        <v>45904</v>
      </c>
      <c r="B407" s="393" t="s">
        <v>4112</v>
      </c>
      <c r="C407" s="400">
        <v>45904</v>
      </c>
      <c r="D407" s="394">
        <v>25</v>
      </c>
      <c r="E407" s="394"/>
      <c r="F407" s="396">
        <f t="shared" si="7"/>
        <v>68578.290000000023</v>
      </c>
    </row>
    <row r="408" spans="1:6">
      <c r="A408" s="400">
        <v>45904</v>
      </c>
      <c r="B408" s="393" t="s">
        <v>4113</v>
      </c>
      <c r="C408" s="400">
        <v>45904</v>
      </c>
      <c r="D408" s="394">
        <v>50</v>
      </c>
      <c r="E408" s="394"/>
      <c r="F408" s="396">
        <f t="shared" si="7"/>
        <v>68528.290000000023</v>
      </c>
    </row>
    <row r="409" spans="1:6">
      <c r="A409" s="400">
        <v>45904</v>
      </c>
      <c r="B409" s="393" t="s">
        <v>4114</v>
      </c>
      <c r="C409" s="400">
        <v>45904</v>
      </c>
      <c r="D409" s="394">
        <v>10000</v>
      </c>
      <c r="E409" s="394"/>
      <c r="F409" s="396">
        <f t="shared" si="7"/>
        <v>58528.290000000023</v>
      </c>
    </row>
    <row r="410" spans="1:6">
      <c r="A410" s="400">
        <v>45904</v>
      </c>
      <c r="B410" s="393" t="s">
        <v>4115</v>
      </c>
      <c r="C410" s="400">
        <v>45904</v>
      </c>
      <c r="D410" s="394">
        <v>15</v>
      </c>
      <c r="E410" s="394"/>
      <c r="F410" s="396">
        <f t="shared" si="7"/>
        <v>58513.290000000023</v>
      </c>
    </row>
    <row r="411" spans="1:6">
      <c r="A411" s="400">
        <v>45904</v>
      </c>
      <c r="B411" s="393" t="s">
        <v>4116</v>
      </c>
      <c r="C411" s="400">
        <v>45904</v>
      </c>
      <c r="D411" s="394">
        <v>3.75</v>
      </c>
      <c r="E411" s="394"/>
      <c r="F411" s="396">
        <f t="shared" si="7"/>
        <v>58509.540000000023</v>
      </c>
    </row>
    <row r="412" spans="1:6">
      <c r="A412" s="400">
        <v>45904</v>
      </c>
      <c r="B412" s="393" t="s">
        <v>3753</v>
      </c>
      <c r="C412" s="400">
        <v>45904</v>
      </c>
      <c r="D412" s="394">
        <v>0.06</v>
      </c>
      <c r="E412" s="394"/>
      <c r="F412" s="396">
        <f t="shared" si="7"/>
        <v>58509.480000000025</v>
      </c>
    </row>
    <row r="413" spans="1:6">
      <c r="A413" s="400">
        <v>45908</v>
      </c>
      <c r="B413" s="393" t="s">
        <v>4117</v>
      </c>
      <c r="C413" s="400">
        <v>45908</v>
      </c>
      <c r="D413" s="394"/>
      <c r="E413" s="394">
        <v>260</v>
      </c>
      <c r="F413" s="396">
        <f t="shared" si="7"/>
        <v>58769.480000000025</v>
      </c>
    </row>
    <row r="414" spans="1:6">
      <c r="A414" s="400">
        <v>45908</v>
      </c>
      <c r="B414" s="393" t="s">
        <v>4118</v>
      </c>
      <c r="C414" s="400">
        <v>45908</v>
      </c>
      <c r="D414" s="394"/>
      <c r="E414" s="394">
        <v>260</v>
      </c>
      <c r="F414" s="396">
        <f t="shared" si="7"/>
        <v>59029.480000000025</v>
      </c>
    </row>
    <row r="415" spans="1:6">
      <c r="A415" s="400">
        <v>45908</v>
      </c>
      <c r="B415" s="393" t="s">
        <v>4119</v>
      </c>
      <c r="C415" s="400">
        <v>45908</v>
      </c>
      <c r="D415" s="394"/>
      <c r="E415" s="394">
        <v>215</v>
      </c>
      <c r="F415" s="396">
        <f t="shared" si="7"/>
        <v>59244.480000000025</v>
      </c>
    </row>
    <row r="416" spans="1:6">
      <c r="A416" s="400">
        <v>45908</v>
      </c>
      <c r="B416" s="393" t="s">
        <v>3753</v>
      </c>
      <c r="C416" s="400">
        <v>45908</v>
      </c>
      <c r="D416" s="394">
        <v>0.09</v>
      </c>
      <c r="E416" s="394"/>
      <c r="F416" s="396">
        <f t="shared" si="7"/>
        <v>59244.390000000029</v>
      </c>
    </row>
    <row r="417" spans="1:6">
      <c r="A417" s="400">
        <v>45909</v>
      </c>
      <c r="B417" s="393" t="s">
        <v>4120</v>
      </c>
      <c r="C417" s="400">
        <v>45909</v>
      </c>
      <c r="D417" s="394">
        <v>25</v>
      </c>
      <c r="E417" s="394"/>
      <c r="F417" s="396">
        <f t="shared" si="7"/>
        <v>59219.390000000029</v>
      </c>
    </row>
    <row r="418" spans="1:6">
      <c r="A418" s="400">
        <v>45909</v>
      </c>
      <c r="B418" s="393" t="s">
        <v>4121</v>
      </c>
      <c r="C418" s="400">
        <v>45909</v>
      </c>
      <c r="D418" s="394">
        <v>50</v>
      </c>
      <c r="E418" s="394"/>
      <c r="F418" s="396">
        <f t="shared" si="7"/>
        <v>59169.390000000029</v>
      </c>
    </row>
    <row r="419" spans="1:6">
      <c r="A419" s="400">
        <v>45909</v>
      </c>
      <c r="B419" s="393" t="s">
        <v>4122</v>
      </c>
      <c r="C419" s="400">
        <v>45909</v>
      </c>
      <c r="D419" s="394">
        <v>10000</v>
      </c>
      <c r="E419" s="394"/>
      <c r="F419" s="396">
        <f t="shared" si="7"/>
        <v>49169.390000000029</v>
      </c>
    </row>
    <row r="420" spans="1:6">
      <c r="A420" s="400">
        <v>45909</v>
      </c>
      <c r="B420" s="393" t="s">
        <v>4123</v>
      </c>
      <c r="C420" s="400">
        <v>45909</v>
      </c>
      <c r="D420" s="394">
        <v>15</v>
      </c>
      <c r="E420" s="394"/>
      <c r="F420" s="396">
        <f t="shared" si="7"/>
        <v>49154.390000000029</v>
      </c>
    </row>
    <row r="421" spans="1:6">
      <c r="A421" s="400">
        <v>45909</v>
      </c>
      <c r="B421" s="393" t="s">
        <v>4124</v>
      </c>
      <c r="C421" s="400">
        <v>45909</v>
      </c>
      <c r="D421" s="394">
        <v>3.75</v>
      </c>
      <c r="E421" s="394"/>
      <c r="F421" s="396">
        <f t="shared" si="7"/>
        <v>49150.640000000029</v>
      </c>
    </row>
    <row r="422" spans="1:6">
      <c r="A422" s="400">
        <v>45910</v>
      </c>
      <c r="B422" s="393" t="s">
        <v>4125</v>
      </c>
      <c r="C422" s="400">
        <v>45910</v>
      </c>
      <c r="D422" s="394"/>
      <c r="E422" s="394">
        <v>215</v>
      </c>
      <c r="F422" s="396">
        <f t="shared" si="7"/>
        <v>49365.640000000029</v>
      </c>
    </row>
    <row r="423" spans="1:6">
      <c r="A423" s="400">
        <v>45910</v>
      </c>
      <c r="B423" s="393" t="s">
        <v>4126</v>
      </c>
      <c r="C423" s="400">
        <v>45910</v>
      </c>
      <c r="D423" s="394"/>
      <c r="E423" s="394">
        <v>260</v>
      </c>
      <c r="F423" s="396">
        <f t="shared" si="7"/>
        <v>49625.640000000029</v>
      </c>
    </row>
    <row r="424" spans="1:6">
      <c r="A424" s="400">
        <v>45910</v>
      </c>
      <c r="B424" s="393" t="s">
        <v>3753</v>
      </c>
      <c r="C424" s="400">
        <v>45910</v>
      </c>
      <c r="D424" s="394">
        <v>0.06</v>
      </c>
      <c r="E424" s="394"/>
      <c r="F424" s="396">
        <f t="shared" si="7"/>
        <v>49625.580000000031</v>
      </c>
    </row>
    <row r="425" spans="1:6">
      <c r="A425" s="400">
        <v>45912</v>
      </c>
      <c r="B425" s="393" t="s">
        <v>4127</v>
      </c>
      <c r="C425" s="400">
        <v>45912</v>
      </c>
      <c r="D425" s="394">
        <v>25</v>
      </c>
      <c r="E425" s="394"/>
      <c r="F425" s="396">
        <f t="shared" si="7"/>
        <v>49600.580000000031</v>
      </c>
    </row>
    <row r="426" spans="1:6">
      <c r="A426" s="400">
        <v>45912</v>
      </c>
      <c r="B426" s="393" t="s">
        <v>4128</v>
      </c>
      <c r="C426" s="400">
        <v>45912</v>
      </c>
      <c r="D426" s="394">
        <v>50</v>
      </c>
      <c r="E426" s="394"/>
      <c r="F426" s="396">
        <f t="shared" si="7"/>
        <v>49550.580000000031</v>
      </c>
    </row>
    <row r="427" spans="1:6">
      <c r="A427" s="400">
        <v>45912</v>
      </c>
      <c r="B427" s="393" t="s">
        <v>4129</v>
      </c>
      <c r="C427" s="400">
        <v>45912</v>
      </c>
      <c r="D427" s="394">
        <v>10000</v>
      </c>
      <c r="E427" s="394"/>
      <c r="F427" s="396">
        <f t="shared" si="7"/>
        <v>39550.580000000031</v>
      </c>
    </row>
    <row r="428" spans="1:6">
      <c r="A428" s="400">
        <v>45912</v>
      </c>
      <c r="B428" s="393" t="s">
        <v>4130</v>
      </c>
      <c r="C428" s="400">
        <v>45912</v>
      </c>
      <c r="D428" s="394">
        <v>15</v>
      </c>
      <c r="E428" s="394"/>
      <c r="F428" s="396">
        <f t="shared" si="7"/>
        <v>39535.580000000031</v>
      </c>
    </row>
    <row r="429" spans="1:6">
      <c r="A429" s="400">
        <v>45912</v>
      </c>
      <c r="B429" s="393" t="s">
        <v>4131</v>
      </c>
      <c r="C429" s="400">
        <v>45912</v>
      </c>
      <c r="D429" s="394">
        <v>3.75</v>
      </c>
      <c r="E429" s="394"/>
      <c r="F429" s="396">
        <f t="shared" si="7"/>
        <v>39531.830000000031</v>
      </c>
    </row>
    <row r="430" spans="1:6">
      <c r="A430" s="400">
        <v>45915</v>
      </c>
      <c r="B430" s="393" t="s">
        <v>4132</v>
      </c>
      <c r="C430" s="400">
        <v>45915</v>
      </c>
      <c r="D430" s="394"/>
      <c r="E430" s="394">
        <v>260</v>
      </c>
      <c r="F430" s="396">
        <f t="shared" si="7"/>
        <v>39791.830000000031</v>
      </c>
    </row>
    <row r="431" spans="1:6">
      <c r="A431" s="400">
        <v>45915</v>
      </c>
      <c r="B431" s="393" t="s">
        <v>4133</v>
      </c>
      <c r="C431" s="400">
        <v>45915</v>
      </c>
      <c r="D431" s="394"/>
      <c r="E431" s="394">
        <v>215</v>
      </c>
      <c r="F431" s="396">
        <f t="shared" si="7"/>
        <v>40006.830000000031</v>
      </c>
    </row>
    <row r="432" spans="1:6">
      <c r="A432" s="400">
        <v>45915</v>
      </c>
      <c r="B432" s="393" t="s">
        <v>4134</v>
      </c>
      <c r="C432" s="400">
        <v>45915</v>
      </c>
      <c r="D432" s="394"/>
      <c r="E432" s="394">
        <v>215</v>
      </c>
      <c r="F432" s="396">
        <f t="shared" si="7"/>
        <v>40221.830000000031</v>
      </c>
    </row>
    <row r="433" spans="1:6">
      <c r="A433" s="400">
        <v>45915</v>
      </c>
      <c r="B433" s="393" t="s">
        <v>3753</v>
      </c>
      <c r="C433" s="400">
        <v>45915</v>
      </c>
      <c r="D433" s="394">
        <v>0.09</v>
      </c>
      <c r="E433" s="394"/>
      <c r="F433" s="396">
        <f t="shared" si="7"/>
        <v>40221.740000000034</v>
      </c>
    </row>
    <row r="434" spans="1:6">
      <c r="A434" s="400">
        <v>45916</v>
      </c>
      <c r="B434" s="393" t="s">
        <v>4135</v>
      </c>
      <c r="C434" s="400">
        <v>45916</v>
      </c>
      <c r="D434" s="394">
        <v>25</v>
      </c>
      <c r="E434" s="394"/>
      <c r="F434" s="396">
        <f t="shared" si="7"/>
        <v>40196.740000000034</v>
      </c>
    </row>
    <row r="435" spans="1:6">
      <c r="A435" s="400">
        <v>45916</v>
      </c>
      <c r="B435" s="393" t="s">
        <v>4136</v>
      </c>
      <c r="C435" s="400">
        <v>45916</v>
      </c>
      <c r="D435" s="394">
        <v>50</v>
      </c>
      <c r="E435" s="394"/>
      <c r="F435" s="396">
        <f t="shared" si="7"/>
        <v>40146.740000000034</v>
      </c>
    </row>
    <row r="436" spans="1:6">
      <c r="A436" s="400">
        <v>45916</v>
      </c>
      <c r="B436" s="393" t="s">
        <v>4137</v>
      </c>
      <c r="C436" s="400">
        <v>45916</v>
      </c>
      <c r="D436" s="394">
        <v>10000</v>
      </c>
      <c r="E436" s="394"/>
      <c r="F436" s="396">
        <f t="shared" si="7"/>
        <v>30146.740000000034</v>
      </c>
    </row>
    <row r="437" spans="1:6">
      <c r="A437" s="400">
        <v>45916</v>
      </c>
      <c r="B437" s="393" t="s">
        <v>4138</v>
      </c>
      <c r="C437" s="400">
        <v>45916</v>
      </c>
      <c r="D437" s="394">
        <v>15</v>
      </c>
      <c r="E437" s="394"/>
      <c r="F437" s="396">
        <f t="shared" si="7"/>
        <v>30131.740000000034</v>
      </c>
    </row>
    <row r="438" spans="1:6">
      <c r="A438" s="400">
        <v>45916</v>
      </c>
      <c r="B438" s="393" t="s">
        <v>4139</v>
      </c>
      <c r="C438" s="400">
        <v>45916</v>
      </c>
      <c r="D438" s="394">
        <v>3.75</v>
      </c>
      <c r="E438" s="394"/>
      <c r="F438" s="396">
        <f t="shared" si="7"/>
        <v>30127.990000000034</v>
      </c>
    </row>
    <row r="439" spans="1:6">
      <c r="A439" s="400">
        <v>45917</v>
      </c>
      <c r="B439" s="393" t="s">
        <v>4140</v>
      </c>
      <c r="C439" s="400">
        <v>45917</v>
      </c>
      <c r="D439" s="394"/>
      <c r="E439" s="394">
        <v>300</v>
      </c>
      <c r="F439" s="396">
        <f t="shared" si="7"/>
        <v>30427.990000000034</v>
      </c>
    </row>
    <row r="440" spans="1:6">
      <c r="A440" s="400">
        <v>45917</v>
      </c>
      <c r="B440" s="393" t="s">
        <v>4141</v>
      </c>
      <c r="C440" s="400">
        <v>45917</v>
      </c>
      <c r="D440" s="394"/>
      <c r="E440" s="394">
        <v>220</v>
      </c>
      <c r="F440" s="396">
        <f t="shared" si="7"/>
        <v>30647.990000000034</v>
      </c>
    </row>
    <row r="441" spans="1:6">
      <c r="A441" s="400">
        <v>45917</v>
      </c>
      <c r="B441" s="393" t="s">
        <v>4142</v>
      </c>
      <c r="C441" s="400">
        <v>45917</v>
      </c>
      <c r="D441" s="394"/>
      <c r="E441" s="394">
        <v>215</v>
      </c>
      <c r="F441" s="396">
        <f t="shared" si="7"/>
        <v>30862.990000000034</v>
      </c>
    </row>
    <row r="442" spans="1:6">
      <c r="A442" s="400">
        <v>45917</v>
      </c>
      <c r="B442" s="393" t="s">
        <v>3753</v>
      </c>
      <c r="C442" s="400">
        <v>45917</v>
      </c>
      <c r="D442" s="394">
        <v>0.09</v>
      </c>
      <c r="E442" s="394"/>
      <c r="F442" s="396">
        <f t="shared" si="7"/>
        <v>30862.900000000034</v>
      </c>
    </row>
    <row r="443" spans="1:6">
      <c r="A443" s="400">
        <v>45918</v>
      </c>
      <c r="B443" s="393" t="s">
        <v>4143</v>
      </c>
      <c r="C443" s="400">
        <v>45918</v>
      </c>
      <c r="D443" s="394"/>
      <c r="E443" s="394">
        <v>215</v>
      </c>
      <c r="F443" s="396">
        <f t="shared" si="7"/>
        <v>31077.900000000034</v>
      </c>
    </row>
    <row r="444" spans="1:6">
      <c r="A444" s="400">
        <v>45918</v>
      </c>
      <c r="B444" s="393" t="s">
        <v>3753</v>
      </c>
      <c r="C444" s="400">
        <v>45918</v>
      </c>
      <c r="D444" s="394">
        <v>0.03</v>
      </c>
      <c r="E444" s="394"/>
      <c r="F444" s="396">
        <f t="shared" si="7"/>
        <v>31077.870000000035</v>
      </c>
    </row>
    <row r="445" spans="1:6">
      <c r="A445" s="400">
        <v>45919</v>
      </c>
      <c r="B445" s="393" t="s">
        <v>4144</v>
      </c>
      <c r="C445" s="400">
        <v>45919</v>
      </c>
      <c r="D445" s="394"/>
      <c r="E445" s="394">
        <v>180</v>
      </c>
      <c r="F445" s="396">
        <f t="shared" si="7"/>
        <v>31257.870000000035</v>
      </c>
    </row>
    <row r="446" spans="1:6">
      <c r="A446" s="400">
        <v>45919</v>
      </c>
      <c r="B446" s="393" t="s">
        <v>4145</v>
      </c>
      <c r="C446" s="400">
        <v>45919</v>
      </c>
      <c r="D446" s="394"/>
      <c r="E446" s="394">
        <v>260</v>
      </c>
      <c r="F446" s="396">
        <f t="shared" si="7"/>
        <v>31517.870000000035</v>
      </c>
    </row>
    <row r="447" spans="1:6">
      <c r="A447" s="400">
        <v>45919</v>
      </c>
      <c r="B447" s="393" t="s">
        <v>4146</v>
      </c>
      <c r="C447" s="400">
        <v>45919</v>
      </c>
      <c r="D447" s="394"/>
      <c r="E447" s="394">
        <v>215</v>
      </c>
      <c r="F447" s="396">
        <f t="shared" si="7"/>
        <v>31732.870000000035</v>
      </c>
    </row>
    <row r="448" spans="1:6">
      <c r="A448" s="400">
        <v>45919</v>
      </c>
      <c r="B448" s="393" t="s">
        <v>4147</v>
      </c>
      <c r="C448" s="400">
        <v>45919</v>
      </c>
      <c r="D448" s="394"/>
      <c r="E448" s="394">
        <v>200</v>
      </c>
      <c r="F448" s="396">
        <f t="shared" si="7"/>
        <v>31932.870000000035</v>
      </c>
    </row>
    <row r="449" spans="1:6">
      <c r="A449" s="400">
        <v>45919</v>
      </c>
      <c r="B449" s="393" t="s">
        <v>4148</v>
      </c>
      <c r="C449" s="400">
        <v>45919</v>
      </c>
      <c r="D449" s="394"/>
      <c r="E449" s="394">
        <v>200</v>
      </c>
      <c r="F449" s="396">
        <f t="shared" si="7"/>
        <v>32132.870000000035</v>
      </c>
    </row>
    <row r="450" spans="1:6">
      <c r="A450" s="400">
        <v>45919</v>
      </c>
      <c r="B450" s="393" t="s">
        <v>4147</v>
      </c>
      <c r="C450" s="400">
        <v>45919</v>
      </c>
      <c r="D450" s="394"/>
      <c r="E450" s="394">
        <v>-200</v>
      </c>
      <c r="F450" s="396">
        <f t="shared" si="7"/>
        <v>31932.870000000035</v>
      </c>
    </row>
    <row r="451" spans="1:6">
      <c r="A451" s="400">
        <v>45919</v>
      </c>
      <c r="B451" s="393" t="s">
        <v>4149</v>
      </c>
      <c r="C451" s="400">
        <v>45919</v>
      </c>
      <c r="D451" s="394"/>
      <c r="E451" s="394">
        <v>200</v>
      </c>
      <c r="F451" s="396">
        <f t="shared" si="7"/>
        <v>32132.870000000035</v>
      </c>
    </row>
    <row r="452" spans="1:6">
      <c r="A452" s="400">
        <v>45919</v>
      </c>
      <c r="B452" s="393" t="s">
        <v>4150</v>
      </c>
      <c r="C452" s="400">
        <v>45919</v>
      </c>
      <c r="D452" s="394"/>
      <c r="E452" s="394">
        <v>15</v>
      </c>
      <c r="F452" s="396">
        <f t="shared" si="7"/>
        <v>32147.870000000035</v>
      </c>
    </row>
    <row r="453" spans="1:6">
      <c r="A453" s="400">
        <v>45919</v>
      </c>
      <c r="B453" s="393" t="s">
        <v>4149</v>
      </c>
      <c r="C453" s="400">
        <v>45919</v>
      </c>
      <c r="D453" s="394"/>
      <c r="E453" s="394">
        <v>15</v>
      </c>
      <c r="F453" s="396">
        <f t="shared" si="7"/>
        <v>32162.870000000035</v>
      </c>
    </row>
    <row r="454" spans="1:6">
      <c r="A454" s="400">
        <v>45919</v>
      </c>
      <c r="B454" s="393" t="s">
        <v>3753</v>
      </c>
      <c r="C454" s="400">
        <v>45919</v>
      </c>
      <c r="D454" s="394">
        <v>0.21</v>
      </c>
      <c r="E454" s="394"/>
      <c r="F454" s="396">
        <f t="shared" si="7"/>
        <v>32162.660000000036</v>
      </c>
    </row>
    <row r="455" spans="1:6">
      <c r="A455" s="400">
        <v>45922</v>
      </c>
      <c r="B455" s="393" t="s">
        <v>4151</v>
      </c>
      <c r="C455" s="400">
        <v>45922</v>
      </c>
      <c r="D455" s="394"/>
      <c r="E455" s="394">
        <v>260</v>
      </c>
      <c r="F455" s="396">
        <f t="shared" si="7"/>
        <v>32422.660000000036</v>
      </c>
    </row>
    <row r="456" spans="1:6">
      <c r="A456" s="400">
        <v>45922</v>
      </c>
      <c r="B456" s="393" t="s">
        <v>3753</v>
      </c>
      <c r="C456" s="400">
        <v>45922</v>
      </c>
      <c r="D456" s="394">
        <v>0.03</v>
      </c>
      <c r="E456" s="394"/>
      <c r="F456" s="396">
        <f t="shared" si="7"/>
        <v>32422.630000000037</v>
      </c>
    </row>
    <row r="457" spans="1:6">
      <c r="A457" s="400">
        <v>45925</v>
      </c>
      <c r="B457" s="393" t="s">
        <v>4152</v>
      </c>
      <c r="C457" s="400">
        <v>45925</v>
      </c>
      <c r="D457" s="394"/>
      <c r="E457" s="394">
        <v>360</v>
      </c>
      <c r="F457" s="396">
        <f t="shared" si="7"/>
        <v>32782.630000000034</v>
      </c>
    </row>
    <row r="458" spans="1:6">
      <c r="A458" s="400">
        <v>45925</v>
      </c>
      <c r="B458" s="393" t="s">
        <v>4153</v>
      </c>
      <c r="C458" s="400">
        <v>45925</v>
      </c>
      <c r="D458" s="394"/>
      <c r="E458" s="394">
        <v>220</v>
      </c>
      <c r="F458" s="396">
        <f t="shared" si="7"/>
        <v>33002.630000000034</v>
      </c>
    </row>
    <row r="459" spans="1:6">
      <c r="A459" s="400">
        <v>45925</v>
      </c>
      <c r="B459" s="393" t="s">
        <v>4154</v>
      </c>
      <c r="C459" s="400">
        <v>45925</v>
      </c>
      <c r="D459" s="394"/>
      <c r="E459" s="394">
        <v>260</v>
      </c>
      <c r="F459" s="396">
        <f t="shared" si="7"/>
        <v>33262.630000000034</v>
      </c>
    </row>
    <row r="460" spans="1:6">
      <c r="A460" s="400">
        <v>45925</v>
      </c>
      <c r="B460" s="393" t="s">
        <v>4155</v>
      </c>
      <c r="C460" s="400">
        <v>45925</v>
      </c>
      <c r="D460" s="394"/>
      <c r="E460" s="394">
        <v>280</v>
      </c>
      <c r="F460" s="396">
        <f t="shared" si="7"/>
        <v>33542.630000000034</v>
      </c>
    </row>
    <row r="461" spans="1:6">
      <c r="A461" s="400">
        <v>45925</v>
      </c>
      <c r="B461" s="393" t="s">
        <v>3753</v>
      </c>
      <c r="C461" s="400">
        <v>45925</v>
      </c>
      <c r="D461" s="394">
        <v>0.09</v>
      </c>
      <c r="E461" s="394"/>
      <c r="F461" s="396">
        <f t="shared" si="7"/>
        <v>33542.540000000037</v>
      </c>
    </row>
    <row r="462" spans="1:6">
      <c r="A462" s="400">
        <v>45926</v>
      </c>
      <c r="B462" s="393" t="s">
        <v>4156</v>
      </c>
      <c r="C462" s="400">
        <v>45926</v>
      </c>
      <c r="D462" s="394"/>
      <c r="E462" s="394">
        <v>220</v>
      </c>
      <c r="F462" s="396">
        <f t="shared" ref="F462:F525" si="8">F461-D462+E462</f>
        <v>33762.540000000037</v>
      </c>
    </row>
    <row r="463" spans="1:6">
      <c r="A463" s="400">
        <v>45926</v>
      </c>
      <c r="B463" s="393" t="s">
        <v>4157</v>
      </c>
      <c r="C463" s="400">
        <v>45926</v>
      </c>
      <c r="D463" s="394"/>
      <c r="E463" s="394">
        <v>215</v>
      </c>
      <c r="F463" s="396">
        <f t="shared" si="8"/>
        <v>33977.540000000037</v>
      </c>
    </row>
    <row r="464" spans="1:6">
      <c r="A464" s="400">
        <v>45926</v>
      </c>
      <c r="B464" s="393" t="s">
        <v>4158</v>
      </c>
      <c r="C464" s="400">
        <v>45926</v>
      </c>
      <c r="D464" s="394"/>
      <c r="E464" s="394">
        <v>215</v>
      </c>
      <c r="F464" s="396">
        <f t="shared" si="8"/>
        <v>34192.540000000037</v>
      </c>
    </row>
    <row r="465" spans="1:6">
      <c r="A465" s="400">
        <v>45926</v>
      </c>
      <c r="B465" s="393" t="s">
        <v>4159</v>
      </c>
      <c r="C465" s="400">
        <v>45926</v>
      </c>
      <c r="D465" s="394"/>
      <c r="E465" s="394">
        <v>220</v>
      </c>
      <c r="F465" s="396">
        <f t="shared" si="8"/>
        <v>34412.540000000037</v>
      </c>
    </row>
    <row r="466" spans="1:6">
      <c r="A466" s="400">
        <v>45926</v>
      </c>
      <c r="B466" s="393" t="s">
        <v>4160</v>
      </c>
      <c r="C466" s="400">
        <v>45926</v>
      </c>
      <c r="D466" s="394"/>
      <c r="E466" s="394">
        <v>220</v>
      </c>
      <c r="F466" s="396">
        <f t="shared" si="8"/>
        <v>34632.540000000037</v>
      </c>
    </row>
    <row r="467" spans="1:6">
      <c r="A467" s="400">
        <v>45926</v>
      </c>
      <c r="B467" s="393" t="s">
        <v>3753</v>
      </c>
      <c r="C467" s="400">
        <v>45926</v>
      </c>
      <c r="D467" s="394">
        <v>0.15</v>
      </c>
      <c r="E467" s="394"/>
      <c r="F467" s="396">
        <f t="shared" si="8"/>
        <v>34632.390000000036</v>
      </c>
    </row>
    <row r="468" spans="1:6">
      <c r="A468" s="400">
        <v>45929</v>
      </c>
      <c r="B468" s="393" t="s">
        <v>4161</v>
      </c>
      <c r="C468" s="400">
        <v>45929</v>
      </c>
      <c r="D468" s="394"/>
      <c r="E468" s="394">
        <v>260</v>
      </c>
      <c r="F468" s="396">
        <f t="shared" si="8"/>
        <v>34892.390000000036</v>
      </c>
    </row>
    <row r="469" spans="1:6">
      <c r="A469" s="400">
        <v>45929</v>
      </c>
      <c r="B469" s="393" t="s">
        <v>4162</v>
      </c>
      <c r="C469" s="400">
        <v>45929</v>
      </c>
      <c r="D469" s="394"/>
      <c r="E469" s="394">
        <v>220</v>
      </c>
      <c r="F469" s="396">
        <f t="shared" si="8"/>
        <v>35112.390000000036</v>
      </c>
    </row>
    <row r="470" spans="1:6">
      <c r="A470" s="400">
        <v>45929</v>
      </c>
      <c r="B470" s="393" t="s">
        <v>4163</v>
      </c>
      <c r="C470" s="400">
        <v>45929</v>
      </c>
      <c r="D470" s="394"/>
      <c r="E470" s="394">
        <v>220</v>
      </c>
      <c r="F470" s="396">
        <f t="shared" si="8"/>
        <v>35332.390000000036</v>
      </c>
    </row>
    <row r="471" spans="1:6">
      <c r="A471" s="400">
        <v>45929</v>
      </c>
      <c r="B471" s="393" t="s">
        <v>4164</v>
      </c>
      <c r="C471" s="400">
        <v>45929</v>
      </c>
      <c r="D471" s="394"/>
      <c r="E471" s="394">
        <v>260</v>
      </c>
      <c r="F471" s="396">
        <f t="shared" si="8"/>
        <v>35592.390000000036</v>
      </c>
    </row>
    <row r="472" spans="1:6">
      <c r="A472" s="400">
        <v>45929</v>
      </c>
      <c r="B472" s="393" t="s">
        <v>3753</v>
      </c>
      <c r="C472" s="400">
        <v>45929</v>
      </c>
      <c r="D472" s="394">
        <v>0.12</v>
      </c>
      <c r="E472" s="394"/>
      <c r="F472" s="396">
        <f t="shared" si="8"/>
        <v>35592.270000000033</v>
      </c>
    </row>
    <row r="473" spans="1:6">
      <c r="A473" s="400">
        <v>45930</v>
      </c>
      <c r="B473" s="393" t="s">
        <v>4165</v>
      </c>
      <c r="C473" s="400">
        <v>45930</v>
      </c>
      <c r="D473" s="394"/>
      <c r="E473" s="394">
        <v>220</v>
      </c>
      <c r="F473" s="396">
        <f t="shared" si="8"/>
        <v>35812.270000000033</v>
      </c>
    </row>
    <row r="474" spans="1:6">
      <c r="A474" s="400">
        <v>45930</v>
      </c>
      <c r="B474" s="393" t="s">
        <v>4166</v>
      </c>
      <c r="C474" s="400">
        <v>45930</v>
      </c>
      <c r="D474" s="394"/>
      <c r="E474" s="394">
        <v>180</v>
      </c>
      <c r="F474" s="396">
        <f t="shared" si="8"/>
        <v>35992.270000000033</v>
      </c>
    </row>
    <row r="475" spans="1:6">
      <c r="A475" s="400">
        <v>45930</v>
      </c>
      <c r="B475" s="393" t="s">
        <v>4167</v>
      </c>
      <c r="C475" s="400">
        <v>45930</v>
      </c>
      <c r="D475" s="394"/>
      <c r="E475" s="394">
        <v>220</v>
      </c>
      <c r="F475" s="396">
        <f t="shared" si="8"/>
        <v>36212.270000000033</v>
      </c>
    </row>
    <row r="476" spans="1:6">
      <c r="A476" s="400">
        <v>45930</v>
      </c>
      <c r="B476" s="393" t="s">
        <v>4168</v>
      </c>
      <c r="C476" s="400">
        <v>45930</v>
      </c>
      <c r="D476" s="394"/>
      <c r="E476" s="394">
        <v>220</v>
      </c>
      <c r="F476" s="396">
        <f t="shared" si="8"/>
        <v>36432.270000000033</v>
      </c>
    </row>
    <row r="477" spans="1:6">
      <c r="A477" s="400">
        <v>45930</v>
      </c>
      <c r="B477" s="393" t="s">
        <v>4169</v>
      </c>
      <c r="C477" s="400">
        <v>45930</v>
      </c>
      <c r="D477" s="394"/>
      <c r="E477" s="394">
        <v>220</v>
      </c>
      <c r="F477" s="396">
        <f t="shared" si="8"/>
        <v>36652.270000000033</v>
      </c>
    </row>
    <row r="478" spans="1:6">
      <c r="A478" s="400">
        <v>45930</v>
      </c>
      <c r="B478" s="393" t="s">
        <v>4170</v>
      </c>
      <c r="C478" s="400">
        <v>45930</v>
      </c>
      <c r="D478" s="394"/>
      <c r="E478" s="394">
        <v>260</v>
      </c>
      <c r="F478" s="396">
        <f t="shared" si="8"/>
        <v>36912.270000000033</v>
      </c>
    </row>
    <row r="479" spans="1:6">
      <c r="A479" s="400">
        <v>45930</v>
      </c>
      <c r="B479" s="393" t="s">
        <v>4171</v>
      </c>
      <c r="C479" s="400">
        <v>45930</v>
      </c>
      <c r="D479" s="394"/>
      <c r="E479" s="394">
        <v>220</v>
      </c>
      <c r="F479" s="396">
        <f t="shared" si="8"/>
        <v>37132.270000000033</v>
      </c>
    </row>
    <row r="480" spans="1:6">
      <c r="A480" s="400">
        <v>45930</v>
      </c>
      <c r="B480" s="393" t="s">
        <v>4172</v>
      </c>
      <c r="C480" s="400">
        <v>45930</v>
      </c>
      <c r="D480" s="394"/>
      <c r="E480" s="394">
        <v>180</v>
      </c>
      <c r="F480" s="396">
        <f t="shared" si="8"/>
        <v>37312.270000000033</v>
      </c>
    </row>
    <row r="481" spans="1:6">
      <c r="A481" s="400">
        <v>45930</v>
      </c>
      <c r="B481" s="393" t="s">
        <v>4173</v>
      </c>
      <c r="C481" s="400">
        <v>45930</v>
      </c>
      <c r="D481" s="394"/>
      <c r="E481" s="394">
        <v>180</v>
      </c>
      <c r="F481" s="396">
        <f t="shared" si="8"/>
        <v>37492.270000000033</v>
      </c>
    </row>
    <row r="482" spans="1:6">
      <c r="A482" s="400">
        <v>45930</v>
      </c>
      <c r="B482" s="393" t="s">
        <v>4174</v>
      </c>
      <c r="C482" s="400">
        <v>45930</v>
      </c>
      <c r="D482" s="394"/>
      <c r="E482" s="394">
        <v>215</v>
      </c>
      <c r="F482" s="396">
        <f t="shared" si="8"/>
        <v>37707.270000000033</v>
      </c>
    </row>
    <row r="483" spans="1:6">
      <c r="A483" s="400">
        <v>45930</v>
      </c>
      <c r="B483" s="393" t="s">
        <v>4175</v>
      </c>
      <c r="C483" s="400">
        <v>45930</v>
      </c>
      <c r="D483" s="394"/>
      <c r="E483" s="394">
        <v>180</v>
      </c>
      <c r="F483" s="396">
        <f t="shared" si="8"/>
        <v>37887.270000000033</v>
      </c>
    </row>
    <row r="484" spans="1:6">
      <c r="A484" s="400">
        <v>45930</v>
      </c>
      <c r="B484" s="393" t="s">
        <v>4176</v>
      </c>
      <c r="C484" s="400">
        <v>45930</v>
      </c>
      <c r="D484" s="394"/>
      <c r="E484" s="394">
        <v>220</v>
      </c>
      <c r="F484" s="396">
        <f t="shared" si="8"/>
        <v>38107.270000000033</v>
      </c>
    </row>
    <row r="485" spans="1:6">
      <c r="A485" s="400">
        <v>45930</v>
      </c>
      <c r="B485" s="393" t="s">
        <v>4177</v>
      </c>
      <c r="C485" s="400">
        <v>45930</v>
      </c>
      <c r="D485" s="394"/>
      <c r="E485" s="394">
        <v>180</v>
      </c>
      <c r="F485" s="396">
        <f t="shared" si="8"/>
        <v>38287.270000000033</v>
      </c>
    </row>
    <row r="486" spans="1:6">
      <c r="A486" s="400">
        <v>45930</v>
      </c>
      <c r="B486" s="393" t="s">
        <v>3753</v>
      </c>
      <c r="C486" s="400">
        <v>45930</v>
      </c>
      <c r="D486" s="394">
        <v>0.39</v>
      </c>
      <c r="E486" s="394"/>
      <c r="F486" s="396">
        <f t="shared" si="8"/>
        <v>38286.880000000034</v>
      </c>
    </row>
    <row r="487" spans="1:6">
      <c r="A487" s="400">
        <v>45932</v>
      </c>
      <c r="B487" s="393" t="s">
        <v>4178</v>
      </c>
      <c r="C487" s="400">
        <v>45932</v>
      </c>
      <c r="D487" s="394"/>
      <c r="E487" s="394">
        <v>220</v>
      </c>
      <c r="F487" s="396">
        <f t="shared" si="8"/>
        <v>38506.880000000034</v>
      </c>
    </row>
    <row r="488" spans="1:6">
      <c r="A488" s="400">
        <v>45932</v>
      </c>
      <c r="B488" s="393" t="s">
        <v>4179</v>
      </c>
      <c r="C488" s="400">
        <v>45932</v>
      </c>
      <c r="D488" s="394"/>
      <c r="E488" s="394">
        <v>260</v>
      </c>
      <c r="F488" s="396">
        <f t="shared" si="8"/>
        <v>38766.880000000034</v>
      </c>
    </row>
    <row r="489" spans="1:6">
      <c r="A489" s="400">
        <v>45932</v>
      </c>
      <c r="B489" s="393" t="s">
        <v>4180</v>
      </c>
      <c r="C489" s="400">
        <v>45932</v>
      </c>
      <c r="D489" s="394"/>
      <c r="E489" s="394">
        <v>220</v>
      </c>
      <c r="F489" s="396">
        <f t="shared" si="8"/>
        <v>38986.880000000034</v>
      </c>
    </row>
    <row r="490" spans="1:6">
      <c r="A490" s="400">
        <v>45932</v>
      </c>
      <c r="B490" s="393" t="s">
        <v>4181</v>
      </c>
      <c r="C490" s="400">
        <v>45932</v>
      </c>
      <c r="D490" s="394"/>
      <c r="E490" s="394">
        <v>220</v>
      </c>
      <c r="F490" s="396">
        <f t="shared" si="8"/>
        <v>39206.880000000034</v>
      </c>
    </row>
    <row r="491" spans="1:6">
      <c r="A491" s="400">
        <v>45932</v>
      </c>
      <c r="B491" s="393" t="s">
        <v>4182</v>
      </c>
      <c r="C491" s="400">
        <v>45932</v>
      </c>
      <c r="D491" s="394"/>
      <c r="E491" s="394">
        <v>220</v>
      </c>
      <c r="F491" s="396">
        <f t="shared" si="8"/>
        <v>39426.880000000034</v>
      </c>
    </row>
    <row r="492" spans="1:6">
      <c r="A492" s="400">
        <v>45932</v>
      </c>
      <c r="B492" s="393" t="s">
        <v>4183</v>
      </c>
      <c r="C492" s="400">
        <v>45932</v>
      </c>
      <c r="D492" s="394"/>
      <c r="E492" s="394">
        <v>40</v>
      </c>
      <c r="F492" s="396">
        <f t="shared" si="8"/>
        <v>39466.880000000034</v>
      </c>
    </row>
    <row r="493" spans="1:6">
      <c r="A493" s="400">
        <v>45932</v>
      </c>
      <c r="B493" s="393" t="s">
        <v>4184</v>
      </c>
      <c r="C493" s="400">
        <v>45932</v>
      </c>
      <c r="D493" s="394"/>
      <c r="E493" s="394">
        <v>220</v>
      </c>
      <c r="F493" s="396">
        <f t="shared" si="8"/>
        <v>39686.880000000034</v>
      </c>
    </row>
    <row r="494" spans="1:6">
      <c r="A494" s="400">
        <v>45932</v>
      </c>
      <c r="B494" s="393" t="s">
        <v>4185</v>
      </c>
      <c r="C494" s="400">
        <v>45932</v>
      </c>
      <c r="D494" s="394"/>
      <c r="E494" s="394">
        <v>180</v>
      </c>
      <c r="F494" s="396">
        <f t="shared" si="8"/>
        <v>39866.880000000034</v>
      </c>
    </row>
    <row r="495" spans="1:6">
      <c r="A495" s="400">
        <v>45932</v>
      </c>
      <c r="B495" s="393" t="s">
        <v>4186</v>
      </c>
      <c r="C495" s="400">
        <v>45932</v>
      </c>
      <c r="D495" s="394"/>
      <c r="E495" s="394">
        <v>220</v>
      </c>
      <c r="F495" s="396">
        <f t="shared" si="8"/>
        <v>40086.880000000034</v>
      </c>
    </row>
    <row r="496" spans="1:6">
      <c r="A496" s="400">
        <v>45932</v>
      </c>
      <c r="B496" s="393" t="s">
        <v>4187</v>
      </c>
      <c r="C496" s="400">
        <v>45932</v>
      </c>
      <c r="D496" s="394"/>
      <c r="E496" s="394">
        <v>260</v>
      </c>
      <c r="F496" s="396">
        <f t="shared" si="8"/>
        <v>40346.880000000034</v>
      </c>
    </row>
    <row r="497" spans="1:6">
      <c r="A497" s="400">
        <v>45932</v>
      </c>
      <c r="B497" s="393" t="s">
        <v>4188</v>
      </c>
      <c r="C497" s="400">
        <v>45932</v>
      </c>
      <c r="D497" s="394"/>
      <c r="E497" s="394">
        <v>272</v>
      </c>
      <c r="F497" s="396">
        <f t="shared" si="8"/>
        <v>40618.880000000034</v>
      </c>
    </row>
    <row r="498" spans="1:6">
      <c r="A498" s="400">
        <v>45932</v>
      </c>
      <c r="B498" s="393" t="s">
        <v>3753</v>
      </c>
      <c r="C498" s="400">
        <v>45932</v>
      </c>
      <c r="D498" s="394">
        <v>0.33</v>
      </c>
      <c r="E498" s="394"/>
      <c r="F498" s="396">
        <f t="shared" si="8"/>
        <v>40618.550000000032</v>
      </c>
    </row>
    <row r="499" spans="1:6">
      <c r="A499" s="400">
        <v>45933</v>
      </c>
      <c r="B499" s="393" t="s">
        <v>4189</v>
      </c>
      <c r="C499" s="400">
        <v>45933</v>
      </c>
      <c r="D499" s="394"/>
      <c r="E499" s="394">
        <v>180</v>
      </c>
      <c r="F499" s="396">
        <f t="shared" si="8"/>
        <v>40798.550000000032</v>
      </c>
    </row>
    <row r="500" spans="1:6">
      <c r="A500" s="400">
        <v>45933</v>
      </c>
      <c r="B500" s="393" t="s">
        <v>4190</v>
      </c>
      <c r="C500" s="400">
        <v>45933</v>
      </c>
      <c r="D500" s="394"/>
      <c r="E500" s="394">
        <v>220</v>
      </c>
      <c r="F500" s="396">
        <f t="shared" si="8"/>
        <v>41018.550000000032</v>
      </c>
    </row>
    <row r="501" spans="1:6">
      <c r="A501" s="400">
        <v>45933</v>
      </c>
      <c r="B501" s="393" t="s">
        <v>4191</v>
      </c>
      <c r="C501" s="400">
        <v>45933</v>
      </c>
      <c r="D501" s="394"/>
      <c r="E501" s="394">
        <v>274</v>
      </c>
      <c r="F501" s="396">
        <f t="shared" si="8"/>
        <v>41292.550000000032</v>
      </c>
    </row>
    <row r="502" spans="1:6">
      <c r="A502" s="400">
        <v>45933</v>
      </c>
      <c r="B502" s="393" t="s">
        <v>4192</v>
      </c>
      <c r="C502" s="400">
        <v>45933</v>
      </c>
      <c r="D502" s="394"/>
      <c r="E502" s="394">
        <v>274</v>
      </c>
      <c r="F502" s="396">
        <f t="shared" si="8"/>
        <v>41566.550000000032</v>
      </c>
    </row>
    <row r="503" spans="1:6">
      <c r="A503" s="400">
        <v>45933</v>
      </c>
      <c r="B503" s="393" t="s">
        <v>4193</v>
      </c>
      <c r="C503" s="400">
        <v>45933</v>
      </c>
      <c r="D503" s="394"/>
      <c r="E503" s="394">
        <v>220</v>
      </c>
      <c r="F503" s="396">
        <f t="shared" si="8"/>
        <v>41786.550000000032</v>
      </c>
    </row>
    <row r="504" spans="1:6">
      <c r="A504" s="400">
        <v>45933</v>
      </c>
      <c r="B504" s="393" t="s">
        <v>4194</v>
      </c>
      <c r="C504" s="400">
        <v>45933</v>
      </c>
      <c r="D504" s="394"/>
      <c r="E504" s="394">
        <v>220</v>
      </c>
      <c r="F504" s="396">
        <f t="shared" si="8"/>
        <v>42006.550000000032</v>
      </c>
    </row>
    <row r="505" spans="1:6">
      <c r="A505" s="400">
        <v>45933</v>
      </c>
      <c r="B505" s="393" t="s">
        <v>4195</v>
      </c>
      <c r="C505" s="400">
        <v>45933</v>
      </c>
      <c r="D505" s="394"/>
      <c r="E505" s="394">
        <v>220</v>
      </c>
      <c r="F505" s="396">
        <f t="shared" si="8"/>
        <v>42226.550000000032</v>
      </c>
    </row>
    <row r="506" spans="1:6">
      <c r="A506" s="400">
        <v>45933</v>
      </c>
      <c r="B506" s="393" t="s">
        <v>4196</v>
      </c>
      <c r="C506" s="400">
        <v>45933</v>
      </c>
      <c r="D506" s="394"/>
      <c r="E506" s="394">
        <v>220</v>
      </c>
      <c r="F506" s="396">
        <f t="shared" si="8"/>
        <v>42446.550000000032</v>
      </c>
    </row>
    <row r="507" spans="1:6">
      <c r="A507" s="400">
        <v>45933</v>
      </c>
      <c r="B507" s="393" t="s">
        <v>4197</v>
      </c>
      <c r="C507" s="400">
        <v>45933</v>
      </c>
      <c r="D507" s="394"/>
      <c r="E507" s="394">
        <v>220</v>
      </c>
      <c r="F507" s="396">
        <f t="shared" si="8"/>
        <v>42666.550000000032</v>
      </c>
    </row>
    <row r="508" spans="1:6">
      <c r="A508" s="400">
        <v>45933</v>
      </c>
      <c r="B508" s="393" t="s">
        <v>4198</v>
      </c>
      <c r="C508" s="400">
        <v>45933</v>
      </c>
      <c r="D508" s="394"/>
      <c r="E508" s="394">
        <v>220</v>
      </c>
      <c r="F508" s="396">
        <f t="shared" si="8"/>
        <v>42886.550000000032</v>
      </c>
    </row>
    <row r="509" spans="1:6">
      <c r="A509" s="400">
        <v>45933</v>
      </c>
      <c r="B509" s="393" t="s">
        <v>4199</v>
      </c>
      <c r="C509" s="400">
        <v>45933</v>
      </c>
      <c r="D509" s="394"/>
      <c r="E509" s="394">
        <v>215</v>
      </c>
      <c r="F509" s="396">
        <f t="shared" si="8"/>
        <v>43101.550000000032</v>
      </c>
    </row>
    <row r="510" spans="1:6">
      <c r="A510" s="400">
        <v>45933</v>
      </c>
      <c r="B510" s="393" t="s">
        <v>4200</v>
      </c>
      <c r="C510" s="400">
        <v>45933</v>
      </c>
      <c r="D510" s="394"/>
      <c r="E510" s="394">
        <v>180</v>
      </c>
      <c r="F510" s="396">
        <f t="shared" si="8"/>
        <v>43281.550000000032</v>
      </c>
    </row>
    <row r="511" spans="1:6">
      <c r="A511" s="400">
        <v>45933</v>
      </c>
      <c r="B511" s="393" t="s">
        <v>4201</v>
      </c>
      <c r="C511" s="400">
        <v>45933</v>
      </c>
      <c r="D511" s="394"/>
      <c r="E511" s="394">
        <v>180</v>
      </c>
      <c r="F511" s="396">
        <f t="shared" si="8"/>
        <v>43461.550000000032</v>
      </c>
    </row>
    <row r="512" spans="1:6">
      <c r="A512" s="400">
        <v>45933</v>
      </c>
      <c r="B512" s="393" t="s">
        <v>3753</v>
      </c>
      <c r="C512" s="400">
        <v>45933</v>
      </c>
      <c r="D512" s="394">
        <v>0.39</v>
      </c>
      <c r="E512" s="394"/>
      <c r="F512" s="396">
        <f t="shared" si="8"/>
        <v>43461.160000000033</v>
      </c>
    </row>
    <row r="513" spans="1:6">
      <c r="A513" s="400">
        <v>45936</v>
      </c>
      <c r="B513" s="393" t="s">
        <v>4202</v>
      </c>
      <c r="C513" s="400">
        <v>45936</v>
      </c>
      <c r="D513" s="394"/>
      <c r="E513" s="394">
        <v>160</v>
      </c>
      <c r="F513" s="396">
        <f t="shared" si="8"/>
        <v>43621.160000000033</v>
      </c>
    </row>
    <row r="514" spans="1:6">
      <c r="A514" s="400">
        <v>45936</v>
      </c>
      <c r="B514" s="393" t="s">
        <v>3753</v>
      </c>
      <c r="C514" s="400">
        <v>45936</v>
      </c>
      <c r="D514" s="394">
        <v>0.03</v>
      </c>
      <c r="E514" s="394"/>
      <c r="F514" s="396">
        <f t="shared" si="8"/>
        <v>43621.130000000034</v>
      </c>
    </row>
    <row r="515" spans="1:6">
      <c r="A515" s="400">
        <v>45937</v>
      </c>
      <c r="B515" s="393" t="s">
        <v>4203</v>
      </c>
      <c r="C515" s="400">
        <v>45937</v>
      </c>
      <c r="D515" s="394"/>
      <c r="E515" s="394">
        <v>260</v>
      </c>
      <c r="F515" s="396">
        <f t="shared" si="8"/>
        <v>43881.130000000034</v>
      </c>
    </row>
    <row r="516" spans="1:6">
      <c r="A516" s="400">
        <v>45937</v>
      </c>
      <c r="B516" s="393" t="s">
        <v>4204</v>
      </c>
      <c r="C516" s="400">
        <v>45937</v>
      </c>
      <c r="D516" s="394"/>
      <c r="E516" s="394">
        <v>260</v>
      </c>
      <c r="F516" s="396">
        <f t="shared" si="8"/>
        <v>44141.130000000034</v>
      </c>
    </row>
    <row r="517" spans="1:6">
      <c r="A517" s="400">
        <v>45937</v>
      </c>
      <c r="B517" s="393" t="s">
        <v>3753</v>
      </c>
      <c r="C517" s="400">
        <v>45937</v>
      </c>
      <c r="D517" s="394">
        <v>0.06</v>
      </c>
      <c r="E517" s="394"/>
      <c r="F517" s="396">
        <f t="shared" si="8"/>
        <v>44141.070000000036</v>
      </c>
    </row>
    <row r="518" spans="1:6">
      <c r="A518" s="400">
        <v>45938</v>
      </c>
      <c r="B518" s="393" t="s">
        <v>4205</v>
      </c>
      <c r="C518" s="400">
        <v>45938</v>
      </c>
      <c r="D518" s="394"/>
      <c r="E518" s="394">
        <v>160</v>
      </c>
      <c r="F518" s="396">
        <f t="shared" si="8"/>
        <v>44301.070000000036</v>
      </c>
    </row>
    <row r="519" spans="1:6">
      <c r="A519" s="400">
        <v>45938</v>
      </c>
      <c r="B519" s="393" t="s">
        <v>4206</v>
      </c>
      <c r="C519" s="400">
        <v>45938</v>
      </c>
      <c r="D519" s="394"/>
      <c r="E519" s="394">
        <v>260</v>
      </c>
      <c r="F519" s="396">
        <f t="shared" si="8"/>
        <v>44561.070000000036</v>
      </c>
    </row>
    <row r="520" spans="1:6">
      <c r="A520" s="400">
        <v>45938</v>
      </c>
      <c r="B520" s="393" t="s">
        <v>4207</v>
      </c>
      <c r="C520" s="400">
        <v>45938</v>
      </c>
      <c r="D520" s="394"/>
      <c r="E520" s="394">
        <v>260</v>
      </c>
      <c r="F520" s="396">
        <f t="shared" si="8"/>
        <v>44821.070000000036</v>
      </c>
    </row>
    <row r="521" spans="1:6">
      <c r="A521" s="400">
        <v>45938</v>
      </c>
      <c r="B521" s="393" t="s">
        <v>4208</v>
      </c>
      <c r="C521" s="400">
        <v>45938</v>
      </c>
      <c r="D521" s="394"/>
      <c r="E521" s="394">
        <v>260</v>
      </c>
      <c r="F521" s="396">
        <f t="shared" si="8"/>
        <v>45081.070000000036</v>
      </c>
    </row>
    <row r="522" spans="1:6">
      <c r="A522" s="400">
        <v>45938</v>
      </c>
      <c r="B522" s="393" t="s">
        <v>3753</v>
      </c>
      <c r="C522" s="400">
        <v>45938</v>
      </c>
      <c r="D522" s="394">
        <v>0.12</v>
      </c>
      <c r="E522" s="394"/>
      <c r="F522" s="396">
        <f t="shared" si="8"/>
        <v>45080.950000000033</v>
      </c>
    </row>
    <row r="523" spans="1:6">
      <c r="A523" s="400">
        <v>45939</v>
      </c>
      <c r="B523" s="393" t="s">
        <v>4209</v>
      </c>
      <c r="C523" s="400">
        <v>45939</v>
      </c>
      <c r="D523" s="394"/>
      <c r="E523" s="394">
        <v>215</v>
      </c>
      <c r="F523" s="396">
        <f t="shared" si="8"/>
        <v>45295.950000000033</v>
      </c>
    </row>
    <row r="524" spans="1:6">
      <c r="A524" s="400">
        <v>45939</v>
      </c>
      <c r="B524" s="393" t="s">
        <v>4210</v>
      </c>
      <c r="C524" s="400">
        <v>45939</v>
      </c>
      <c r="D524" s="394"/>
      <c r="E524" s="394">
        <v>260</v>
      </c>
      <c r="F524" s="396">
        <f t="shared" si="8"/>
        <v>45555.950000000033</v>
      </c>
    </row>
    <row r="525" spans="1:6">
      <c r="A525" s="400">
        <v>45939</v>
      </c>
      <c r="B525" s="393" t="s">
        <v>3753</v>
      </c>
      <c r="C525" s="400">
        <v>45939</v>
      </c>
      <c r="D525" s="394">
        <v>0.06</v>
      </c>
      <c r="E525" s="394"/>
      <c r="F525" s="396">
        <f t="shared" si="8"/>
        <v>45555.890000000036</v>
      </c>
    </row>
    <row r="526" spans="1:6">
      <c r="A526" s="400">
        <v>45940</v>
      </c>
      <c r="B526" s="393" t="s">
        <v>4211</v>
      </c>
      <c r="C526" s="400">
        <v>45940</v>
      </c>
      <c r="D526" s="394"/>
      <c r="E526" s="394">
        <v>260</v>
      </c>
      <c r="F526" s="396">
        <f t="shared" ref="F526:F589" si="9">F525-D526+E526</f>
        <v>45815.890000000036</v>
      </c>
    </row>
    <row r="527" spans="1:6">
      <c r="A527" s="400">
        <v>45940</v>
      </c>
      <c r="B527" s="393" t="s">
        <v>4212</v>
      </c>
      <c r="C527" s="400">
        <v>45940</v>
      </c>
      <c r="D527" s="394"/>
      <c r="E527" s="394">
        <v>215</v>
      </c>
      <c r="F527" s="396">
        <f t="shared" si="9"/>
        <v>46030.890000000036</v>
      </c>
    </row>
    <row r="528" spans="1:6">
      <c r="A528" s="400">
        <v>45940</v>
      </c>
      <c r="B528" s="393" t="s">
        <v>4213</v>
      </c>
      <c r="C528" s="400">
        <v>45940</v>
      </c>
      <c r="D528" s="394"/>
      <c r="E528" s="394">
        <v>260</v>
      </c>
      <c r="F528" s="396">
        <f t="shared" si="9"/>
        <v>46290.890000000036</v>
      </c>
    </row>
    <row r="529" spans="1:6">
      <c r="A529" s="400">
        <v>45940</v>
      </c>
      <c r="B529" s="393" t="s">
        <v>4214</v>
      </c>
      <c r="C529" s="400">
        <v>45940</v>
      </c>
      <c r="D529" s="394"/>
      <c r="E529" s="394">
        <v>220</v>
      </c>
      <c r="F529" s="396">
        <f t="shared" si="9"/>
        <v>46510.890000000036</v>
      </c>
    </row>
    <row r="530" spans="1:6">
      <c r="A530" s="400">
        <v>45940</v>
      </c>
      <c r="B530" s="393" t="s">
        <v>3753</v>
      </c>
      <c r="C530" s="400">
        <v>45940</v>
      </c>
      <c r="D530" s="394">
        <v>0.12</v>
      </c>
      <c r="E530" s="394"/>
      <c r="F530" s="396">
        <f t="shared" si="9"/>
        <v>46510.770000000033</v>
      </c>
    </row>
    <row r="531" spans="1:6">
      <c r="A531" s="400">
        <v>45943</v>
      </c>
      <c r="B531" s="393" t="s">
        <v>4215</v>
      </c>
      <c r="C531" s="400">
        <v>45943</v>
      </c>
      <c r="D531" s="394"/>
      <c r="E531" s="394">
        <v>180</v>
      </c>
      <c r="F531" s="396">
        <f t="shared" si="9"/>
        <v>46690.770000000033</v>
      </c>
    </row>
    <row r="532" spans="1:6">
      <c r="A532" s="400">
        <v>45943</v>
      </c>
      <c r="B532" s="393" t="s">
        <v>4216</v>
      </c>
      <c r="C532" s="400">
        <v>45943</v>
      </c>
      <c r="D532" s="394"/>
      <c r="E532" s="394">
        <v>190</v>
      </c>
      <c r="F532" s="396">
        <f t="shared" si="9"/>
        <v>46880.770000000033</v>
      </c>
    </row>
    <row r="533" spans="1:6">
      <c r="A533" s="400">
        <v>45943</v>
      </c>
      <c r="B533" s="393" t="s">
        <v>4217</v>
      </c>
      <c r="C533" s="400">
        <v>45943</v>
      </c>
      <c r="D533" s="394"/>
      <c r="E533" s="394">
        <v>180</v>
      </c>
      <c r="F533" s="396">
        <f t="shared" si="9"/>
        <v>47060.770000000033</v>
      </c>
    </row>
    <row r="534" spans="1:6">
      <c r="A534" s="400">
        <v>45943</v>
      </c>
      <c r="B534" s="393" t="s">
        <v>4218</v>
      </c>
      <c r="C534" s="400">
        <v>45943</v>
      </c>
      <c r="D534" s="394"/>
      <c r="E534" s="394">
        <v>180</v>
      </c>
      <c r="F534" s="396">
        <f t="shared" si="9"/>
        <v>47240.770000000033</v>
      </c>
    </row>
    <row r="535" spans="1:6">
      <c r="A535" s="400">
        <v>45943</v>
      </c>
      <c r="B535" s="393" t="s">
        <v>4219</v>
      </c>
      <c r="C535" s="400">
        <v>45943</v>
      </c>
      <c r="D535" s="394"/>
      <c r="E535" s="394">
        <v>215</v>
      </c>
      <c r="F535" s="396">
        <f t="shared" si="9"/>
        <v>47455.770000000033</v>
      </c>
    </row>
    <row r="536" spans="1:6">
      <c r="A536" s="400">
        <v>45943</v>
      </c>
      <c r="B536" s="393" t="s">
        <v>4220</v>
      </c>
      <c r="C536" s="400">
        <v>45943</v>
      </c>
      <c r="D536" s="394"/>
      <c r="E536" s="394">
        <v>220</v>
      </c>
      <c r="F536" s="396">
        <f t="shared" si="9"/>
        <v>47675.770000000033</v>
      </c>
    </row>
    <row r="537" spans="1:6">
      <c r="A537" s="400">
        <v>45943</v>
      </c>
      <c r="B537" s="393" t="s">
        <v>4221</v>
      </c>
      <c r="C537" s="400">
        <v>45943</v>
      </c>
      <c r="D537" s="394"/>
      <c r="E537" s="394">
        <v>220</v>
      </c>
      <c r="F537" s="396">
        <f t="shared" si="9"/>
        <v>47895.770000000033</v>
      </c>
    </row>
    <row r="538" spans="1:6">
      <c r="A538" s="400">
        <v>45943</v>
      </c>
      <c r="B538" s="393" t="s">
        <v>4222</v>
      </c>
      <c r="C538" s="400">
        <v>45943</v>
      </c>
      <c r="D538" s="394"/>
      <c r="E538" s="394">
        <v>220</v>
      </c>
      <c r="F538" s="396">
        <f t="shared" si="9"/>
        <v>48115.770000000033</v>
      </c>
    </row>
    <row r="539" spans="1:6">
      <c r="A539" s="400">
        <v>45943</v>
      </c>
      <c r="B539" s="393" t="s">
        <v>4223</v>
      </c>
      <c r="C539" s="400">
        <v>45943</v>
      </c>
      <c r="D539" s="394"/>
      <c r="E539" s="394">
        <v>180</v>
      </c>
      <c r="F539" s="396">
        <f t="shared" si="9"/>
        <v>48295.770000000033</v>
      </c>
    </row>
    <row r="540" spans="1:6">
      <c r="A540" s="400">
        <v>45943</v>
      </c>
      <c r="B540" s="393" t="s">
        <v>4224</v>
      </c>
      <c r="C540" s="400">
        <v>45943</v>
      </c>
      <c r="D540" s="394"/>
      <c r="E540" s="394">
        <v>180</v>
      </c>
      <c r="F540" s="396">
        <f t="shared" si="9"/>
        <v>48475.770000000033</v>
      </c>
    </row>
    <row r="541" spans="1:6">
      <c r="A541" s="400">
        <v>45943</v>
      </c>
      <c r="B541" s="393" t="s">
        <v>4225</v>
      </c>
      <c r="C541" s="400">
        <v>45943</v>
      </c>
      <c r="D541" s="394"/>
      <c r="E541" s="394">
        <v>220</v>
      </c>
      <c r="F541" s="396">
        <f t="shared" si="9"/>
        <v>48695.770000000033</v>
      </c>
    </row>
    <row r="542" spans="1:6">
      <c r="A542" s="400">
        <v>45943</v>
      </c>
      <c r="B542" s="393" t="s">
        <v>4226</v>
      </c>
      <c r="C542" s="400">
        <v>45943</v>
      </c>
      <c r="D542" s="394"/>
      <c r="E542" s="394">
        <v>220</v>
      </c>
      <c r="F542" s="396">
        <f t="shared" si="9"/>
        <v>48915.770000000033</v>
      </c>
    </row>
    <row r="543" spans="1:6">
      <c r="A543" s="400">
        <v>45943</v>
      </c>
      <c r="B543" s="393" t="s">
        <v>4227</v>
      </c>
      <c r="C543" s="400">
        <v>45943</v>
      </c>
      <c r="D543" s="394"/>
      <c r="E543" s="394">
        <v>180</v>
      </c>
      <c r="F543" s="396">
        <f t="shared" si="9"/>
        <v>49095.770000000033</v>
      </c>
    </row>
    <row r="544" spans="1:6">
      <c r="A544" s="400">
        <v>45943</v>
      </c>
      <c r="B544" s="393" t="s">
        <v>4228</v>
      </c>
      <c r="C544" s="400">
        <v>45943</v>
      </c>
      <c r="D544" s="394"/>
      <c r="E544" s="394">
        <v>220</v>
      </c>
      <c r="F544" s="396">
        <f t="shared" si="9"/>
        <v>49315.770000000033</v>
      </c>
    </row>
    <row r="545" spans="1:6">
      <c r="A545" s="400">
        <v>45943</v>
      </c>
      <c r="B545" s="393" t="s">
        <v>4229</v>
      </c>
      <c r="C545" s="400">
        <v>45943</v>
      </c>
      <c r="D545" s="394"/>
      <c r="E545" s="394">
        <v>180</v>
      </c>
      <c r="F545" s="396">
        <f t="shared" si="9"/>
        <v>49495.770000000033</v>
      </c>
    </row>
    <row r="546" spans="1:6">
      <c r="A546" s="400">
        <v>45943</v>
      </c>
      <c r="B546" s="393" t="s">
        <v>4230</v>
      </c>
      <c r="C546" s="400">
        <v>45943</v>
      </c>
      <c r="D546" s="394"/>
      <c r="E546" s="394">
        <v>180</v>
      </c>
      <c r="F546" s="396">
        <f t="shared" si="9"/>
        <v>49675.770000000033</v>
      </c>
    </row>
    <row r="547" spans="1:6">
      <c r="A547" s="400">
        <v>45943</v>
      </c>
      <c r="B547" s="393" t="s">
        <v>4231</v>
      </c>
      <c r="C547" s="400">
        <v>45943</v>
      </c>
      <c r="D547" s="394"/>
      <c r="E547" s="394">
        <v>232</v>
      </c>
      <c r="F547" s="396">
        <f t="shared" si="9"/>
        <v>49907.770000000033</v>
      </c>
    </row>
    <row r="548" spans="1:6">
      <c r="A548" s="400">
        <v>45943</v>
      </c>
      <c r="B548" s="393" t="s">
        <v>4232</v>
      </c>
      <c r="C548" s="400">
        <v>45943</v>
      </c>
      <c r="D548" s="394"/>
      <c r="E548" s="394">
        <v>220</v>
      </c>
      <c r="F548" s="396">
        <f t="shared" si="9"/>
        <v>50127.770000000033</v>
      </c>
    </row>
    <row r="549" spans="1:6">
      <c r="A549" s="400">
        <v>45943</v>
      </c>
      <c r="B549" s="393" t="s">
        <v>4233</v>
      </c>
      <c r="C549" s="400">
        <v>45943</v>
      </c>
      <c r="D549" s="394"/>
      <c r="E549" s="394">
        <v>20</v>
      </c>
      <c r="F549" s="396">
        <f t="shared" si="9"/>
        <v>50147.770000000033</v>
      </c>
    </row>
    <row r="550" spans="1:6">
      <c r="A550" s="400">
        <v>45943</v>
      </c>
      <c r="B550" s="393" t="s">
        <v>4234</v>
      </c>
      <c r="C550" s="400">
        <v>45943</v>
      </c>
      <c r="D550" s="394"/>
      <c r="E550" s="394">
        <v>220</v>
      </c>
      <c r="F550" s="396">
        <f t="shared" si="9"/>
        <v>50367.770000000033</v>
      </c>
    </row>
    <row r="551" spans="1:6">
      <c r="A551" s="400">
        <v>45943</v>
      </c>
      <c r="B551" s="393" t="s">
        <v>4235</v>
      </c>
      <c r="C551" s="400">
        <v>45943</v>
      </c>
      <c r="D551" s="394"/>
      <c r="E551" s="394">
        <v>180</v>
      </c>
      <c r="F551" s="396">
        <f t="shared" si="9"/>
        <v>50547.770000000033</v>
      </c>
    </row>
    <row r="552" spans="1:6">
      <c r="A552" s="400">
        <v>45943</v>
      </c>
      <c r="B552" s="393" t="s">
        <v>4236</v>
      </c>
      <c r="C552" s="400">
        <v>45943</v>
      </c>
      <c r="D552" s="394"/>
      <c r="E552" s="394">
        <v>180</v>
      </c>
      <c r="F552" s="396">
        <f t="shared" si="9"/>
        <v>50727.770000000033</v>
      </c>
    </row>
    <row r="553" spans="1:6">
      <c r="A553" s="400">
        <v>45943</v>
      </c>
      <c r="B553" s="393" t="s">
        <v>4237</v>
      </c>
      <c r="C553" s="400">
        <v>45943</v>
      </c>
      <c r="D553" s="394"/>
      <c r="E553" s="394">
        <v>180</v>
      </c>
      <c r="F553" s="396">
        <f t="shared" si="9"/>
        <v>50907.770000000033</v>
      </c>
    </row>
    <row r="554" spans="1:6">
      <c r="A554" s="400">
        <v>45943</v>
      </c>
      <c r="B554" s="393" t="s">
        <v>4238</v>
      </c>
      <c r="C554" s="400">
        <v>45943</v>
      </c>
      <c r="D554" s="394"/>
      <c r="E554" s="394">
        <v>180</v>
      </c>
      <c r="F554" s="396">
        <f t="shared" si="9"/>
        <v>51087.770000000033</v>
      </c>
    </row>
    <row r="555" spans="1:6">
      <c r="A555" s="400">
        <v>45943</v>
      </c>
      <c r="B555" s="393" t="s">
        <v>3753</v>
      </c>
      <c r="C555" s="400">
        <v>45943</v>
      </c>
      <c r="D555" s="394">
        <v>0.72</v>
      </c>
      <c r="E555" s="394"/>
      <c r="F555" s="396">
        <f t="shared" si="9"/>
        <v>51087.050000000032</v>
      </c>
    </row>
    <row r="556" spans="1:6">
      <c r="A556" s="400">
        <v>45944</v>
      </c>
      <c r="B556" s="393" t="s">
        <v>4239</v>
      </c>
      <c r="C556" s="400">
        <v>45944</v>
      </c>
      <c r="D556" s="394"/>
      <c r="E556" s="394">
        <v>180</v>
      </c>
      <c r="F556" s="396">
        <f t="shared" si="9"/>
        <v>51267.050000000032</v>
      </c>
    </row>
    <row r="557" spans="1:6">
      <c r="A557" s="400">
        <v>45944</v>
      </c>
      <c r="B557" s="393" t="s">
        <v>4240</v>
      </c>
      <c r="C557" s="400">
        <v>45944</v>
      </c>
      <c r="D557" s="394"/>
      <c r="E557" s="394">
        <v>260</v>
      </c>
      <c r="F557" s="396">
        <f t="shared" si="9"/>
        <v>51527.050000000032</v>
      </c>
    </row>
    <row r="558" spans="1:6">
      <c r="A558" s="400">
        <v>45944</v>
      </c>
      <c r="B558" s="393" t="s">
        <v>4241</v>
      </c>
      <c r="C558" s="400">
        <v>45944</v>
      </c>
      <c r="D558" s="394"/>
      <c r="E558" s="394">
        <v>180</v>
      </c>
      <c r="F558" s="396">
        <f t="shared" si="9"/>
        <v>51707.050000000032</v>
      </c>
    </row>
    <row r="559" spans="1:6">
      <c r="A559" s="400">
        <v>45944</v>
      </c>
      <c r="B559" s="393" t="s">
        <v>4242</v>
      </c>
      <c r="C559" s="400">
        <v>45944</v>
      </c>
      <c r="D559" s="394"/>
      <c r="E559" s="394">
        <v>220</v>
      </c>
      <c r="F559" s="396">
        <f t="shared" si="9"/>
        <v>51927.050000000032</v>
      </c>
    </row>
    <row r="560" spans="1:6">
      <c r="A560" s="400">
        <v>45944</v>
      </c>
      <c r="B560" s="393" t="s">
        <v>4243</v>
      </c>
      <c r="C560" s="400">
        <v>45944</v>
      </c>
      <c r="D560" s="394"/>
      <c r="E560" s="394">
        <v>220</v>
      </c>
      <c r="F560" s="396">
        <f t="shared" si="9"/>
        <v>52147.050000000032</v>
      </c>
    </row>
    <row r="561" spans="1:6">
      <c r="A561" s="400">
        <v>45944</v>
      </c>
      <c r="B561" s="393" t="s">
        <v>4244</v>
      </c>
      <c r="C561" s="400">
        <v>45944</v>
      </c>
      <c r="D561" s="394"/>
      <c r="E561" s="394">
        <v>180</v>
      </c>
      <c r="F561" s="396">
        <f t="shared" si="9"/>
        <v>52327.050000000032</v>
      </c>
    </row>
    <row r="562" spans="1:6">
      <c r="A562" s="400">
        <v>45944</v>
      </c>
      <c r="B562" s="393" t="s">
        <v>4245</v>
      </c>
      <c r="C562" s="400">
        <v>45944</v>
      </c>
      <c r="D562" s="394"/>
      <c r="E562" s="394">
        <v>180</v>
      </c>
      <c r="F562" s="396">
        <f t="shared" si="9"/>
        <v>52507.050000000032</v>
      </c>
    </row>
    <row r="563" spans="1:6">
      <c r="A563" s="400">
        <v>45944</v>
      </c>
      <c r="B563" s="393" t="s">
        <v>4246</v>
      </c>
      <c r="C563" s="400">
        <v>45944</v>
      </c>
      <c r="D563" s="394"/>
      <c r="E563" s="394">
        <v>180</v>
      </c>
      <c r="F563" s="396">
        <f t="shared" si="9"/>
        <v>52687.050000000032</v>
      </c>
    </row>
    <row r="564" spans="1:6">
      <c r="A564" s="400">
        <v>45944</v>
      </c>
      <c r="B564" s="393" t="s">
        <v>4247</v>
      </c>
      <c r="C564" s="400">
        <v>45944</v>
      </c>
      <c r="D564" s="394"/>
      <c r="E564" s="394">
        <v>220</v>
      </c>
      <c r="F564" s="396">
        <f t="shared" si="9"/>
        <v>52907.050000000032</v>
      </c>
    </row>
    <row r="565" spans="1:6">
      <c r="A565" s="400">
        <v>45944</v>
      </c>
      <c r="B565" s="393" t="s">
        <v>4248</v>
      </c>
      <c r="C565" s="400">
        <v>45944</v>
      </c>
      <c r="D565" s="394"/>
      <c r="E565" s="394">
        <v>180</v>
      </c>
      <c r="F565" s="396">
        <f t="shared" si="9"/>
        <v>53087.050000000032</v>
      </c>
    </row>
    <row r="566" spans="1:6">
      <c r="A566" s="400">
        <v>45944</v>
      </c>
      <c r="B566" s="393" t="s">
        <v>4249</v>
      </c>
      <c r="C566" s="400">
        <v>45944</v>
      </c>
      <c r="D566" s="394"/>
      <c r="E566" s="394">
        <v>260</v>
      </c>
      <c r="F566" s="396">
        <f t="shared" si="9"/>
        <v>53347.050000000032</v>
      </c>
    </row>
    <row r="567" spans="1:6">
      <c r="A567" s="400">
        <v>45944</v>
      </c>
      <c r="B567" s="393" t="s">
        <v>4250</v>
      </c>
      <c r="C567" s="400">
        <v>45944</v>
      </c>
      <c r="D567" s="394"/>
      <c r="E567" s="394">
        <v>180</v>
      </c>
      <c r="F567" s="396">
        <f t="shared" si="9"/>
        <v>53527.050000000032</v>
      </c>
    </row>
    <row r="568" spans="1:6">
      <c r="A568" s="400">
        <v>45944</v>
      </c>
      <c r="B568" s="393" t="s">
        <v>4251</v>
      </c>
      <c r="C568" s="400">
        <v>45944</v>
      </c>
      <c r="D568" s="394"/>
      <c r="E568" s="394">
        <v>180</v>
      </c>
      <c r="F568" s="396">
        <f t="shared" si="9"/>
        <v>53707.050000000032</v>
      </c>
    </row>
    <row r="569" spans="1:6">
      <c r="A569" s="400">
        <v>45944</v>
      </c>
      <c r="B569" s="393" t="s">
        <v>4252</v>
      </c>
      <c r="C569" s="400">
        <v>45944</v>
      </c>
      <c r="D569" s="394"/>
      <c r="E569" s="394">
        <v>180</v>
      </c>
      <c r="F569" s="396">
        <f t="shared" si="9"/>
        <v>53887.050000000032</v>
      </c>
    </row>
    <row r="570" spans="1:6">
      <c r="A570" s="400">
        <v>45944</v>
      </c>
      <c r="B570" s="393" t="s">
        <v>4253</v>
      </c>
      <c r="C570" s="400">
        <v>45944</v>
      </c>
      <c r="D570" s="394"/>
      <c r="E570" s="394">
        <v>180</v>
      </c>
      <c r="F570" s="396">
        <f t="shared" si="9"/>
        <v>54067.050000000032</v>
      </c>
    </row>
    <row r="571" spans="1:6">
      <c r="A571" s="400">
        <v>45944</v>
      </c>
      <c r="B571" s="393" t="s">
        <v>4254</v>
      </c>
      <c r="C571" s="400">
        <v>45944</v>
      </c>
      <c r="D571" s="394"/>
      <c r="E571" s="394">
        <v>274</v>
      </c>
      <c r="F571" s="396">
        <f t="shared" si="9"/>
        <v>54341.050000000032</v>
      </c>
    </row>
    <row r="572" spans="1:6">
      <c r="A572" s="400">
        <v>45944</v>
      </c>
      <c r="B572" s="393" t="s">
        <v>4255</v>
      </c>
      <c r="C572" s="400">
        <v>45944</v>
      </c>
      <c r="D572" s="394"/>
      <c r="E572" s="394">
        <v>180</v>
      </c>
      <c r="F572" s="396">
        <f t="shared" si="9"/>
        <v>54521.050000000032</v>
      </c>
    </row>
    <row r="573" spans="1:6">
      <c r="A573" s="400">
        <v>45944</v>
      </c>
      <c r="B573" s="393" t="s">
        <v>4256</v>
      </c>
      <c r="C573" s="400">
        <v>45944</v>
      </c>
      <c r="D573" s="394"/>
      <c r="E573" s="394">
        <v>180</v>
      </c>
      <c r="F573" s="396">
        <f t="shared" si="9"/>
        <v>54701.050000000032</v>
      </c>
    </row>
    <row r="574" spans="1:6">
      <c r="A574" s="400">
        <v>45944</v>
      </c>
      <c r="B574" s="393" t="s">
        <v>4257</v>
      </c>
      <c r="C574" s="400">
        <v>45944</v>
      </c>
      <c r="D574" s="394"/>
      <c r="E574" s="394">
        <v>220</v>
      </c>
      <c r="F574" s="396">
        <f t="shared" si="9"/>
        <v>54921.050000000032</v>
      </c>
    </row>
    <row r="575" spans="1:6">
      <c r="A575" s="400">
        <v>45944</v>
      </c>
      <c r="B575" s="393" t="s">
        <v>4258</v>
      </c>
      <c r="C575" s="400">
        <v>45944</v>
      </c>
      <c r="D575" s="394"/>
      <c r="E575" s="394">
        <v>220</v>
      </c>
      <c r="F575" s="396">
        <f t="shared" si="9"/>
        <v>55141.050000000032</v>
      </c>
    </row>
    <row r="576" spans="1:6">
      <c r="A576" s="400">
        <v>45944</v>
      </c>
      <c r="B576" s="393" t="s">
        <v>4259</v>
      </c>
      <c r="C576" s="400">
        <v>45944</v>
      </c>
      <c r="D576" s="394"/>
      <c r="E576" s="394">
        <v>180</v>
      </c>
      <c r="F576" s="396">
        <f t="shared" si="9"/>
        <v>55321.050000000032</v>
      </c>
    </row>
    <row r="577" spans="1:6">
      <c r="A577" s="400">
        <v>45944</v>
      </c>
      <c r="B577" s="393" t="s">
        <v>4260</v>
      </c>
      <c r="C577" s="400">
        <v>45944</v>
      </c>
      <c r="D577" s="394"/>
      <c r="E577" s="394">
        <v>220</v>
      </c>
      <c r="F577" s="396">
        <f t="shared" si="9"/>
        <v>55541.050000000032</v>
      </c>
    </row>
    <row r="578" spans="1:6">
      <c r="A578" s="400">
        <v>45944</v>
      </c>
      <c r="B578" s="393" t="s">
        <v>4261</v>
      </c>
      <c r="C578" s="400">
        <v>45944</v>
      </c>
      <c r="D578" s="394"/>
      <c r="E578" s="394">
        <v>180</v>
      </c>
      <c r="F578" s="396">
        <f t="shared" si="9"/>
        <v>55721.050000000032</v>
      </c>
    </row>
    <row r="579" spans="1:6">
      <c r="A579" s="400">
        <v>45944</v>
      </c>
      <c r="B579" s="393" t="s">
        <v>4262</v>
      </c>
      <c r="C579" s="400">
        <v>45944</v>
      </c>
      <c r="D579" s="394"/>
      <c r="E579" s="394">
        <v>180</v>
      </c>
      <c r="F579" s="396">
        <f t="shared" si="9"/>
        <v>55901.050000000032</v>
      </c>
    </row>
    <row r="580" spans="1:6">
      <c r="A580" s="400">
        <v>45944</v>
      </c>
      <c r="B580" s="393" t="s">
        <v>4263</v>
      </c>
      <c r="C580" s="400">
        <v>45944</v>
      </c>
      <c r="D580" s="394"/>
      <c r="E580" s="394">
        <v>180</v>
      </c>
      <c r="F580" s="396">
        <f t="shared" si="9"/>
        <v>56081.050000000032</v>
      </c>
    </row>
    <row r="581" spans="1:6">
      <c r="A581" s="400">
        <v>45944</v>
      </c>
      <c r="B581" s="393" t="s">
        <v>4264</v>
      </c>
      <c r="C581" s="400">
        <v>45944</v>
      </c>
      <c r="D581" s="394"/>
      <c r="E581" s="394">
        <v>180</v>
      </c>
      <c r="F581" s="396">
        <f t="shared" si="9"/>
        <v>56261.050000000032</v>
      </c>
    </row>
    <row r="582" spans="1:6">
      <c r="A582" s="400">
        <v>45944</v>
      </c>
      <c r="B582" s="393" t="s">
        <v>4265</v>
      </c>
      <c r="C582" s="400">
        <v>45944</v>
      </c>
      <c r="D582" s="394"/>
      <c r="E582" s="394">
        <v>180</v>
      </c>
      <c r="F582" s="396">
        <f t="shared" si="9"/>
        <v>56441.050000000032</v>
      </c>
    </row>
    <row r="583" spans="1:6">
      <c r="A583" s="400">
        <v>45944</v>
      </c>
      <c r="B583" s="393" t="s">
        <v>4266</v>
      </c>
      <c r="C583" s="400">
        <v>45944</v>
      </c>
      <c r="D583" s="394"/>
      <c r="E583" s="394">
        <v>180</v>
      </c>
      <c r="F583" s="396">
        <f t="shared" si="9"/>
        <v>56621.050000000032</v>
      </c>
    </row>
    <row r="584" spans="1:6">
      <c r="A584" s="400">
        <v>45944</v>
      </c>
      <c r="B584" s="393" t="s">
        <v>4267</v>
      </c>
      <c r="C584" s="400">
        <v>45944</v>
      </c>
      <c r="D584" s="394"/>
      <c r="E584" s="394">
        <v>180</v>
      </c>
      <c r="F584" s="396">
        <f t="shared" si="9"/>
        <v>56801.050000000032</v>
      </c>
    </row>
    <row r="585" spans="1:6">
      <c r="A585" s="400">
        <v>45944</v>
      </c>
      <c r="B585" s="393" t="s">
        <v>4268</v>
      </c>
      <c r="C585" s="400">
        <v>45944</v>
      </c>
      <c r="D585" s="394"/>
      <c r="E585" s="394">
        <v>220</v>
      </c>
      <c r="F585" s="396">
        <f t="shared" si="9"/>
        <v>57021.050000000032</v>
      </c>
    </row>
    <row r="586" spans="1:6">
      <c r="A586" s="400">
        <v>45944</v>
      </c>
      <c r="B586" s="393" t="s">
        <v>4269</v>
      </c>
      <c r="C586" s="400">
        <v>45944</v>
      </c>
      <c r="D586" s="394"/>
      <c r="E586" s="394">
        <v>180</v>
      </c>
      <c r="F586" s="396">
        <f t="shared" si="9"/>
        <v>57201.050000000032</v>
      </c>
    </row>
    <row r="587" spans="1:6">
      <c r="A587" s="400">
        <v>45944</v>
      </c>
      <c r="B587" s="393" t="s">
        <v>4270</v>
      </c>
      <c r="C587" s="400">
        <v>45944</v>
      </c>
      <c r="D587" s="394"/>
      <c r="E587" s="394">
        <v>180</v>
      </c>
      <c r="F587" s="396">
        <f t="shared" si="9"/>
        <v>57381.050000000032</v>
      </c>
    </row>
    <row r="588" spans="1:6">
      <c r="A588" s="400">
        <v>45944</v>
      </c>
      <c r="B588" s="393" t="s">
        <v>4271</v>
      </c>
      <c r="C588" s="400">
        <v>45944</v>
      </c>
      <c r="D588" s="394"/>
      <c r="E588" s="394">
        <v>180</v>
      </c>
      <c r="F588" s="396">
        <f t="shared" si="9"/>
        <v>57561.050000000032</v>
      </c>
    </row>
    <row r="589" spans="1:6">
      <c r="A589" s="400">
        <v>45944</v>
      </c>
      <c r="B589" s="393" t="s">
        <v>3753</v>
      </c>
      <c r="C589" s="400">
        <v>45944</v>
      </c>
      <c r="D589" s="394">
        <v>0.99</v>
      </c>
      <c r="E589" s="394"/>
      <c r="F589" s="396">
        <f t="shared" si="9"/>
        <v>57560.060000000034</v>
      </c>
    </row>
    <row r="590" spans="1:6">
      <c r="A590" s="400">
        <v>45945</v>
      </c>
      <c r="B590" s="393" t="s">
        <v>4272</v>
      </c>
      <c r="C590" s="400">
        <v>45945</v>
      </c>
      <c r="D590" s="394"/>
      <c r="E590" s="394">
        <v>180</v>
      </c>
      <c r="F590" s="396">
        <f t="shared" ref="F590:F653" si="10">F589-D590+E590</f>
        <v>57740.060000000034</v>
      </c>
    </row>
    <row r="591" spans="1:6">
      <c r="A591" s="400">
        <v>45945</v>
      </c>
      <c r="B591" s="393" t="s">
        <v>4273</v>
      </c>
      <c r="C591" s="400">
        <v>45945</v>
      </c>
      <c r="D591" s="394"/>
      <c r="E591" s="394">
        <v>180</v>
      </c>
      <c r="F591" s="396">
        <f t="shared" si="10"/>
        <v>57920.060000000034</v>
      </c>
    </row>
    <row r="592" spans="1:6">
      <c r="A592" s="400">
        <v>45945</v>
      </c>
      <c r="B592" s="393" t="s">
        <v>4274</v>
      </c>
      <c r="C592" s="400">
        <v>45945</v>
      </c>
      <c r="D592" s="394"/>
      <c r="E592" s="394">
        <v>180</v>
      </c>
      <c r="F592" s="396">
        <f t="shared" si="10"/>
        <v>58100.060000000034</v>
      </c>
    </row>
    <row r="593" spans="1:6">
      <c r="A593" s="400">
        <v>45945</v>
      </c>
      <c r="B593" s="393" t="s">
        <v>4275</v>
      </c>
      <c r="C593" s="400">
        <v>45945</v>
      </c>
      <c r="D593" s="394"/>
      <c r="E593" s="394">
        <v>180</v>
      </c>
      <c r="F593" s="396">
        <f t="shared" si="10"/>
        <v>58280.060000000034</v>
      </c>
    </row>
    <row r="594" spans="1:6">
      <c r="A594" s="400">
        <v>45945</v>
      </c>
      <c r="B594" s="393" t="s">
        <v>4276</v>
      </c>
      <c r="C594" s="400">
        <v>45945</v>
      </c>
      <c r="D594" s="394"/>
      <c r="E594" s="394">
        <v>180</v>
      </c>
      <c r="F594" s="396">
        <f t="shared" si="10"/>
        <v>58460.060000000034</v>
      </c>
    </row>
    <row r="595" spans="1:6">
      <c r="A595" s="400">
        <v>45945</v>
      </c>
      <c r="B595" s="393" t="s">
        <v>4277</v>
      </c>
      <c r="C595" s="400">
        <v>45945</v>
      </c>
      <c r="D595" s="394"/>
      <c r="E595" s="394">
        <v>180</v>
      </c>
      <c r="F595" s="396">
        <f t="shared" si="10"/>
        <v>58640.060000000034</v>
      </c>
    </row>
    <row r="596" spans="1:6">
      <c r="A596" s="400">
        <v>45945</v>
      </c>
      <c r="B596" s="393" t="s">
        <v>4278</v>
      </c>
      <c r="C596" s="400">
        <v>45945</v>
      </c>
      <c r="D596" s="394"/>
      <c r="E596" s="394">
        <v>180</v>
      </c>
      <c r="F596" s="396">
        <f t="shared" si="10"/>
        <v>58820.060000000034</v>
      </c>
    </row>
    <row r="597" spans="1:6">
      <c r="A597" s="400">
        <v>45945</v>
      </c>
      <c r="B597" s="393" t="s">
        <v>4279</v>
      </c>
      <c r="C597" s="400">
        <v>45945</v>
      </c>
      <c r="D597" s="394"/>
      <c r="E597" s="394">
        <v>180</v>
      </c>
      <c r="F597" s="396">
        <f t="shared" si="10"/>
        <v>59000.060000000034</v>
      </c>
    </row>
    <row r="598" spans="1:6">
      <c r="A598" s="400">
        <v>45945</v>
      </c>
      <c r="B598" s="393" t="s">
        <v>4280</v>
      </c>
      <c r="C598" s="400">
        <v>45945</v>
      </c>
      <c r="D598" s="394"/>
      <c r="E598" s="394">
        <v>180</v>
      </c>
      <c r="F598" s="396">
        <f t="shared" si="10"/>
        <v>59180.060000000034</v>
      </c>
    </row>
    <row r="599" spans="1:6">
      <c r="A599" s="400">
        <v>45945</v>
      </c>
      <c r="B599" s="393" t="s">
        <v>4281</v>
      </c>
      <c r="C599" s="400">
        <v>45945</v>
      </c>
      <c r="D599" s="394"/>
      <c r="E599" s="394">
        <v>220</v>
      </c>
      <c r="F599" s="396">
        <f t="shared" si="10"/>
        <v>59400.060000000034</v>
      </c>
    </row>
    <row r="600" spans="1:6">
      <c r="A600" s="400">
        <v>45945</v>
      </c>
      <c r="B600" s="393" t="s">
        <v>4282</v>
      </c>
      <c r="C600" s="400">
        <v>45945</v>
      </c>
      <c r="D600" s="394"/>
      <c r="E600" s="394">
        <v>180</v>
      </c>
      <c r="F600" s="396">
        <f t="shared" si="10"/>
        <v>59580.060000000034</v>
      </c>
    </row>
    <row r="601" spans="1:6">
      <c r="A601" s="400">
        <v>45945</v>
      </c>
      <c r="B601" s="393" t="s">
        <v>4283</v>
      </c>
      <c r="C601" s="400">
        <v>45945</v>
      </c>
      <c r="D601" s="394"/>
      <c r="E601" s="394">
        <v>180</v>
      </c>
      <c r="F601" s="396">
        <f t="shared" si="10"/>
        <v>59760.060000000034</v>
      </c>
    </row>
    <row r="602" spans="1:6">
      <c r="A602" s="400">
        <v>45945</v>
      </c>
      <c r="B602" s="393" t="s">
        <v>4284</v>
      </c>
      <c r="C602" s="400">
        <v>45945</v>
      </c>
      <c r="D602" s="394"/>
      <c r="E602" s="394">
        <v>180</v>
      </c>
      <c r="F602" s="396">
        <f t="shared" si="10"/>
        <v>59940.060000000034</v>
      </c>
    </row>
    <row r="603" spans="1:6">
      <c r="A603" s="400">
        <v>45945</v>
      </c>
      <c r="B603" s="393" t="s">
        <v>4285</v>
      </c>
      <c r="C603" s="400">
        <v>45945</v>
      </c>
      <c r="D603" s="394"/>
      <c r="E603" s="394">
        <v>180</v>
      </c>
      <c r="F603" s="396">
        <f t="shared" si="10"/>
        <v>60120.060000000034</v>
      </c>
    </row>
    <row r="604" spans="1:6">
      <c r="A604" s="400">
        <v>45945</v>
      </c>
      <c r="B604" s="393" t="s">
        <v>4286</v>
      </c>
      <c r="C604" s="400">
        <v>45945</v>
      </c>
      <c r="D604" s="394"/>
      <c r="E604" s="394">
        <v>180</v>
      </c>
      <c r="F604" s="396">
        <f t="shared" si="10"/>
        <v>60300.060000000034</v>
      </c>
    </row>
    <row r="605" spans="1:6">
      <c r="A605" s="400">
        <v>45945</v>
      </c>
      <c r="B605" s="393" t="s">
        <v>4287</v>
      </c>
      <c r="C605" s="400">
        <v>45945</v>
      </c>
      <c r="D605" s="394"/>
      <c r="E605" s="394">
        <v>35</v>
      </c>
      <c r="F605" s="396">
        <f t="shared" si="10"/>
        <v>60335.060000000034</v>
      </c>
    </row>
    <row r="606" spans="1:6">
      <c r="A606" s="400">
        <v>45945</v>
      </c>
      <c r="B606" s="393" t="s">
        <v>4288</v>
      </c>
      <c r="C606" s="400">
        <v>45945</v>
      </c>
      <c r="D606" s="394"/>
      <c r="E606" s="394">
        <v>180</v>
      </c>
      <c r="F606" s="396">
        <f t="shared" si="10"/>
        <v>60515.060000000034</v>
      </c>
    </row>
    <row r="607" spans="1:6">
      <c r="A607" s="400">
        <v>45945</v>
      </c>
      <c r="B607" s="393" t="s">
        <v>4289</v>
      </c>
      <c r="C607" s="400">
        <v>45945</v>
      </c>
      <c r="D607" s="394"/>
      <c r="E607" s="394">
        <v>180</v>
      </c>
      <c r="F607" s="396">
        <f t="shared" si="10"/>
        <v>60695.060000000034</v>
      </c>
    </row>
    <row r="608" spans="1:6">
      <c r="A608" s="400">
        <v>45945</v>
      </c>
      <c r="B608" s="393" t="s">
        <v>4290</v>
      </c>
      <c r="C608" s="400">
        <v>45945</v>
      </c>
      <c r="D608" s="394"/>
      <c r="E608" s="394">
        <v>180</v>
      </c>
      <c r="F608" s="396">
        <f t="shared" si="10"/>
        <v>60875.060000000034</v>
      </c>
    </row>
    <row r="609" spans="1:6">
      <c r="A609" s="400">
        <v>45945</v>
      </c>
      <c r="B609" s="393" t="s">
        <v>4291</v>
      </c>
      <c r="C609" s="400">
        <v>45945</v>
      </c>
      <c r="D609" s="394"/>
      <c r="E609" s="394">
        <v>180</v>
      </c>
      <c r="F609" s="396">
        <f t="shared" si="10"/>
        <v>61055.060000000034</v>
      </c>
    </row>
    <row r="610" spans="1:6">
      <c r="A610" s="400">
        <v>45945</v>
      </c>
      <c r="B610" s="393" t="s">
        <v>4292</v>
      </c>
      <c r="C610" s="400">
        <v>45945</v>
      </c>
      <c r="D610" s="394"/>
      <c r="E610" s="394">
        <v>180</v>
      </c>
      <c r="F610" s="396">
        <f t="shared" si="10"/>
        <v>61235.060000000034</v>
      </c>
    </row>
    <row r="611" spans="1:6">
      <c r="A611" s="400">
        <v>45945</v>
      </c>
      <c r="B611" s="393" t="s">
        <v>4293</v>
      </c>
      <c r="C611" s="400">
        <v>45945</v>
      </c>
      <c r="D611" s="394"/>
      <c r="E611" s="394">
        <v>180</v>
      </c>
      <c r="F611" s="396">
        <f t="shared" si="10"/>
        <v>61415.060000000034</v>
      </c>
    </row>
    <row r="612" spans="1:6">
      <c r="A612" s="400">
        <v>45945</v>
      </c>
      <c r="B612" s="393" t="s">
        <v>4294</v>
      </c>
      <c r="C612" s="400">
        <v>45945</v>
      </c>
      <c r="D612" s="394"/>
      <c r="E612" s="394">
        <v>180</v>
      </c>
      <c r="F612" s="396">
        <f t="shared" si="10"/>
        <v>61595.060000000034</v>
      </c>
    </row>
    <row r="613" spans="1:6">
      <c r="A613" s="400">
        <v>45945</v>
      </c>
      <c r="B613" s="393" t="s">
        <v>4295</v>
      </c>
      <c r="C613" s="400">
        <v>45945</v>
      </c>
      <c r="D613" s="394"/>
      <c r="E613" s="394">
        <v>227</v>
      </c>
      <c r="F613" s="396">
        <f t="shared" si="10"/>
        <v>61822.060000000034</v>
      </c>
    </row>
    <row r="614" spans="1:6">
      <c r="A614" s="400">
        <v>45945</v>
      </c>
      <c r="B614" s="393" t="s">
        <v>4296</v>
      </c>
      <c r="C614" s="400">
        <v>45945</v>
      </c>
      <c r="D614" s="394"/>
      <c r="E614" s="394">
        <v>227</v>
      </c>
      <c r="F614" s="396">
        <f t="shared" si="10"/>
        <v>62049.060000000034</v>
      </c>
    </row>
    <row r="615" spans="1:6">
      <c r="A615" s="400">
        <v>45945</v>
      </c>
      <c r="B615" s="393" t="s">
        <v>4297</v>
      </c>
      <c r="C615" s="400">
        <v>45945</v>
      </c>
      <c r="D615" s="394"/>
      <c r="E615" s="394">
        <v>180</v>
      </c>
      <c r="F615" s="396">
        <f t="shared" si="10"/>
        <v>62229.060000000034</v>
      </c>
    </row>
    <row r="616" spans="1:6">
      <c r="A616" s="400">
        <v>45945</v>
      </c>
      <c r="B616" s="393" t="s">
        <v>4298</v>
      </c>
      <c r="C616" s="400">
        <v>45945</v>
      </c>
      <c r="D616" s="394"/>
      <c r="E616" s="394">
        <v>220</v>
      </c>
      <c r="F616" s="396">
        <f t="shared" si="10"/>
        <v>62449.060000000034</v>
      </c>
    </row>
    <row r="617" spans="1:6">
      <c r="A617" s="400">
        <v>45945</v>
      </c>
      <c r="B617" s="393" t="s">
        <v>4299</v>
      </c>
      <c r="C617" s="400">
        <v>45945</v>
      </c>
      <c r="D617" s="394"/>
      <c r="E617" s="394">
        <v>180</v>
      </c>
      <c r="F617" s="396">
        <f t="shared" si="10"/>
        <v>62629.060000000034</v>
      </c>
    </row>
    <row r="618" spans="1:6">
      <c r="A618" s="400">
        <v>45945</v>
      </c>
      <c r="B618" s="393" t="s">
        <v>4300</v>
      </c>
      <c r="C618" s="400">
        <v>45945</v>
      </c>
      <c r="D618" s="394"/>
      <c r="E618" s="394">
        <v>260</v>
      </c>
      <c r="F618" s="396">
        <f t="shared" si="10"/>
        <v>62889.060000000034</v>
      </c>
    </row>
    <row r="619" spans="1:6">
      <c r="A619" s="400">
        <v>45945</v>
      </c>
      <c r="B619" s="393" t="s">
        <v>4301</v>
      </c>
      <c r="C619" s="400">
        <v>45945</v>
      </c>
      <c r="D619" s="394"/>
      <c r="E619" s="394">
        <v>180</v>
      </c>
      <c r="F619" s="396">
        <f t="shared" si="10"/>
        <v>63069.060000000034</v>
      </c>
    </row>
    <row r="620" spans="1:6">
      <c r="A620" s="400">
        <v>45945</v>
      </c>
      <c r="B620" s="393" t="s">
        <v>4302</v>
      </c>
      <c r="C620" s="400">
        <v>45945</v>
      </c>
      <c r="D620" s="394"/>
      <c r="E620" s="394">
        <v>260</v>
      </c>
      <c r="F620" s="396">
        <f t="shared" si="10"/>
        <v>63329.060000000034</v>
      </c>
    </row>
    <row r="621" spans="1:6">
      <c r="A621" s="400">
        <v>45945</v>
      </c>
      <c r="B621" s="393" t="s">
        <v>4303</v>
      </c>
      <c r="C621" s="400">
        <v>45945</v>
      </c>
      <c r="D621" s="394"/>
      <c r="E621" s="394">
        <v>180</v>
      </c>
      <c r="F621" s="396">
        <f t="shared" si="10"/>
        <v>63509.060000000034</v>
      </c>
    </row>
    <row r="622" spans="1:6">
      <c r="A622" s="400">
        <v>45945</v>
      </c>
      <c r="B622" s="393" t="s">
        <v>4304</v>
      </c>
      <c r="C622" s="400">
        <v>45945</v>
      </c>
      <c r="D622" s="394"/>
      <c r="E622" s="394">
        <v>180</v>
      </c>
      <c r="F622" s="396">
        <f t="shared" si="10"/>
        <v>63689.060000000034</v>
      </c>
    </row>
    <row r="623" spans="1:6">
      <c r="A623" s="400">
        <v>45945</v>
      </c>
      <c r="B623" s="393" t="s">
        <v>4305</v>
      </c>
      <c r="C623" s="400">
        <v>45945</v>
      </c>
      <c r="D623" s="394"/>
      <c r="E623" s="394">
        <v>250</v>
      </c>
      <c r="F623" s="396">
        <f t="shared" si="10"/>
        <v>63939.060000000034</v>
      </c>
    </row>
    <row r="624" spans="1:6">
      <c r="A624" s="400">
        <v>45945</v>
      </c>
      <c r="B624" s="393" t="s">
        <v>4306</v>
      </c>
      <c r="C624" s="400">
        <v>45945</v>
      </c>
      <c r="D624" s="394"/>
      <c r="E624" s="394">
        <v>180</v>
      </c>
      <c r="F624" s="396">
        <f t="shared" si="10"/>
        <v>64119.060000000034</v>
      </c>
    </row>
    <row r="625" spans="1:6">
      <c r="A625" s="400">
        <v>45945</v>
      </c>
      <c r="B625" s="393" t="s">
        <v>4307</v>
      </c>
      <c r="C625" s="400">
        <v>45945</v>
      </c>
      <c r="D625" s="394"/>
      <c r="E625" s="394">
        <v>180</v>
      </c>
      <c r="F625" s="396">
        <f t="shared" si="10"/>
        <v>64299.060000000034</v>
      </c>
    </row>
    <row r="626" spans="1:6">
      <c r="A626" s="400">
        <v>45945</v>
      </c>
      <c r="B626" s="393" t="s">
        <v>4308</v>
      </c>
      <c r="C626" s="400">
        <v>45945</v>
      </c>
      <c r="D626" s="394"/>
      <c r="E626" s="394">
        <v>180</v>
      </c>
      <c r="F626" s="396">
        <f t="shared" si="10"/>
        <v>64479.060000000034</v>
      </c>
    </row>
    <row r="627" spans="1:6">
      <c r="A627" s="400">
        <v>45945</v>
      </c>
      <c r="B627" s="393" t="s">
        <v>4307</v>
      </c>
      <c r="C627" s="400">
        <v>45945</v>
      </c>
      <c r="D627" s="394"/>
      <c r="E627" s="394">
        <v>-180</v>
      </c>
      <c r="F627" s="396">
        <f t="shared" si="10"/>
        <v>64299.060000000034</v>
      </c>
    </row>
    <row r="628" spans="1:6">
      <c r="A628" s="400">
        <v>45945</v>
      </c>
      <c r="B628" s="393" t="s">
        <v>4309</v>
      </c>
      <c r="C628" s="400">
        <v>45945</v>
      </c>
      <c r="D628" s="394"/>
      <c r="E628" s="394">
        <v>180</v>
      </c>
      <c r="F628" s="396">
        <f t="shared" si="10"/>
        <v>64479.060000000034</v>
      </c>
    </row>
    <row r="629" spans="1:6">
      <c r="A629" s="400">
        <v>45945</v>
      </c>
      <c r="B629" s="393" t="s">
        <v>4310</v>
      </c>
      <c r="C629" s="400">
        <v>45945</v>
      </c>
      <c r="D629" s="394"/>
      <c r="E629" s="394">
        <v>180</v>
      </c>
      <c r="F629" s="396">
        <f t="shared" si="10"/>
        <v>64659.060000000034</v>
      </c>
    </row>
    <row r="630" spans="1:6">
      <c r="A630" s="400">
        <v>45945</v>
      </c>
      <c r="B630" s="393" t="s">
        <v>4311</v>
      </c>
      <c r="C630" s="400">
        <v>45945</v>
      </c>
      <c r="D630" s="394"/>
      <c r="E630" s="394">
        <v>180</v>
      </c>
      <c r="F630" s="396">
        <f t="shared" si="10"/>
        <v>64839.060000000034</v>
      </c>
    </row>
    <row r="631" spans="1:6">
      <c r="A631" s="400">
        <v>45945</v>
      </c>
      <c r="B631" s="393" t="s">
        <v>4312</v>
      </c>
      <c r="C631" s="400">
        <v>45945</v>
      </c>
      <c r="D631" s="394"/>
      <c r="E631" s="394">
        <v>180</v>
      </c>
      <c r="F631" s="396">
        <f t="shared" si="10"/>
        <v>65019.060000000034</v>
      </c>
    </row>
    <row r="632" spans="1:6">
      <c r="A632" s="400">
        <v>45945</v>
      </c>
      <c r="B632" s="393" t="s">
        <v>4313</v>
      </c>
      <c r="C632" s="400">
        <v>45945</v>
      </c>
      <c r="D632" s="394"/>
      <c r="E632" s="394">
        <v>215</v>
      </c>
      <c r="F632" s="396">
        <f t="shared" si="10"/>
        <v>65234.060000000034</v>
      </c>
    </row>
    <row r="633" spans="1:6">
      <c r="A633" s="400">
        <v>45945</v>
      </c>
      <c r="B633" s="393" t="s">
        <v>4314</v>
      </c>
      <c r="C633" s="400">
        <v>45945</v>
      </c>
      <c r="D633" s="394"/>
      <c r="E633" s="394">
        <v>220</v>
      </c>
      <c r="F633" s="396">
        <f t="shared" si="10"/>
        <v>65454.060000000034</v>
      </c>
    </row>
    <row r="634" spans="1:6">
      <c r="A634" s="400">
        <v>45945</v>
      </c>
      <c r="B634" s="393" t="s">
        <v>4315</v>
      </c>
      <c r="C634" s="400">
        <v>45945</v>
      </c>
      <c r="D634" s="394"/>
      <c r="E634" s="394">
        <v>180</v>
      </c>
      <c r="F634" s="396">
        <f t="shared" si="10"/>
        <v>65634.060000000027</v>
      </c>
    </row>
    <row r="635" spans="1:6">
      <c r="A635" s="400">
        <v>45945</v>
      </c>
      <c r="B635" s="393" t="s">
        <v>4316</v>
      </c>
      <c r="C635" s="400">
        <v>45945</v>
      </c>
      <c r="D635" s="394"/>
      <c r="E635" s="394">
        <v>220</v>
      </c>
      <c r="F635" s="396">
        <f t="shared" si="10"/>
        <v>65854.060000000027</v>
      </c>
    </row>
    <row r="636" spans="1:6">
      <c r="A636" s="400">
        <v>45945</v>
      </c>
      <c r="B636" s="393" t="s">
        <v>4317</v>
      </c>
      <c r="C636" s="400">
        <v>45945</v>
      </c>
      <c r="D636" s="394"/>
      <c r="E636" s="394">
        <v>180</v>
      </c>
      <c r="F636" s="396">
        <f t="shared" si="10"/>
        <v>66034.060000000027</v>
      </c>
    </row>
    <row r="637" spans="1:6">
      <c r="A637" s="400">
        <v>45945</v>
      </c>
      <c r="B637" s="393" t="s">
        <v>4318</v>
      </c>
      <c r="C637" s="400">
        <v>45945</v>
      </c>
      <c r="D637" s="394"/>
      <c r="E637" s="394">
        <v>180</v>
      </c>
      <c r="F637" s="396">
        <f t="shared" si="10"/>
        <v>66214.060000000027</v>
      </c>
    </row>
    <row r="638" spans="1:6">
      <c r="A638" s="400">
        <v>45945</v>
      </c>
      <c r="B638" s="393" t="s">
        <v>4319</v>
      </c>
      <c r="C638" s="400">
        <v>45945</v>
      </c>
      <c r="D638" s="394"/>
      <c r="E638" s="394">
        <v>220</v>
      </c>
      <c r="F638" s="396">
        <f t="shared" si="10"/>
        <v>66434.060000000027</v>
      </c>
    </row>
    <row r="639" spans="1:6">
      <c r="A639" s="400">
        <v>45945</v>
      </c>
      <c r="B639" s="393" t="s">
        <v>4320</v>
      </c>
      <c r="C639" s="400">
        <v>45945</v>
      </c>
      <c r="D639" s="394"/>
      <c r="E639" s="394">
        <v>180</v>
      </c>
      <c r="F639" s="396">
        <f t="shared" si="10"/>
        <v>66614.060000000027</v>
      </c>
    </row>
    <row r="640" spans="1:6">
      <c r="A640" s="400">
        <v>45945</v>
      </c>
      <c r="B640" s="393" t="s">
        <v>4321</v>
      </c>
      <c r="C640" s="400">
        <v>45945</v>
      </c>
      <c r="D640" s="394"/>
      <c r="E640" s="394">
        <v>180</v>
      </c>
      <c r="F640" s="396">
        <f t="shared" si="10"/>
        <v>66794.060000000027</v>
      </c>
    </row>
    <row r="641" spans="1:6">
      <c r="A641" s="400">
        <v>45945</v>
      </c>
      <c r="B641" s="393" t="s">
        <v>4322</v>
      </c>
      <c r="C641" s="400">
        <v>45945</v>
      </c>
      <c r="D641" s="394"/>
      <c r="E641" s="394">
        <v>180</v>
      </c>
      <c r="F641" s="396">
        <f t="shared" si="10"/>
        <v>66974.060000000027</v>
      </c>
    </row>
    <row r="642" spans="1:6">
      <c r="A642" s="400">
        <v>45945</v>
      </c>
      <c r="B642" s="393" t="s">
        <v>3753</v>
      </c>
      <c r="C642" s="400">
        <v>45945</v>
      </c>
      <c r="D642" s="394">
        <v>1.5</v>
      </c>
      <c r="E642" s="394"/>
      <c r="F642" s="396">
        <f t="shared" si="10"/>
        <v>66972.560000000027</v>
      </c>
    </row>
    <row r="643" spans="1:6">
      <c r="A643" s="400">
        <v>45946</v>
      </c>
      <c r="B643" s="393" t="s">
        <v>4323</v>
      </c>
      <c r="C643" s="400">
        <v>45946</v>
      </c>
      <c r="D643" s="394"/>
      <c r="E643" s="394">
        <v>180</v>
      </c>
      <c r="F643" s="396">
        <f t="shared" si="10"/>
        <v>67152.560000000027</v>
      </c>
    </row>
    <row r="644" spans="1:6">
      <c r="A644" s="400">
        <v>45946</v>
      </c>
      <c r="B644" s="393" t="s">
        <v>4324</v>
      </c>
      <c r="C644" s="400">
        <v>45946</v>
      </c>
      <c r="D644" s="394"/>
      <c r="E644" s="394">
        <v>10</v>
      </c>
      <c r="F644" s="396">
        <f t="shared" si="10"/>
        <v>67162.560000000027</v>
      </c>
    </row>
    <row r="645" spans="1:6">
      <c r="A645" s="400">
        <v>45946</v>
      </c>
      <c r="B645" s="393" t="s">
        <v>4325</v>
      </c>
      <c r="C645" s="400">
        <v>45946</v>
      </c>
      <c r="D645" s="394"/>
      <c r="E645" s="394">
        <v>180</v>
      </c>
      <c r="F645" s="396">
        <f t="shared" si="10"/>
        <v>67342.560000000027</v>
      </c>
    </row>
    <row r="646" spans="1:6">
      <c r="A646" s="400">
        <v>45946</v>
      </c>
      <c r="B646" s="393" t="s">
        <v>4326</v>
      </c>
      <c r="C646" s="400">
        <v>45946</v>
      </c>
      <c r="D646" s="394"/>
      <c r="E646" s="394">
        <v>180</v>
      </c>
      <c r="F646" s="396">
        <f t="shared" si="10"/>
        <v>67522.560000000027</v>
      </c>
    </row>
    <row r="647" spans="1:6">
      <c r="A647" s="400">
        <v>45946</v>
      </c>
      <c r="B647" s="393" t="s">
        <v>4327</v>
      </c>
      <c r="C647" s="400">
        <v>45946</v>
      </c>
      <c r="D647" s="394"/>
      <c r="E647" s="394">
        <v>180</v>
      </c>
      <c r="F647" s="396">
        <f t="shared" si="10"/>
        <v>67702.560000000027</v>
      </c>
    </row>
    <row r="648" spans="1:6">
      <c r="A648" s="400">
        <v>45946</v>
      </c>
      <c r="B648" s="393" t="s">
        <v>4328</v>
      </c>
      <c r="C648" s="400">
        <v>45946</v>
      </c>
      <c r="D648" s="394"/>
      <c r="E648" s="394">
        <v>10</v>
      </c>
      <c r="F648" s="396">
        <f t="shared" si="10"/>
        <v>67712.560000000027</v>
      </c>
    </row>
    <row r="649" spans="1:6">
      <c r="A649" s="400">
        <v>45946</v>
      </c>
      <c r="B649" s="393" t="s">
        <v>4329</v>
      </c>
      <c r="C649" s="400">
        <v>45946</v>
      </c>
      <c r="D649" s="394"/>
      <c r="E649" s="394">
        <v>180</v>
      </c>
      <c r="F649" s="396">
        <f t="shared" si="10"/>
        <v>67892.560000000027</v>
      </c>
    </row>
    <row r="650" spans="1:6">
      <c r="A650" s="400">
        <v>45946</v>
      </c>
      <c r="B650" s="393" t="s">
        <v>4330</v>
      </c>
      <c r="C650" s="400">
        <v>45946</v>
      </c>
      <c r="D650" s="394"/>
      <c r="E650" s="394">
        <v>180</v>
      </c>
      <c r="F650" s="396">
        <f t="shared" si="10"/>
        <v>68072.560000000027</v>
      </c>
    </row>
    <row r="651" spans="1:6">
      <c r="A651" s="400">
        <v>45946</v>
      </c>
      <c r="B651" s="393" t="s">
        <v>4331</v>
      </c>
      <c r="C651" s="400">
        <v>45946</v>
      </c>
      <c r="D651" s="394"/>
      <c r="E651" s="394">
        <v>180</v>
      </c>
      <c r="F651" s="396">
        <f t="shared" si="10"/>
        <v>68252.560000000027</v>
      </c>
    </row>
    <row r="652" spans="1:6">
      <c r="A652" s="400">
        <v>45946</v>
      </c>
      <c r="B652" s="393" t="s">
        <v>4332</v>
      </c>
      <c r="C652" s="400">
        <v>45946</v>
      </c>
      <c r="D652" s="394"/>
      <c r="E652" s="394">
        <v>260</v>
      </c>
      <c r="F652" s="396">
        <f t="shared" si="10"/>
        <v>68512.560000000027</v>
      </c>
    </row>
    <row r="653" spans="1:6">
      <c r="A653" s="400">
        <v>45946</v>
      </c>
      <c r="B653" s="393" t="s">
        <v>4333</v>
      </c>
      <c r="C653" s="400">
        <v>45946</v>
      </c>
      <c r="D653" s="394"/>
      <c r="E653" s="394">
        <v>180</v>
      </c>
      <c r="F653" s="396">
        <f t="shared" si="10"/>
        <v>68692.560000000027</v>
      </c>
    </row>
    <row r="654" spans="1:6">
      <c r="A654" s="400">
        <v>45946</v>
      </c>
      <c r="B654" s="393" t="s">
        <v>4334</v>
      </c>
      <c r="C654" s="400">
        <v>45946</v>
      </c>
      <c r="D654" s="394"/>
      <c r="E654" s="394">
        <v>215</v>
      </c>
      <c r="F654" s="396">
        <f t="shared" ref="F654:F717" si="11">F653-D654+E654</f>
        <v>68907.560000000027</v>
      </c>
    </row>
    <row r="655" spans="1:6">
      <c r="A655" s="400">
        <v>45946</v>
      </c>
      <c r="B655" s="393" t="s">
        <v>4335</v>
      </c>
      <c r="C655" s="400">
        <v>45946</v>
      </c>
      <c r="D655" s="394"/>
      <c r="E655" s="394">
        <v>180</v>
      </c>
      <c r="F655" s="396">
        <f t="shared" si="11"/>
        <v>69087.560000000027</v>
      </c>
    </row>
    <row r="656" spans="1:6">
      <c r="A656" s="400">
        <v>45946</v>
      </c>
      <c r="B656" s="393" t="s">
        <v>4336</v>
      </c>
      <c r="C656" s="400">
        <v>45946</v>
      </c>
      <c r="D656" s="394"/>
      <c r="E656" s="394">
        <v>180</v>
      </c>
      <c r="F656" s="396">
        <f t="shared" si="11"/>
        <v>69267.560000000027</v>
      </c>
    </row>
    <row r="657" spans="1:6">
      <c r="A657" s="400">
        <v>45946</v>
      </c>
      <c r="B657" s="393" t="s">
        <v>4337</v>
      </c>
      <c r="C657" s="400">
        <v>45946</v>
      </c>
      <c r="D657" s="394"/>
      <c r="E657" s="394">
        <v>180</v>
      </c>
      <c r="F657" s="396">
        <f t="shared" si="11"/>
        <v>69447.560000000027</v>
      </c>
    </row>
    <row r="658" spans="1:6">
      <c r="A658" s="400">
        <v>45946</v>
      </c>
      <c r="B658" s="393" t="s">
        <v>4338</v>
      </c>
      <c r="C658" s="400">
        <v>45946</v>
      </c>
      <c r="D658" s="394"/>
      <c r="E658" s="394">
        <v>220</v>
      </c>
      <c r="F658" s="396">
        <f t="shared" si="11"/>
        <v>69667.560000000027</v>
      </c>
    </row>
    <row r="659" spans="1:6">
      <c r="A659" s="400">
        <v>45946</v>
      </c>
      <c r="B659" s="393" t="s">
        <v>4339</v>
      </c>
      <c r="C659" s="400">
        <v>45946</v>
      </c>
      <c r="D659" s="394"/>
      <c r="E659" s="394">
        <v>200</v>
      </c>
      <c r="F659" s="396">
        <f t="shared" si="11"/>
        <v>69867.560000000027</v>
      </c>
    </row>
    <row r="660" spans="1:6">
      <c r="A660" s="400">
        <v>45946</v>
      </c>
      <c r="B660" s="393" t="s">
        <v>4340</v>
      </c>
      <c r="C660" s="400">
        <v>45946</v>
      </c>
      <c r="D660" s="394">
        <v>25</v>
      </c>
      <c r="E660" s="394"/>
      <c r="F660" s="396">
        <f t="shared" si="11"/>
        <v>69842.560000000027</v>
      </c>
    </row>
    <row r="661" spans="1:6">
      <c r="A661" s="400">
        <v>45946</v>
      </c>
      <c r="B661" s="393" t="s">
        <v>4341</v>
      </c>
      <c r="C661" s="400">
        <v>45946</v>
      </c>
      <c r="D661" s="394">
        <v>50</v>
      </c>
      <c r="E661" s="394"/>
      <c r="F661" s="396">
        <f t="shared" si="11"/>
        <v>69792.560000000027</v>
      </c>
    </row>
    <row r="662" spans="1:6">
      <c r="A662" s="400">
        <v>45946</v>
      </c>
      <c r="B662" s="393" t="s">
        <v>4342</v>
      </c>
      <c r="C662" s="400">
        <v>45946</v>
      </c>
      <c r="D662" s="394">
        <v>10000</v>
      </c>
      <c r="E662" s="394"/>
      <c r="F662" s="396">
        <f t="shared" si="11"/>
        <v>59792.560000000027</v>
      </c>
    </row>
    <row r="663" spans="1:6">
      <c r="A663" s="400">
        <v>45946</v>
      </c>
      <c r="B663" s="393" t="s">
        <v>4343</v>
      </c>
      <c r="C663" s="400">
        <v>45946</v>
      </c>
      <c r="D663" s="394">
        <v>15</v>
      </c>
      <c r="E663" s="394"/>
      <c r="F663" s="396">
        <f t="shared" si="11"/>
        <v>59777.560000000027</v>
      </c>
    </row>
    <row r="664" spans="1:6">
      <c r="A664" s="400">
        <v>45946</v>
      </c>
      <c r="B664" s="393" t="s">
        <v>4344</v>
      </c>
      <c r="C664" s="400">
        <v>45946</v>
      </c>
      <c r="D664" s="394">
        <v>3.75</v>
      </c>
      <c r="E664" s="394"/>
      <c r="F664" s="396">
        <f t="shared" si="11"/>
        <v>59773.810000000027</v>
      </c>
    </row>
    <row r="665" spans="1:6">
      <c r="A665" s="400">
        <v>45946</v>
      </c>
      <c r="B665" s="393" t="s">
        <v>4345</v>
      </c>
      <c r="C665" s="400">
        <v>45946</v>
      </c>
      <c r="D665" s="394"/>
      <c r="E665" s="394">
        <v>180</v>
      </c>
      <c r="F665" s="396">
        <f t="shared" si="11"/>
        <v>59953.810000000027</v>
      </c>
    </row>
    <row r="666" spans="1:6">
      <c r="A666" s="400">
        <v>45946</v>
      </c>
      <c r="B666" s="393" t="s">
        <v>4346</v>
      </c>
      <c r="C666" s="400">
        <v>45946</v>
      </c>
      <c r="D666" s="394"/>
      <c r="E666" s="394">
        <v>180</v>
      </c>
      <c r="F666" s="396">
        <f t="shared" si="11"/>
        <v>60133.810000000027</v>
      </c>
    </row>
    <row r="667" spans="1:6">
      <c r="A667" s="400">
        <v>45946</v>
      </c>
      <c r="B667" s="393" t="s">
        <v>4347</v>
      </c>
      <c r="C667" s="400">
        <v>45946</v>
      </c>
      <c r="D667" s="394"/>
      <c r="E667" s="394">
        <v>180</v>
      </c>
      <c r="F667" s="396">
        <f t="shared" si="11"/>
        <v>60313.810000000027</v>
      </c>
    </row>
    <row r="668" spans="1:6">
      <c r="A668" s="400">
        <v>45946</v>
      </c>
      <c r="B668" s="393" t="s">
        <v>4348</v>
      </c>
      <c r="C668" s="400">
        <v>45946</v>
      </c>
      <c r="D668" s="394"/>
      <c r="E668" s="394">
        <v>220</v>
      </c>
      <c r="F668" s="396">
        <f t="shared" si="11"/>
        <v>60533.810000000027</v>
      </c>
    </row>
    <row r="669" spans="1:6">
      <c r="A669" s="400">
        <v>45946</v>
      </c>
      <c r="B669" s="393" t="s">
        <v>4349</v>
      </c>
      <c r="C669" s="400">
        <v>45946</v>
      </c>
      <c r="D669" s="394"/>
      <c r="E669" s="394">
        <v>180</v>
      </c>
      <c r="F669" s="396">
        <f t="shared" si="11"/>
        <v>60713.810000000027</v>
      </c>
    </row>
    <row r="670" spans="1:6">
      <c r="A670" s="400">
        <v>45946</v>
      </c>
      <c r="B670" s="393" t="s">
        <v>3753</v>
      </c>
      <c r="C670" s="400">
        <v>45946</v>
      </c>
      <c r="D670" s="394">
        <v>0.66</v>
      </c>
      <c r="E670" s="394"/>
      <c r="F670" s="396">
        <f t="shared" si="11"/>
        <v>60713.150000000023</v>
      </c>
    </row>
    <row r="671" spans="1:6">
      <c r="A671" s="400">
        <v>45947</v>
      </c>
      <c r="B671" s="393" t="s">
        <v>4350</v>
      </c>
      <c r="C671" s="400">
        <v>45947</v>
      </c>
      <c r="D671" s="394"/>
      <c r="E671" s="394">
        <v>215</v>
      </c>
      <c r="F671" s="396">
        <f t="shared" si="11"/>
        <v>60928.150000000023</v>
      </c>
    </row>
    <row r="672" spans="1:6">
      <c r="A672" s="400">
        <v>45947</v>
      </c>
      <c r="B672" s="393" t="s">
        <v>4351</v>
      </c>
      <c r="C672" s="400">
        <v>45947</v>
      </c>
      <c r="D672" s="394"/>
      <c r="E672" s="394">
        <v>180</v>
      </c>
      <c r="F672" s="396">
        <f t="shared" si="11"/>
        <v>61108.150000000023</v>
      </c>
    </row>
    <row r="673" spans="1:6">
      <c r="A673" s="400">
        <v>45947</v>
      </c>
      <c r="B673" s="393" t="s">
        <v>4352</v>
      </c>
      <c r="C673" s="400">
        <v>45947</v>
      </c>
      <c r="D673" s="394">
        <v>25</v>
      </c>
      <c r="E673" s="394"/>
      <c r="F673" s="396">
        <f t="shared" si="11"/>
        <v>61083.150000000023</v>
      </c>
    </row>
    <row r="674" spans="1:6">
      <c r="A674" s="400">
        <v>45947</v>
      </c>
      <c r="B674" s="393" t="s">
        <v>4353</v>
      </c>
      <c r="C674" s="400">
        <v>45947</v>
      </c>
      <c r="D674" s="394">
        <v>50</v>
      </c>
      <c r="E674" s="394"/>
      <c r="F674" s="396">
        <f t="shared" si="11"/>
        <v>61033.150000000023</v>
      </c>
    </row>
    <row r="675" spans="1:6">
      <c r="A675" s="400">
        <v>45947</v>
      </c>
      <c r="B675" s="393" t="s">
        <v>4354</v>
      </c>
      <c r="C675" s="400">
        <v>45947</v>
      </c>
      <c r="D675" s="394">
        <v>10000</v>
      </c>
      <c r="E675" s="394"/>
      <c r="F675" s="396">
        <f t="shared" si="11"/>
        <v>51033.150000000023</v>
      </c>
    </row>
    <row r="676" spans="1:6">
      <c r="A676" s="400">
        <v>45947</v>
      </c>
      <c r="B676" s="393" t="s">
        <v>4355</v>
      </c>
      <c r="C676" s="400">
        <v>45947</v>
      </c>
      <c r="D676" s="394">
        <v>15</v>
      </c>
      <c r="E676" s="394"/>
      <c r="F676" s="396">
        <f t="shared" si="11"/>
        <v>51018.150000000023</v>
      </c>
    </row>
    <row r="677" spans="1:6">
      <c r="A677" s="400">
        <v>45947</v>
      </c>
      <c r="B677" s="393" t="s">
        <v>4356</v>
      </c>
      <c r="C677" s="400">
        <v>45947</v>
      </c>
      <c r="D677" s="394">
        <v>3.75</v>
      </c>
      <c r="E677" s="394"/>
      <c r="F677" s="396">
        <f t="shared" si="11"/>
        <v>51014.400000000023</v>
      </c>
    </row>
    <row r="678" spans="1:6">
      <c r="A678" s="400">
        <v>45947</v>
      </c>
      <c r="B678" s="393" t="s">
        <v>3753</v>
      </c>
      <c r="C678" s="400">
        <v>45947</v>
      </c>
      <c r="D678" s="394">
        <v>0.06</v>
      </c>
      <c r="E678" s="394"/>
      <c r="F678" s="396">
        <f t="shared" si="11"/>
        <v>51014.340000000026</v>
      </c>
    </row>
    <row r="679" spans="1:6">
      <c r="A679" s="400">
        <v>45950</v>
      </c>
      <c r="B679" s="393" t="s">
        <v>4357</v>
      </c>
      <c r="C679" s="400">
        <v>45950</v>
      </c>
      <c r="D679" s="394"/>
      <c r="E679" s="394">
        <v>260</v>
      </c>
      <c r="F679" s="396">
        <f t="shared" si="11"/>
        <v>51274.340000000026</v>
      </c>
    </row>
    <row r="680" spans="1:6">
      <c r="A680" s="400">
        <v>45950</v>
      </c>
      <c r="B680" s="393" t="s">
        <v>4358</v>
      </c>
      <c r="C680" s="400">
        <v>45950</v>
      </c>
      <c r="D680" s="394"/>
      <c r="E680" s="394">
        <v>215</v>
      </c>
      <c r="F680" s="396">
        <f t="shared" si="11"/>
        <v>51489.340000000026</v>
      </c>
    </row>
    <row r="681" spans="1:6">
      <c r="A681" s="400">
        <v>45950</v>
      </c>
      <c r="B681" s="393" t="s">
        <v>4359</v>
      </c>
      <c r="C681" s="400">
        <v>45950</v>
      </c>
      <c r="D681" s="394">
        <v>25</v>
      </c>
      <c r="E681" s="394"/>
      <c r="F681" s="396">
        <f t="shared" si="11"/>
        <v>51464.340000000026</v>
      </c>
    </row>
    <row r="682" spans="1:6">
      <c r="A682" s="400">
        <v>45950</v>
      </c>
      <c r="B682" s="393" t="s">
        <v>4360</v>
      </c>
      <c r="C682" s="400">
        <v>45950</v>
      </c>
      <c r="D682" s="394">
        <v>50</v>
      </c>
      <c r="E682" s="394"/>
      <c r="F682" s="396">
        <f t="shared" si="11"/>
        <v>51414.340000000026</v>
      </c>
    </row>
    <row r="683" spans="1:6">
      <c r="A683" s="400">
        <v>45950</v>
      </c>
      <c r="B683" s="393" t="s">
        <v>4361</v>
      </c>
      <c r="C683" s="400">
        <v>45950</v>
      </c>
      <c r="D683" s="394">
        <v>10000</v>
      </c>
      <c r="E683" s="394"/>
      <c r="F683" s="396">
        <f t="shared" si="11"/>
        <v>41414.340000000026</v>
      </c>
    </row>
    <row r="684" spans="1:6">
      <c r="A684" s="400">
        <v>45950</v>
      </c>
      <c r="B684" s="393" t="s">
        <v>4362</v>
      </c>
      <c r="C684" s="400">
        <v>45950</v>
      </c>
      <c r="D684" s="394">
        <v>15</v>
      </c>
      <c r="E684" s="394"/>
      <c r="F684" s="396">
        <f t="shared" si="11"/>
        <v>41399.340000000026</v>
      </c>
    </row>
    <row r="685" spans="1:6">
      <c r="A685" s="400">
        <v>45950</v>
      </c>
      <c r="B685" s="393" t="s">
        <v>4363</v>
      </c>
      <c r="C685" s="400">
        <v>45950</v>
      </c>
      <c r="D685" s="394">
        <v>3.75</v>
      </c>
      <c r="E685" s="394"/>
      <c r="F685" s="396">
        <f t="shared" si="11"/>
        <v>41395.590000000026</v>
      </c>
    </row>
    <row r="686" spans="1:6">
      <c r="A686" s="400">
        <v>45950</v>
      </c>
      <c r="B686" s="393" t="s">
        <v>3753</v>
      </c>
      <c r="C686" s="400">
        <v>45950</v>
      </c>
      <c r="D686" s="394">
        <v>0.06</v>
      </c>
      <c r="E686" s="394"/>
      <c r="F686" s="396">
        <f t="shared" si="11"/>
        <v>41395.530000000028</v>
      </c>
    </row>
    <row r="687" spans="1:6">
      <c r="A687" s="400">
        <v>45951</v>
      </c>
      <c r="B687" s="393" t="s">
        <v>4364</v>
      </c>
      <c r="C687" s="400">
        <v>45951</v>
      </c>
      <c r="D687" s="394"/>
      <c r="E687" s="394">
        <v>300</v>
      </c>
      <c r="F687" s="396">
        <f t="shared" si="11"/>
        <v>41695.530000000028</v>
      </c>
    </row>
    <row r="688" spans="1:6">
      <c r="A688" s="400">
        <v>45951</v>
      </c>
      <c r="B688" s="393" t="s">
        <v>4365</v>
      </c>
      <c r="C688" s="400">
        <v>45951</v>
      </c>
      <c r="D688" s="394"/>
      <c r="E688" s="394">
        <v>180</v>
      </c>
      <c r="F688" s="396">
        <f t="shared" si="11"/>
        <v>41875.530000000028</v>
      </c>
    </row>
    <row r="689" spans="1:6">
      <c r="A689" s="400">
        <v>45951</v>
      </c>
      <c r="B689" s="393" t="s">
        <v>4366</v>
      </c>
      <c r="C689" s="400">
        <v>45951</v>
      </c>
      <c r="D689" s="394"/>
      <c r="E689" s="394">
        <v>260</v>
      </c>
      <c r="F689" s="396">
        <f t="shared" si="11"/>
        <v>42135.530000000028</v>
      </c>
    </row>
    <row r="690" spans="1:6">
      <c r="A690" s="400">
        <v>45951</v>
      </c>
      <c r="B690" s="393" t="s">
        <v>4367</v>
      </c>
      <c r="C690" s="400">
        <v>45951</v>
      </c>
      <c r="D690" s="394"/>
      <c r="E690" s="394">
        <v>180</v>
      </c>
      <c r="F690" s="396">
        <f t="shared" si="11"/>
        <v>42315.530000000028</v>
      </c>
    </row>
    <row r="691" spans="1:6">
      <c r="A691" s="400">
        <v>45951</v>
      </c>
      <c r="B691" s="393" t="s">
        <v>4368</v>
      </c>
      <c r="C691" s="400">
        <v>45951</v>
      </c>
      <c r="D691" s="394"/>
      <c r="E691" s="394">
        <v>180</v>
      </c>
      <c r="F691" s="396">
        <f t="shared" si="11"/>
        <v>42495.530000000028</v>
      </c>
    </row>
    <row r="692" spans="1:6">
      <c r="A692" s="400">
        <v>45951</v>
      </c>
      <c r="B692" s="393" t="s">
        <v>4369</v>
      </c>
      <c r="C692" s="400">
        <v>45951</v>
      </c>
      <c r="D692" s="394"/>
      <c r="E692" s="394">
        <v>260</v>
      </c>
      <c r="F692" s="396">
        <f t="shared" si="11"/>
        <v>42755.530000000028</v>
      </c>
    </row>
    <row r="693" spans="1:6">
      <c r="A693" s="400">
        <v>45951</v>
      </c>
      <c r="B693" s="393" t="s">
        <v>4370</v>
      </c>
      <c r="C693" s="400">
        <v>45951</v>
      </c>
      <c r="D693" s="394"/>
      <c r="E693" s="394">
        <v>260</v>
      </c>
      <c r="F693" s="396">
        <f t="shared" si="11"/>
        <v>43015.530000000028</v>
      </c>
    </row>
    <row r="694" spans="1:6">
      <c r="A694" s="400">
        <v>45951</v>
      </c>
      <c r="B694" s="393" t="s">
        <v>4371</v>
      </c>
      <c r="C694" s="400">
        <v>45951</v>
      </c>
      <c r="D694" s="394"/>
      <c r="E694" s="394">
        <v>260</v>
      </c>
      <c r="F694" s="396">
        <f t="shared" si="11"/>
        <v>43275.530000000028</v>
      </c>
    </row>
    <row r="695" spans="1:6">
      <c r="A695" s="400">
        <v>45951</v>
      </c>
      <c r="B695" s="393" t="s">
        <v>4372</v>
      </c>
      <c r="C695" s="400">
        <v>45951</v>
      </c>
      <c r="D695" s="394"/>
      <c r="E695" s="394">
        <v>260</v>
      </c>
      <c r="F695" s="396">
        <f t="shared" si="11"/>
        <v>43535.530000000028</v>
      </c>
    </row>
    <row r="696" spans="1:6">
      <c r="A696" s="400">
        <v>45951</v>
      </c>
      <c r="B696" s="393" t="s">
        <v>4373</v>
      </c>
      <c r="C696" s="400">
        <v>45951</v>
      </c>
      <c r="D696" s="394"/>
      <c r="E696" s="394">
        <v>260</v>
      </c>
      <c r="F696" s="396">
        <f t="shared" si="11"/>
        <v>43795.530000000028</v>
      </c>
    </row>
    <row r="697" spans="1:6">
      <c r="A697" s="400">
        <v>45951</v>
      </c>
      <c r="B697" s="393" t="s">
        <v>3753</v>
      </c>
      <c r="C697" s="400">
        <v>45951</v>
      </c>
      <c r="D697" s="394">
        <v>0.3</v>
      </c>
      <c r="E697" s="394"/>
      <c r="F697" s="396">
        <f t="shared" si="11"/>
        <v>43795.230000000025</v>
      </c>
    </row>
    <row r="698" spans="1:6">
      <c r="A698" s="400">
        <v>45952</v>
      </c>
      <c r="B698" s="393" t="s">
        <v>4374</v>
      </c>
      <c r="C698" s="400">
        <v>45952</v>
      </c>
      <c r="D698" s="394"/>
      <c r="E698" s="394">
        <v>215</v>
      </c>
      <c r="F698" s="396">
        <f t="shared" si="11"/>
        <v>44010.230000000025</v>
      </c>
    </row>
    <row r="699" spans="1:6">
      <c r="A699" s="400">
        <v>45952</v>
      </c>
      <c r="B699" s="393" t="s">
        <v>4375</v>
      </c>
      <c r="C699" s="400">
        <v>45952</v>
      </c>
      <c r="D699" s="394"/>
      <c r="E699" s="394">
        <v>260</v>
      </c>
      <c r="F699" s="396">
        <f t="shared" si="11"/>
        <v>44270.230000000025</v>
      </c>
    </row>
    <row r="700" spans="1:6">
      <c r="A700" s="400">
        <v>45952</v>
      </c>
      <c r="B700" s="393" t="s">
        <v>4376</v>
      </c>
      <c r="C700" s="400">
        <v>45952</v>
      </c>
      <c r="D700" s="394">
        <v>25</v>
      </c>
      <c r="E700" s="394"/>
      <c r="F700" s="396">
        <f t="shared" si="11"/>
        <v>44245.230000000025</v>
      </c>
    </row>
    <row r="701" spans="1:6">
      <c r="A701" s="400">
        <v>45952</v>
      </c>
      <c r="B701" s="393" t="s">
        <v>4377</v>
      </c>
      <c r="C701" s="400">
        <v>45952</v>
      </c>
      <c r="D701" s="394">
        <v>50</v>
      </c>
      <c r="E701" s="394"/>
      <c r="F701" s="396">
        <f t="shared" si="11"/>
        <v>44195.230000000025</v>
      </c>
    </row>
    <row r="702" spans="1:6">
      <c r="A702" s="400">
        <v>45952</v>
      </c>
      <c r="B702" s="393" t="s">
        <v>4378</v>
      </c>
      <c r="C702" s="400">
        <v>45952</v>
      </c>
      <c r="D702" s="394">
        <v>10000</v>
      </c>
      <c r="E702" s="394"/>
      <c r="F702" s="396">
        <f t="shared" si="11"/>
        <v>34195.230000000025</v>
      </c>
    </row>
    <row r="703" spans="1:6">
      <c r="A703" s="400">
        <v>45952</v>
      </c>
      <c r="B703" s="393" t="s">
        <v>4379</v>
      </c>
      <c r="C703" s="400">
        <v>45952</v>
      </c>
      <c r="D703" s="394">
        <v>15</v>
      </c>
      <c r="E703" s="394"/>
      <c r="F703" s="396">
        <f t="shared" si="11"/>
        <v>34180.230000000025</v>
      </c>
    </row>
    <row r="704" spans="1:6">
      <c r="A704" s="400">
        <v>45952</v>
      </c>
      <c r="B704" s="393" t="s">
        <v>4380</v>
      </c>
      <c r="C704" s="400">
        <v>45952</v>
      </c>
      <c r="D704" s="394">
        <v>3.75</v>
      </c>
      <c r="E704" s="394"/>
      <c r="F704" s="396">
        <f t="shared" si="11"/>
        <v>34176.480000000025</v>
      </c>
    </row>
    <row r="705" spans="1:6">
      <c r="A705" s="400">
        <v>45952</v>
      </c>
      <c r="B705" s="393" t="s">
        <v>3753</v>
      </c>
      <c r="C705" s="400">
        <v>45952</v>
      </c>
      <c r="D705" s="394">
        <v>0.06</v>
      </c>
      <c r="E705" s="394"/>
      <c r="F705" s="396">
        <f t="shared" si="11"/>
        <v>34176.420000000027</v>
      </c>
    </row>
    <row r="706" spans="1:6">
      <c r="A706" s="400">
        <v>45953</v>
      </c>
      <c r="B706" s="393" t="s">
        <v>4381</v>
      </c>
      <c r="C706" s="400">
        <v>45953</v>
      </c>
      <c r="D706" s="394"/>
      <c r="E706" s="394">
        <v>270</v>
      </c>
      <c r="F706" s="396">
        <f t="shared" si="11"/>
        <v>34446.420000000027</v>
      </c>
    </row>
    <row r="707" spans="1:6">
      <c r="A707" s="400">
        <v>45953</v>
      </c>
      <c r="B707" s="393" t="s">
        <v>4382</v>
      </c>
      <c r="C707" s="400">
        <v>45953</v>
      </c>
      <c r="D707" s="394"/>
      <c r="E707" s="394">
        <v>200</v>
      </c>
      <c r="F707" s="396">
        <f t="shared" si="11"/>
        <v>34646.420000000027</v>
      </c>
    </row>
    <row r="708" spans="1:6">
      <c r="A708" s="400">
        <v>45953</v>
      </c>
      <c r="B708" s="393" t="s">
        <v>4383</v>
      </c>
      <c r="C708" s="400">
        <v>45953</v>
      </c>
      <c r="D708" s="394"/>
      <c r="E708" s="394">
        <v>80</v>
      </c>
      <c r="F708" s="396">
        <f t="shared" si="11"/>
        <v>34726.420000000027</v>
      </c>
    </row>
    <row r="709" spans="1:6">
      <c r="A709" s="400">
        <v>45953</v>
      </c>
      <c r="B709" s="393" t="s">
        <v>4384</v>
      </c>
      <c r="C709" s="400">
        <v>45953</v>
      </c>
      <c r="D709" s="394"/>
      <c r="E709" s="394">
        <v>180</v>
      </c>
      <c r="F709" s="396">
        <f t="shared" si="11"/>
        <v>34906.420000000027</v>
      </c>
    </row>
    <row r="710" spans="1:6">
      <c r="A710" s="400">
        <v>45953</v>
      </c>
      <c r="B710" s="393" t="s">
        <v>4385</v>
      </c>
      <c r="C710" s="400">
        <v>45953</v>
      </c>
      <c r="D710" s="394"/>
      <c r="E710" s="394">
        <v>180</v>
      </c>
      <c r="F710" s="396">
        <f t="shared" si="11"/>
        <v>35086.420000000027</v>
      </c>
    </row>
    <row r="711" spans="1:6">
      <c r="A711" s="400">
        <v>45953</v>
      </c>
      <c r="B711" s="393" t="s">
        <v>4386</v>
      </c>
      <c r="C711" s="400">
        <v>45953</v>
      </c>
      <c r="D711" s="394"/>
      <c r="E711" s="394">
        <v>180</v>
      </c>
      <c r="F711" s="396">
        <f t="shared" si="11"/>
        <v>35266.420000000027</v>
      </c>
    </row>
    <row r="712" spans="1:6">
      <c r="A712" s="400">
        <v>45953</v>
      </c>
      <c r="B712" s="393" t="s">
        <v>4387</v>
      </c>
      <c r="C712" s="400">
        <v>45953</v>
      </c>
      <c r="D712" s="394"/>
      <c r="E712" s="394">
        <v>180</v>
      </c>
      <c r="F712" s="396">
        <f t="shared" si="11"/>
        <v>35446.420000000027</v>
      </c>
    </row>
    <row r="713" spans="1:6">
      <c r="A713" s="400">
        <v>45953</v>
      </c>
      <c r="B713" s="393" t="s">
        <v>4388</v>
      </c>
      <c r="C713" s="400">
        <v>45953</v>
      </c>
      <c r="D713" s="394"/>
      <c r="E713" s="394">
        <v>210</v>
      </c>
      <c r="F713" s="396">
        <f t="shared" si="11"/>
        <v>35656.420000000027</v>
      </c>
    </row>
    <row r="714" spans="1:6">
      <c r="A714" s="400">
        <v>45953</v>
      </c>
      <c r="B714" s="393" t="s">
        <v>4389</v>
      </c>
      <c r="C714" s="400">
        <v>45953</v>
      </c>
      <c r="D714" s="394">
        <v>25</v>
      </c>
      <c r="E714" s="394"/>
      <c r="F714" s="396">
        <f t="shared" si="11"/>
        <v>35631.420000000027</v>
      </c>
    </row>
    <row r="715" spans="1:6">
      <c r="A715" s="400">
        <v>45953</v>
      </c>
      <c r="B715" s="393" t="s">
        <v>4390</v>
      </c>
      <c r="C715" s="400">
        <v>45953</v>
      </c>
      <c r="D715" s="394">
        <v>50</v>
      </c>
      <c r="E715" s="394"/>
      <c r="F715" s="396">
        <f t="shared" si="11"/>
        <v>35581.420000000027</v>
      </c>
    </row>
    <row r="716" spans="1:6">
      <c r="A716" s="400">
        <v>45953</v>
      </c>
      <c r="B716" s="393" t="s">
        <v>4391</v>
      </c>
      <c r="C716" s="400">
        <v>45953</v>
      </c>
      <c r="D716" s="394">
        <v>10000</v>
      </c>
      <c r="E716" s="394"/>
      <c r="F716" s="396">
        <f t="shared" si="11"/>
        <v>25581.420000000027</v>
      </c>
    </row>
    <row r="717" spans="1:6">
      <c r="A717" s="400">
        <v>45953</v>
      </c>
      <c r="B717" s="393" t="s">
        <v>4392</v>
      </c>
      <c r="C717" s="400">
        <v>45953</v>
      </c>
      <c r="D717" s="394">
        <v>15</v>
      </c>
      <c r="E717" s="394"/>
      <c r="F717" s="396">
        <f t="shared" si="11"/>
        <v>25566.420000000027</v>
      </c>
    </row>
    <row r="718" spans="1:6">
      <c r="A718" s="400">
        <v>45953</v>
      </c>
      <c r="B718" s="393" t="s">
        <v>4393</v>
      </c>
      <c r="C718" s="400">
        <v>45953</v>
      </c>
      <c r="D718" s="394">
        <v>3.75</v>
      </c>
      <c r="E718" s="394"/>
      <c r="F718" s="396">
        <f t="shared" ref="F718:F743" si="12">F717-D718+E718</f>
        <v>25562.670000000027</v>
      </c>
    </row>
    <row r="719" spans="1:6">
      <c r="A719" s="400">
        <v>45953</v>
      </c>
      <c r="B719" s="393" t="s">
        <v>4394</v>
      </c>
      <c r="C719" s="400">
        <v>45953</v>
      </c>
      <c r="D719" s="394"/>
      <c r="E719" s="394">
        <v>180</v>
      </c>
      <c r="F719" s="396">
        <f t="shared" si="12"/>
        <v>25742.670000000027</v>
      </c>
    </row>
    <row r="720" spans="1:6">
      <c r="A720" s="400">
        <v>45953</v>
      </c>
      <c r="B720" s="393" t="s">
        <v>4395</v>
      </c>
      <c r="C720" s="400">
        <v>45953</v>
      </c>
      <c r="D720" s="394"/>
      <c r="E720" s="394">
        <v>180</v>
      </c>
      <c r="F720" s="396">
        <f t="shared" si="12"/>
        <v>25922.670000000027</v>
      </c>
    </row>
    <row r="721" spans="1:6">
      <c r="A721" s="400">
        <v>45953</v>
      </c>
      <c r="B721" s="393" t="s">
        <v>4396</v>
      </c>
      <c r="C721" s="400">
        <v>45953</v>
      </c>
      <c r="D721" s="394"/>
      <c r="E721" s="394">
        <v>227</v>
      </c>
      <c r="F721" s="396">
        <f t="shared" si="12"/>
        <v>26149.670000000027</v>
      </c>
    </row>
    <row r="722" spans="1:6">
      <c r="A722" s="400">
        <v>45953</v>
      </c>
      <c r="B722" s="393" t="s">
        <v>3753</v>
      </c>
      <c r="C722" s="400">
        <v>45953</v>
      </c>
      <c r="D722" s="394">
        <v>0.33</v>
      </c>
      <c r="E722" s="394"/>
      <c r="F722" s="396">
        <f t="shared" si="12"/>
        <v>26149.340000000026</v>
      </c>
    </row>
    <row r="723" spans="1:6">
      <c r="A723" s="400">
        <v>45954</v>
      </c>
      <c r="B723" s="393" t="s">
        <v>4397</v>
      </c>
      <c r="C723" s="400">
        <v>45954</v>
      </c>
      <c r="D723" s="394">
        <v>25</v>
      </c>
      <c r="E723" s="394"/>
      <c r="F723" s="396">
        <f t="shared" si="12"/>
        <v>26124.340000000026</v>
      </c>
    </row>
    <row r="724" spans="1:6">
      <c r="A724" s="400">
        <v>45954</v>
      </c>
      <c r="B724" s="393" t="s">
        <v>4398</v>
      </c>
      <c r="C724" s="400">
        <v>45954</v>
      </c>
      <c r="D724" s="394">
        <v>50</v>
      </c>
      <c r="E724" s="394"/>
      <c r="F724" s="396">
        <f t="shared" si="12"/>
        <v>26074.340000000026</v>
      </c>
    </row>
    <row r="725" spans="1:6">
      <c r="A725" s="400">
        <v>45954</v>
      </c>
      <c r="B725" s="393" t="s">
        <v>4399</v>
      </c>
      <c r="C725" s="400">
        <v>45954</v>
      </c>
      <c r="D725" s="394">
        <v>10000</v>
      </c>
      <c r="E725" s="394"/>
      <c r="F725" s="396">
        <f t="shared" si="12"/>
        <v>16074.340000000026</v>
      </c>
    </row>
    <row r="726" spans="1:6">
      <c r="A726" s="400">
        <v>45954</v>
      </c>
      <c r="B726" s="393" t="s">
        <v>4400</v>
      </c>
      <c r="C726" s="400">
        <v>45954</v>
      </c>
      <c r="D726" s="394">
        <v>15</v>
      </c>
      <c r="E726" s="394"/>
      <c r="F726" s="396">
        <f t="shared" si="12"/>
        <v>16059.340000000026</v>
      </c>
    </row>
    <row r="727" spans="1:6">
      <c r="A727" s="400">
        <v>45954</v>
      </c>
      <c r="B727" s="393" t="s">
        <v>4401</v>
      </c>
      <c r="C727" s="400">
        <v>45954</v>
      </c>
      <c r="D727" s="394">
        <v>3.75</v>
      </c>
      <c r="E727" s="394"/>
      <c r="F727" s="396">
        <f t="shared" si="12"/>
        <v>16055.590000000026</v>
      </c>
    </row>
    <row r="728" spans="1:6">
      <c r="A728" s="400">
        <v>45954</v>
      </c>
      <c r="B728" s="393" t="s">
        <v>4402</v>
      </c>
      <c r="C728" s="400">
        <v>45954</v>
      </c>
      <c r="D728" s="394"/>
      <c r="E728" s="394">
        <v>220</v>
      </c>
      <c r="F728" s="396">
        <f t="shared" si="12"/>
        <v>16275.590000000026</v>
      </c>
    </row>
    <row r="729" spans="1:6">
      <c r="A729" s="400">
        <v>45954</v>
      </c>
      <c r="B729" s="393" t="s">
        <v>4403</v>
      </c>
      <c r="C729" s="400">
        <v>45954</v>
      </c>
      <c r="D729" s="394"/>
      <c r="E729" s="394">
        <v>180</v>
      </c>
      <c r="F729" s="396">
        <f t="shared" si="12"/>
        <v>16455.590000000026</v>
      </c>
    </row>
    <row r="730" spans="1:6">
      <c r="A730" s="400">
        <v>45954</v>
      </c>
      <c r="B730" s="393" t="s">
        <v>3753</v>
      </c>
      <c r="C730" s="400">
        <v>45954</v>
      </c>
      <c r="D730" s="394">
        <v>0.06</v>
      </c>
      <c r="E730" s="394"/>
      <c r="F730" s="396">
        <f t="shared" si="12"/>
        <v>16455.530000000024</v>
      </c>
    </row>
    <row r="731" spans="1:6">
      <c r="A731" s="400">
        <v>45957</v>
      </c>
      <c r="B731" s="393" t="s">
        <v>4404</v>
      </c>
      <c r="C731" s="400">
        <v>45957</v>
      </c>
      <c r="D731" s="394"/>
      <c r="E731" s="394">
        <v>274</v>
      </c>
      <c r="F731" s="396">
        <f t="shared" si="12"/>
        <v>16729.530000000024</v>
      </c>
    </row>
    <row r="732" spans="1:6">
      <c r="A732" s="400">
        <v>45957</v>
      </c>
      <c r="B732" s="393" t="s">
        <v>4405</v>
      </c>
      <c r="C732" s="400">
        <v>45957</v>
      </c>
      <c r="D732" s="394"/>
      <c r="E732" s="394">
        <v>260</v>
      </c>
      <c r="F732" s="396">
        <f t="shared" si="12"/>
        <v>16989.530000000024</v>
      </c>
    </row>
    <row r="733" spans="1:6">
      <c r="A733" s="400">
        <v>45957</v>
      </c>
      <c r="B733" s="393" t="s">
        <v>4406</v>
      </c>
      <c r="C733" s="400">
        <v>45957</v>
      </c>
      <c r="D733" s="394"/>
      <c r="E733" s="394">
        <v>180</v>
      </c>
      <c r="F733" s="396">
        <f t="shared" si="12"/>
        <v>17169.530000000024</v>
      </c>
    </row>
    <row r="734" spans="1:6">
      <c r="A734" s="400">
        <v>45957</v>
      </c>
      <c r="B734" s="393" t="s">
        <v>4407</v>
      </c>
      <c r="C734" s="400">
        <v>45957</v>
      </c>
      <c r="D734" s="394"/>
      <c r="E734" s="394">
        <v>260</v>
      </c>
      <c r="F734" s="396">
        <f t="shared" si="12"/>
        <v>17429.530000000024</v>
      </c>
    </row>
    <row r="735" spans="1:6">
      <c r="A735" s="400">
        <v>45957</v>
      </c>
      <c r="B735" s="393" t="s">
        <v>4408</v>
      </c>
      <c r="C735" s="400">
        <v>45957</v>
      </c>
      <c r="D735" s="394"/>
      <c r="E735" s="394">
        <v>260</v>
      </c>
      <c r="F735" s="396">
        <f t="shared" si="12"/>
        <v>17689.530000000024</v>
      </c>
    </row>
    <row r="736" spans="1:6">
      <c r="A736" s="400">
        <v>45957</v>
      </c>
      <c r="B736" s="393" t="s">
        <v>4409</v>
      </c>
      <c r="C736" s="400">
        <v>45957</v>
      </c>
      <c r="D736" s="394">
        <v>25</v>
      </c>
      <c r="E736" s="394"/>
      <c r="F736" s="396">
        <f t="shared" si="12"/>
        <v>17664.530000000024</v>
      </c>
    </row>
    <row r="737" spans="1:6">
      <c r="A737" s="400">
        <v>45957</v>
      </c>
      <c r="B737" s="393" t="s">
        <v>4410</v>
      </c>
      <c r="C737" s="400">
        <v>45957</v>
      </c>
      <c r="D737" s="394">
        <v>50</v>
      </c>
      <c r="E737" s="394"/>
      <c r="F737" s="396">
        <f t="shared" si="12"/>
        <v>17614.530000000024</v>
      </c>
    </row>
    <row r="738" spans="1:6">
      <c r="A738" s="400">
        <v>45957</v>
      </c>
      <c r="B738" s="393" t="s">
        <v>4411</v>
      </c>
      <c r="C738" s="400">
        <v>45957</v>
      </c>
      <c r="D738" s="394">
        <v>10000</v>
      </c>
      <c r="E738" s="394"/>
      <c r="F738" s="396">
        <f t="shared" si="12"/>
        <v>7614.5300000000243</v>
      </c>
    </row>
    <row r="739" spans="1:6">
      <c r="A739" s="400">
        <v>45957</v>
      </c>
      <c r="B739" s="393" t="s">
        <v>4412</v>
      </c>
      <c r="C739" s="400">
        <v>45957</v>
      </c>
      <c r="D739" s="394">
        <v>15</v>
      </c>
      <c r="E739" s="394"/>
      <c r="F739" s="396">
        <f t="shared" si="12"/>
        <v>7599.5300000000243</v>
      </c>
    </row>
    <row r="740" spans="1:6">
      <c r="A740" s="400">
        <v>45957</v>
      </c>
      <c r="B740" s="393" t="s">
        <v>4413</v>
      </c>
      <c r="C740" s="400">
        <v>45957</v>
      </c>
      <c r="D740" s="394">
        <v>3.75</v>
      </c>
      <c r="E740" s="394"/>
      <c r="F740" s="396">
        <f t="shared" si="12"/>
        <v>7595.7800000000243</v>
      </c>
    </row>
    <row r="741" spans="1:6">
      <c r="A741" s="400">
        <v>45957</v>
      </c>
      <c r="B741" s="393" t="s">
        <v>3753</v>
      </c>
      <c r="C741" s="400">
        <v>45957</v>
      </c>
      <c r="D741" s="394">
        <v>0.12</v>
      </c>
      <c r="E741" s="394"/>
      <c r="F741" s="396">
        <f t="shared" si="12"/>
        <v>7595.6600000000244</v>
      </c>
    </row>
    <row r="742" spans="1:6">
      <c r="A742" s="400">
        <v>45958</v>
      </c>
      <c r="B742" s="393" t="s">
        <v>4414</v>
      </c>
      <c r="C742" s="400">
        <v>45958</v>
      </c>
      <c r="D742" s="394"/>
      <c r="E742" s="394">
        <v>260</v>
      </c>
      <c r="F742" s="396">
        <f t="shared" si="12"/>
        <v>7855.6600000000244</v>
      </c>
    </row>
    <row r="743" spans="1:6">
      <c r="A743" s="400">
        <v>45958</v>
      </c>
      <c r="B743" s="393" t="s">
        <v>3753</v>
      </c>
      <c r="C743" s="400">
        <v>45958</v>
      </c>
      <c r="D743" s="394">
        <v>0.03</v>
      </c>
      <c r="E743" s="394"/>
      <c r="F743" s="396">
        <f t="shared" si="12"/>
        <v>7855.6300000000247</v>
      </c>
    </row>
    <row r="744" spans="1:6" ht="17.25">
      <c r="A744" s="401"/>
      <c r="B744" s="402"/>
      <c r="C744" s="402"/>
      <c r="D744" s="405">
        <f>SUM(D12:D743)</f>
        <v>121142.45999999999</v>
      </c>
      <c r="E744" s="405">
        <f>SUM(E12:E743)</f>
        <v>120609</v>
      </c>
      <c r="F744" s="404"/>
    </row>
  </sheetData>
  <mergeCells count="1">
    <mergeCell ref="A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93970a-c029-43d3-94c7-ea7a2eb29ddb">
      <Terms xmlns="http://schemas.microsoft.com/office/infopath/2007/PartnerControls"/>
    </lcf76f155ced4ddcb4097134ff3c332f>
    <TaxCatchAll xmlns="1c1d0a9f-7aaa-47d2-80cc-a403dfcb4a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485896BA356B439135D7655C54CCE5" ma:contentTypeVersion="13" ma:contentTypeDescription="Crée un document." ma:contentTypeScope="" ma:versionID="6ffd3af80eded594bf149fae1b910499">
  <xsd:schema xmlns:xsd="http://www.w3.org/2001/XMLSchema" xmlns:xs="http://www.w3.org/2001/XMLSchema" xmlns:p="http://schemas.microsoft.com/office/2006/metadata/properties" xmlns:ns2="1b93970a-c029-43d3-94c7-ea7a2eb29ddb" xmlns:ns3="1c1d0a9f-7aaa-47d2-80cc-a403dfcb4a9a" targetNamespace="http://schemas.microsoft.com/office/2006/metadata/properties" ma:root="true" ma:fieldsID="ce203f1cca6d246b67cc971dc7d6af23" ns2:_="" ns3:_="">
    <xsd:import namespace="1b93970a-c029-43d3-94c7-ea7a2eb29ddb"/>
    <xsd:import namespace="1c1d0a9f-7aaa-47d2-80cc-a403dfcb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93970a-c029-43d3-94c7-ea7a2eb29d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a3f15929-5cb6-42e0-8d32-7acd2152aa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d0a9f-7aaa-47d2-80cc-a403dfcb4a9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32337b6-3d22-4a5f-a06a-c8ba6d220b7a}" ma:internalName="TaxCatchAll" ma:showField="CatchAllData" ma:web="1c1d0a9f-7aaa-47d2-80cc-a403dfcb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014D21-97BC-4AC6-BCDF-CFAAF00BA2E9}">
  <ds:schemaRefs>
    <ds:schemaRef ds:uri="http://schemas.microsoft.com/office/2006/metadata/properties"/>
    <ds:schemaRef ds:uri="http://schemas.microsoft.com/office/infopath/2007/PartnerControls"/>
    <ds:schemaRef ds:uri="1b93970a-c029-43d3-94c7-ea7a2eb29ddb"/>
    <ds:schemaRef ds:uri="1c1d0a9f-7aaa-47d2-80cc-a403dfcb4a9a"/>
  </ds:schemaRefs>
</ds:datastoreItem>
</file>

<file path=customXml/itemProps2.xml><?xml version="1.0" encoding="utf-8"?>
<ds:datastoreItem xmlns:ds="http://schemas.openxmlformats.org/officeDocument/2006/customXml" ds:itemID="{C9C89D19-1FBC-4B21-8255-81D976C6F0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0938F8-219F-40A3-9A64-C680FE376C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93970a-c029-43d3-94c7-ea7a2eb29ddb"/>
    <ds:schemaRef ds:uri="1c1d0a9f-7aaa-47d2-80cc-a403dfcb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Dakar Registration List(Source)</vt:lpstr>
      <vt:lpstr>Master Summary </vt:lpstr>
      <vt:lpstr>Transaction Reconciliation</vt:lpstr>
      <vt:lpstr>Dokilink List &amp; Account</vt:lpstr>
      <vt:lpstr>ECO Bank &amp; Dokilink List-Report</vt:lpstr>
      <vt:lpstr>Income &amp; Expenditure</vt:lpstr>
      <vt:lpstr>Bank Statatements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Cécile FONDZEYUF</dc:creator>
  <cp:keywords/>
  <dc:description/>
  <cp:lastModifiedBy>kehinde ojo</cp:lastModifiedBy>
  <cp:revision/>
  <dcterms:created xsi:type="dcterms:W3CDTF">2025-09-04T15:58:00Z</dcterms:created>
  <dcterms:modified xsi:type="dcterms:W3CDTF">2026-05-14T07:08:48Z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0x01010081485896BA356B439135D7655C54CCE5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ICV">
    <vt:lpwstr>C8EAC283567B47A7AADBEF22AB6C4AE2_12</vt:lpwstr>
  </property>
  <property fmtid="{D5CDD505-2E9C-101B-9397-08002B2CF9AE}" pid="11" name="KSOProductBuildVer">
    <vt:lpwstr>2057-12.2.0.22549</vt:lpwstr>
  </property>
</Properties>
</file>